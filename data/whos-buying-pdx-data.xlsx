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w we got each number" sheetId="2" state="visible" r:id="rId2"/>
    <sheet xmlns:r="http://schemas.openxmlformats.org/officeDocument/2006/relationships" name="Why the numbers changed" sheetId="3" state="visible" r:id="rId3"/>
    <sheet xmlns:r="http://schemas.openxmlformats.org/officeDocument/2006/relationships" name="How to check a row" sheetId="4" state="visible" r:id="rId4"/>
    <sheet xmlns:r="http://schemas.openxmlformats.org/officeDocument/2006/relationships" name="Words we use" sheetId="5" state="visible" r:id="rId5"/>
    <sheet xmlns:r="http://schemas.openxmlformats.org/officeDocument/2006/relationships" name="Candidates" sheetId="6" state="visible" r:id="rId6"/>
    <sheet xmlns:r="http://schemas.openxmlformats.org/officeDocument/2006/relationships" name="Republican households" sheetId="7" state="visible" r:id="rId7"/>
    <sheet xmlns:r="http://schemas.openxmlformats.org/officeDocument/2006/relationships" name="PC-only households" sheetId="8" state="visible" r:id="rId8"/>
    <sheet xmlns:r="http://schemas.openxmlformats.org/officeDocument/2006/relationships" name="Candidate R matches" sheetId="9" state="visible" r:id="rId9"/>
    <sheet xmlns:r="http://schemas.openxmlformats.org/officeDocument/2006/relationships" name="Candidate PC matches" sheetId="10" state="visible" r:id="rId10"/>
    <sheet xmlns:r="http://schemas.openxmlformats.org/officeDocument/2006/relationships" name="Gifts" sheetId="11" state="visible" r:id="rId11"/>
    <sheet xmlns:r="http://schemas.openxmlformats.org/officeDocument/2006/relationships" name="Committees" sheetId="12" state="visible" r:id="rId1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2430"/>
      <sz val="20"/>
    </font>
    <font>
      <name val="Calibri"/>
      <color rgb="001F2430"/>
      <sz val="12"/>
    </font>
    <font>
      <name val="Calibri"/>
      <i val="1"/>
      <color rgb="005B6270"/>
      <sz val="11"/>
    </font>
    <font>
      <name val="Calibri"/>
      <b val="1"/>
      <color rgb="001F2430"/>
      <sz val="14"/>
    </font>
    <font>
      <name val="Calibri"/>
      <color rgb="001F5FBF"/>
      <sz val="12"/>
      <u val="single"/>
    </font>
    <font>
      <name val="Calibri"/>
      <b val="1"/>
      <color rgb="001F2430"/>
      <sz val="12"/>
    </font>
    <font>
      <name val="Calibri"/>
      <b val="1"/>
      <color rgb="00C8102E"/>
      <sz val="16"/>
    </font>
    <font>
      <name val="Calibri"/>
      <b val="1"/>
      <color rgb="00C8102E"/>
      <sz val="12"/>
    </font>
    <font>
      <name val="Calibri"/>
      <b val="1"/>
      <color rgb="00FFFFFF"/>
      <sz val="11"/>
    </font>
    <font>
      <name val="Calibri"/>
      <color rgb="001F2430"/>
      <sz val="11"/>
    </font>
  </fonts>
  <fills count="4">
    <fill>
      <patternFill/>
    </fill>
    <fill>
      <patternFill patternType="gray125"/>
    </fill>
    <fill>
      <patternFill patternType="solid">
        <fgColor rgb="00F4F1EA"/>
      </patternFill>
    </fill>
    <fill>
      <patternFill patternType="solid">
        <fgColor rgb="001F2430"/>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horizontal="right" vertical="top"/>
    </xf>
    <xf numFmtId="0" fontId="3" fillId="0" borderId="0" pivotButton="0" quotePrefix="0" xfId="0"/>
    <xf numFmtId="0" fontId="8" fillId="0" borderId="0" pivotButton="0" quotePrefix="0" xfId="0"/>
    <xf numFmtId="0" fontId="5" fillId="0" borderId="0" pivotButton="0" quotePrefix="0" xfId="0"/>
    <xf numFmtId="0" fontId="9" fillId="3" borderId="0" applyAlignment="1" pivotButton="0" quotePrefix="0" xfId="0">
      <alignment vertical="center" wrapText="1"/>
    </xf>
    <xf numFmtId="0" fontId="10" fillId="0" borderId="0" applyAlignment="1" pivotButton="0" quotePrefix="0" xfId="0">
      <alignment vertical="top"/>
    </xf>
    <xf numFmtId="9" fontId="10" fillId="0" borderId="0" applyAlignment="1" pivotButton="0" quotePrefix="0" xfId="0">
      <alignment vertical="top"/>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Candidates" displayName="Candidates" ref="A4:G14" headerRowCount="1">
  <autoFilter ref="A4:G14"/>
  <tableColumns count="7">
    <tableColumn id="1" name="Candidate"/>
    <tableColumn id="2" name="Group"/>
    <tableColumn id="3" name="Individual donors (over $100, since 2023)"/>
    <tableColumn id="4" name="Gave to Republicans"/>
    <tableColumn id="5" name="Portland conservative only"/>
    <tableColumn id="6" name="Total"/>
    <tableColumn id="7" name="Share"/>
  </tableColumns>
  <tableStyleInfo name="TableStyleLight1" showRowStripes="1"/>
</table>
</file>

<file path=xl/tables/table2.xml><?xml version="1.0" encoding="utf-8"?>
<table xmlns="http://schemas.openxmlformats.org/spreadsheetml/2006/main" id="2" name="RepublicanHouseholds" displayName="RepublicanHouseholds" ref="A4:N129" headerRowCount="1">
  <autoFilter ref="A4:N129"/>
  <tableColumns count="14">
    <tableColumn id="1" name="Household"/>
    <tableColumn id="2" name="Slate candidates given to"/>
    <tableColumn id="3" name="No. of slate candidates"/>
    <tableColumn id="4" name="Gave to Drazan"/>
    <tableColumn id="5" name="Republican campaigns"/>
    <tableColumn id="6" name="First Republican gift (year)"/>
    <tableColumn id="7" name="Latest Republican gift (year)"/>
    <tableColumn id="8" name="No. of Republican gifts"/>
    <tableColumn id="9" name="Republican gifts, total ($, rounded)"/>
    <tableColumn id="10" name="Match basis"/>
    <tableColumn id="11" name="Verification"/>
    <tableColumn id="12" name="Why, if not a direct match"/>
    <tableColumn id="13" name="Republican gifts (Filer Id:Tran Id)"/>
    <tableColumn id="14" name="Slate gifts (Filer Id:Tran Id)"/>
  </tableColumns>
  <tableStyleInfo name="TableStyleLight1" showRowStripes="1"/>
</table>
</file>

<file path=xl/tables/table3.xml><?xml version="1.0" encoding="utf-8"?>
<table xmlns="http://schemas.openxmlformats.org/spreadsheetml/2006/main" id="3" name="PCOnlyHouseholds" displayName="PCOnlyHouseholds" ref="A4:F269" headerRowCount="1">
  <autoFilter ref="A4:F269"/>
  <tableColumns count="6">
    <tableColumn id="1" name="Household"/>
    <tableColumn id="2" name="Slate candidates given to"/>
    <tableColumn id="3" name="No. of slate candidates"/>
    <tableColumn id="4" name="Portland conservative campaigns"/>
    <tableColumn id="5" name="Donor codes in this household"/>
    <tableColumn id="6" name="No. of donors"/>
  </tableColumns>
  <tableStyleInfo name="TableStyleLight1" showRowStripes="1"/>
</table>
</file>

<file path=xl/tables/table4.xml><?xml version="1.0" encoding="utf-8"?>
<table xmlns="http://schemas.openxmlformats.org/spreadsheetml/2006/main" id="4" name="CandidateRMatches" displayName="CandidateRMatches" ref="A4:J250" headerRowCount="1">
  <autoFilter ref="A4:J250"/>
  <tableColumns count="10">
    <tableColumn id="1" name="Candidate"/>
    <tableColumn id="2" name="Household"/>
    <tableColumn id="3" name="Verification"/>
    <tableColumn id="4" name="Match basis"/>
    <tableColumn id="5" name="Republican campaigns"/>
    <tableColumn id="6" name="Latest Republican gift (year)"/>
    <tableColumn id="7" name="Republican gifts ($, rounded)"/>
    <tableColumn id="8" name="Why, if not a direct match"/>
    <tableColumn id="9" name="Candidate gifts (Filer Id:Tran Id)"/>
    <tableColumn id="10" name="Republican gifts (Filer Id:Tran Id)"/>
  </tableColumns>
  <tableStyleInfo name="TableStyleLight1" showRowStripes="1"/>
</table>
</file>

<file path=xl/tables/table5.xml><?xml version="1.0" encoding="utf-8"?>
<table xmlns="http://schemas.openxmlformats.org/spreadsheetml/2006/main" id="5" name="CandidatePCMatches" displayName="CandidatePCMatches" ref="A4:I504" headerRowCount="1">
  <autoFilter ref="A4:I504"/>
  <tableColumns count="9">
    <tableColumn id="1" name="Candidate"/>
    <tableColumn id="2" name="Household"/>
    <tableColumn id="3" name="Donor"/>
    <tableColumn id="4" name="Match basis"/>
    <tableColumn id="5" name="Portland conservative campaigns"/>
    <tableColumn id="6" name="Latest gift (year)"/>
    <tableColumn id="7" name="Gifts ($, rounded)"/>
    <tableColumn id="8" name="Candidate gifts (Filer Id:Tran Id)"/>
    <tableColumn id="9" name="Matched gifts (Filer Id:Tran Id)"/>
  </tableColumns>
  <tableStyleInfo name="TableStyleLight1" showRowStripes="1"/>
</table>
</file>

<file path=xl/tables/table6.xml><?xml version="1.0" encoding="utf-8"?>
<table xmlns="http://schemas.openxmlformats.org/spreadsheetml/2006/main" id="6" name="Gifts" displayName="Gifts" ref="A4:H786" headerRowCount="1">
  <autoFilter ref="A4:H786"/>
  <tableColumns count="8">
    <tableColumn id="1" name="Household"/>
    <tableColumn id="2" name="Which gift"/>
    <tableColumn id="3" name="Committee"/>
    <tableColumn id="4" name="Filer Id"/>
    <tableColumn id="5" name="Tran Id"/>
    <tableColumn id="6" name="Date"/>
    <tableColumn id="7" name="Amount ($, rounded)"/>
    <tableColumn id="8" name="How it matched"/>
  </tableColumns>
  <tableStyleInfo name="TableStyleLight1" showRowStripes="1"/>
</table>
</file>

<file path=xl/tables/table7.xml><?xml version="1.0" encoding="utf-8"?>
<table xmlns="http://schemas.openxmlformats.org/spreadsheetml/2006/main" id="7" name="Committees" displayName="Committees" ref="A4:O43" headerRowCount="1">
  <autoFilter ref="A4:O43"/>
  <tableColumns count="15">
    <tableColumn id="1" name="Group"/>
    <tableColumn id="2" name="Committee"/>
    <tableColumn id="3" name="Filer Id"/>
    <tableColumn id="4" name="Candidate"/>
    <tableColumn id="5" name="Party as filed"/>
    <tableColumn id="6" name="Gifts in export from"/>
    <tableColumn id="7" name="to"/>
    <tableColumn id="8" name="Torres"/>
    <tableColumn id="9" name="Novick"/>
    <tableColumn id="10" name="Clark"/>
    <tableColumn id="11" name="Zimmerman"/>
    <tableColumn id="12" name="Arnold"/>
    <tableColumn id="13" name="Brim-Edwards"/>
    <tableColumn id="14" name="All six"/>
    <tableColumn id="15" name="Why included or exclud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ow we got each number'!A1" TargetMode="External" Id="rId1"/><Relationship Type="http://schemas.openxmlformats.org/officeDocument/2006/relationships/hyperlink" Target="#'Why the numbers changed'!A1" TargetMode="External" Id="rId2"/><Relationship Type="http://schemas.openxmlformats.org/officeDocument/2006/relationships/hyperlink" Target="#'How to check a row'!A1" TargetMode="External" Id="rId3"/><Relationship Type="http://schemas.openxmlformats.org/officeDocument/2006/relationships/hyperlink" Target="#'Words we use'!A1" TargetMode="External" Id="rId4"/><Relationship Type="http://schemas.openxmlformats.org/officeDocument/2006/relationships/hyperlink" Target="#'Candidates'!A1" TargetMode="External" Id="rId5"/><Relationship Type="http://schemas.openxmlformats.org/officeDocument/2006/relationships/hyperlink" Target="#'Republican households'!A1" TargetMode="External" Id="rId6"/><Relationship Type="http://schemas.openxmlformats.org/officeDocument/2006/relationships/hyperlink" Target="#'PC-only households'!A1" TargetMode="External" Id="rId7"/><Relationship Type="http://schemas.openxmlformats.org/officeDocument/2006/relationships/hyperlink" Target="#'Candidate R matches'!A1" TargetMode="External" Id="rId8"/><Relationship Type="http://schemas.openxmlformats.org/officeDocument/2006/relationships/hyperlink" Target="#'Candidate PC matches'!A1" TargetMode="External" Id="rId9"/><Relationship Type="http://schemas.openxmlformats.org/officeDocument/2006/relationships/hyperlink" Target="#'Gifts'!A1" TargetMode="External" Id="rId10"/><Relationship Type="http://schemas.openxmlformats.org/officeDocument/2006/relationships/hyperlink" Target="#'Committees'!A1" TargetMode="External" Id="rId11"/></Relationships>
</file>

<file path=xl/worksheets/_rels/sheet6.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1.xml" Id="rId2"/></Relationships>
</file>

<file path=xl/worksheets/_rels/sheet7.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2.xml" Id="rId2"/></Relationships>
</file>

<file path=xl/worksheets/_rels/sheet8.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3.xml" Id="rId2"/></Relationships>
</file>

<file path=xl/worksheets/_rels/sheet9.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4.xml" Id="rId2"/></Relationships>
</file>

<file path=xl/worksheets/_rels/sheet10.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5.xml" Id="rId2"/></Relationships>
</file>

<file path=xl/worksheets/_rels/sheet11.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6.xml" Id="rId2"/></Relationships>
</file>

<file path=xl/worksheets/_rels/sheet12.xml.rels><Relationships xmlns="http://schemas.openxmlformats.org/package/2006/relationships"><Relationship Type="http://schemas.openxmlformats.org/officeDocument/2006/relationships/hyperlink" Target="#'Start here'!A1" TargetMode="External" Id="rId1"/><Relationship Type="http://schemas.openxmlformats.org/officeDocument/2006/relationships/table" Target="/xl/tables/table7.xml" Id="rId2"/></Relationships>
</file>

<file path=xl/worksheets/sheet1.xml><?xml version="1.0" encoding="utf-8"?>
<worksheet xmlns="http://schemas.openxmlformats.org/spreadsheetml/2006/main">
  <sheetPr>
    <tabColor rgb="00C8102E"/>
    <outlinePr summaryBelow="1" summaryRight="1"/>
    <pageSetUpPr/>
  </sheetPr>
  <dimension ref="B2:B27"/>
  <sheetViews>
    <sheetView showGridLines="0" workbookViewId="0">
      <selection activeCell="A1" sqref="A1"/>
    </sheetView>
  </sheetViews>
  <sheetFormatPr baseColWidth="8" defaultRowHeight="15"/>
  <cols>
    <col width="3" customWidth="1" min="1" max="1"/>
    <col width="100" customWidth="1" min="2" max="2"/>
    <col width="16" customWidth="1" min="3" max="3"/>
    <col width="16" customWidth="1" min="4" max="4"/>
    <col width="16" customWidth="1" min="5" max="5"/>
    <col width="16" customWidth="1" min="6" max="6"/>
    <col width="16" customWidth="1" min="7" max="7"/>
  </cols>
  <sheetData>
    <row r="2" ht="30" customHeight="1">
      <c r="B2" s="1" t="inlineStr">
        <is>
          <t>Who's Buying PDX: the data behind the numbers</t>
        </is>
      </c>
    </row>
    <row r="4" ht="52" customHeight="1">
      <c r="B4" s="2" t="inlineStr">
        <is>
          <t>This workbook lets you check every donor number on whosbuyingpdx.com yourself. It starts with the six candidates' public filings and walks, one step at a time, to each number on the site.</t>
        </is>
      </c>
    </row>
    <row r="5">
      <c r="B5" s="3" t="inlineStr">
        <is>
          <t>Built Oct 20, 2026 from Oregon ORESTAR campaign-finance exports pulled Oct 17–18, 2026. Independent citizen project.</t>
        </is>
      </c>
    </row>
    <row r="7" ht="22" customHeight="1">
      <c r="B7" s="4" t="inlineStr">
        <is>
          <t>What we're measuring, in one sentence</t>
        </is>
      </c>
    </row>
    <row r="8" ht="56" customHeight="1">
      <c r="B8" s="5" t="inlineStr">
        <is>
          <t>For six business-backed candidates, how many of their donors have also given to Republican campaigns (since 2006) or to a short list of other Portland conservative campaigns. The same test run on the progressive councilors running against them finds none.</t>
        </is>
      </c>
    </row>
    <row r="10" ht="22" customHeight="1">
      <c r="B10" s="4" t="inlineStr">
        <is>
          <t>Read these tabs in order</t>
        </is>
      </c>
    </row>
    <row r="11">
      <c r="B11" s="6" t="inlineStr">
        <is>
          <t>1. How we got each number — the step-by-step math, from donor lists to 125 and 390</t>
        </is>
      </c>
    </row>
    <row r="12">
      <c r="B12" s="6" t="inlineStr">
        <is>
          <t>2. Why the numbers changed — 128 → 125, 400 → 390, and the other corrections</t>
        </is>
      </c>
    </row>
    <row r="13">
      <c r="B13" s="6" t="inlineStr">
        <is>
          <t>3. How to check a row — look up any gift yourself in ORESTAR</t>
        </is>
      </c>
    </row>
    <row r="14">
      <c r="B14" s="6" t="inlineStr">
        <is>
          <t>4. Words we use — household, match, Likely, Portland conservative</t>
        </is>
      </c>
    </row>
    <row r="16">
      <c r="B16" s="7" t="inlineStr">
        <is>
          <t>The data (every row is one record you can check):</t>
        </is>
      </c>
    </row>
    <row r="17">
      <c r="B17" s="6" t="inlineStr">
        <is>
          <t>Candidates — donor counts and shares for all ten candidates</t>
        </is>
      </c>
    </row>
    <row r="18">
      <c r="B18" s="6" t="inlineStr">
        <is>
          <t>Republican households (125) — one row per household</t>
        </is>
      </c>
    </row>
    <row r="19">
      <c r="B19" s="6" t="inlineStr">
        <is>
          <t>Portland-conservative-only households (265) — one row per household</t>
        </is>
      </c>
    </row>
    <row r="20">
      <c r="B20" s="6" t="inlineStr">
        <is>
          <t>Candidate × Republican matches (246) — one row per donor per candidate</t>
        </is>
      </c>
    </row>
    <row r="21">
      <c r="B21" s="6" t="inlineStr">
        <is>
          <t>Candidate × Portland-conservative matches (500)</t>
        </is>
      </c>
    </row>
    <row r="22">
      <c r="B22" s="6" t="inlineStr">
        <is>
          <t>Gifts (782) — every gift behind the Republican households, with its Transaction ID</t>
        </is>
      </c>
    </row>
    <row r="23">
      <c r="B23" s="6" t="inlineStr">
        <is>
          <t>Committees (39) — what we compared against, and what we left out and why</t>
        </is>
      </c>
    </row>
    <row r="25" ht="22" customHeight="1">
      <c r="B25" s="4" t="inlineStr">
        <is>
          <t>What's in here, and what isn't</t>
        </is>
      </c>
    </row>
    <row r="26" ht="52" customHeight="1">
      <c r="B26" s="2" t="inlineStr">
        <is>
          <t>In: every gift's ORESTAR committee number (Filer Id) and Transaction ID, its date, which committees it went to, and how it matched. Amounts are rounded (to $250 under $1,000, otherwise to $1,000).</t>
        </is>
      </c>
    </row>
    <row r="27" ht="52" customHeight="1">
      <c r="B27" s="2" t="inlineStr">
        <is>
          <t>Not in: donor names, street addresses or employers. Each household gets a code instead (H001, P001). These are all public records, so anyone can look up a Transaction ID and see the original filing. We just aren't publishing a ready-made list of names.</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s>
  <pageMargins left="0.75" right="0.75" top="1" bottom="1" header="0.5" footer="0.5"/>
</worksheet>
</file>

<file path=xl/worksheets/sheet2.xml><?xml version="1.0" encoding="utf-8"?>
<worksheet xmlns="http://schemas.openxmlformats.org/spreadsheetml/2006/main">
  <sheetPr>
    <tabColor rgb="00C8102E"/>
    <outlinePr summaryBelow="1" summaryRight="1"/>
    <pageSetUpPr/>
  </sheetPr>
  <dimension ref="B1:G41"/>
  <sheetViews>
    <sheetView showGridLines="0" workbookViewId="0">
      <selection activeCell="A1" sqref="A1"/>
    </sheetView>
  </sheetViews>
  <sheetFormatPr baseColWidth="8" defaultRowHeight="15"/>
  <cols>
    <col width="3" customWidth="1" min="1" max="1"/>
    <col width="70" customWidth="1" min="2" max="2"/>
    <col width="14" customWidth="1" min="3" max="3"/>
    <col width="16" customWidth="1" min="4" max="4"/>
    <col width="16" customWidth="1" min="5" max="5"/>
    <col width="16" customWidth="1" min="6" max="6"/>
    <col width="16" customWidth="1" min="7" max="7"/>
  </cols>
  <sheetData>
    <row r="1"/>
    <row r="2" ht="30" customHeight="1">
      <c r="B2" s="1" t="inlineStr">
        <is>
          <t>How we got each number</t>
        </is>
      </c>
    </row>
    <row r="3"/>
    <row r="4" ht="52" customHeight="1">
      <c r="B4" s="2" t="inlineStr">
        <is>
          <t>Each step below uses live formulas that count rows in the data tabs, so you can click a number and see where it comes from.</t>
        </is>
      </c>
    </row>
    <row r="5"/>
    <row r="6" ht="22" customHeight="1">
      <c r="B6" s="4" t="inlineStr">
        <is>
          <t>Step 1. Start with each candidate's donors</t>
        </is>
      </c>
    </row>
    <row r="7" ht="84" customHeight="1">
      <c r="B7" s="2" t="inlineStr">
        <is>
          <t>We take every individual (not a business, PAC or union) who gave each candidate more than $100 since Jan 1, 2023. Those are the donors Oregon requires campaigns to name. Gifts of $100 or less, including most Small Donor Elections gifts, aren't itemized by name, so they aren't counted yet.</t>
        </is>
      </c>
    </row>
    <row r="8" ht="34" customHeight="1">
      <c r="B8" s="2" t="inlineStr">
        <is>
          <t>Individual donors, all six business-backed candidates added together</t>
        </is>
      </c>
      <c r="C8" s="8">
        <f>SUM(Candidates!C5:C10)</f>
        <v/>
      </c>
      <c r="D8" s="3" t="inlineStr">
        <is>
          <t>Torres 219, Novick 334, Clark 320, Zimmerman 288, Arnold 239, Brim-Edwards 489</t>
        </is>
      </c>
    </row>
    <row r="9">
      <c r="B9" s="3" t="inlineStr">
        <is>
          <t>A person who gave to three of the six is on three lists here. We fix that in Step 4.</t>
        </is>
      </c>
    </row>
    <row r="10"/>
    <row r="11" ht="22" customHeight="1">
      <c r="B11" s="4" t="inlineStr">
        <is>
          <t>Step 2. Check each donor against Republican campaigns</t>
        </is>
      </c>
    </row>
    <row r="12" ht="100" customHeight="1">
      <c r="B12" s="2" t="inlineStr">
        <is>
          <t>For each donor, we look for gifts since 2006 to 25 Republican candidate, caucus and party committees (see the Committees tab). A Republican gift counts only if its own filing matches the donor by the same street address or PO box (same ZIP or city), or by the same ZIP and the same specific employer. A matching name alone never counts.</t>
        </is>
      </c>
    </row>
    <row r="13" ht="34" customHeight="1">
      <c r="B13" s="2" t="inlineStr">
        <is>
          <t>Donor-and-candidate pairs with a Republican match</t>
        </is>
      </c>
      <c r="C13" s="8">
        <f>COUNTA('Candidate R matches'!B5:B1000)</f>
        <v/>
      </c>
      <c r="D13" s="3" t="inlineStr">
        <is>
          <t>one row per donor per candidate</t>
        </is>
      </c>
    </row>
    <row r="14" ht="34" customHeight="1">
      <c r="B14" s="2" t="inlineStr">
        <is>
          <t xml:space="preserve">   matched directly by address, PO box or ZIP + employer</t>
        </is>
      </c>
      <c r="C14" s="8">
        <f>COUNTIF('Candidate R matches'!C5:C1000,"Confirmed")</f>
        <v/>
      </c>
    </row>
    <row r="15" ht="34" customHeight="1">
      <c r="B15" s="2" t="inlineStr">
        <is>
          <t xml:space="preserve">   linked through another filing (explained row by row)</t>
        </is>
      </c>
      <c r="C15" s="8">
        <f>COUNTIF('Candidate R matches'!C5:C1000,"Likely")</f>
        <v/>
      </c>
      <c r="D15" s="3" t="inlineStr">
        <is>
          <t>e.g. same employer at a home address on one gift and the office on the other</t>
        </is>
      </c>
    </row>
    <row r="16"/>
    <row r="17" ht="22" customHeight="1">
      <c r="B17" s="4" t="inlineStr">
        <is>
          <t>Step 3. Then check the rest against Portland conservative campaigns</t>
        </is>
      </c>
    </row>
    <row r="18" ht="84" customHeight="1">
      <c r="B18" s="2" t="inlineStr">
        <is>
          <t>Donors with no Republican match are checked against six local campaigns we call Portland conservative (Gonzalez, Vasquez, Mozyrsky, Adams, Treece, and a 2022 pro-Gonzalez PAC), using the same matching rules. Each donor counts once per candidate: Republican first, then Portland conservative.</t>
        </is>
      </c>
    </row>
    <row r="19" ht="34" customHeight="1">
      <c r="B19" s="2" t="inlineStr">
        <is>
          <t>Donor-and-candidate pairs with a Portland-conservative match (and no Republican one)</t>
        </is>
      </c>
      <c r="C19" s="8">
        <f>COUNTA('Candidate PC matches'!A5:A1000)</f>
        <v/>
      </c>
    </row>
    <row r="20" ht="34" customHeight="1">
      <c r="B20" s="2" t="inlineStr">
        <is>
          <t>Total pairs (Republican + Portland conservative)</t>
        </is>
      </c>
      <c r="C20" s="8">
        <f>C13+C19</f>
        <v/>
      </c>
    </row>
    <row r="21">
      <c r="B21" s="3" t="inlineStr">
        <is>
          <t>These pairs give each candidate's share. Example: Zimmerman has 37 Republican + 104 Portland conservative = 141 of 288 donors = 49%. See the Candidates tab for all ten.</t>
        </is>
      </c>
    </row>
    <row r="23" ht="22" customHeight="1">
      <c r="B23" s="4" t="inlineStr">
        <is>
          <t>Step 4. Count each household once (this is where 125 and 390 come from)</t>
        </is>
      </c>
    </row>
    <row r="24" ht="164" customHeight="1">
      <c r="B24" s="2" t="inlineStr">
        <is>
          <t>The site's headline numbers count households, not donor-and-candidate pairs. A household is the donors with the same last name at the same home address or PO box. So a couple who both gave are one household, and a household that gave to four of the six candidates is counted once, not four times. One person who files from two addresses (home and office, a move, a typo) is also counted once. Relatives who only share a business address are not grouped: three brothers who give from their family company's office are three households.</t>
        </is>
      </c>
    </row>
    <row r="25" ht="34" customHeight="1">
      <c r="B25" s="2" t="inlineStr">
        <is>
          <t>Pairs from Step 2 (Republican)</t>
        </is>
      </c>
      <c r="C25" s="8">
        <f>C13</f>
        <v/>
      </c>
    </row>
    <row r="26" ht="34" customHeight="1">
      <c r="B26" s="2" t="inlineStr">
        <is>
          <t xml:space="preserve">   minus repeats where two people in one household are on the same candidate's list</t>
        </is>
      </c>
      <c r="C26" s="8" t="n">
        <v>-8</v>
      </c>
      <c r="D26" s="3" t="inlineStr">
        <is>
          <t>8 households have two members on the same candidate's donor list</t>
        </is>
      </c>
    </row>
    <row r="27" ht="34" customHeight="1">
      <c r="B27" s="2" t="inlineStr">
        <is>
          <t xml:space="preserve">   = household-and-candidate pairs</t>
        </is>
      </c>
      <c r="C27" s="8">
        <f>C25+C26</f>
        <v/>
      </c>
    </row>
    <row r="28" ht="34" customHeight="1">
      <c r="B28" s="2" t="inlineStr">
        <is>
          <t xml:space="preserve">   minus repeats where one household gave to several of the six</t>
        </is>
      </c>
      <c r="C28" s="8">
        <f>-(C27-COUNTA('Republican households'!A5:A200))</f>
        <v/>
      </c>
      <c r="D28" s="3" t="inlineStr">
        <is>
          <t>72 households gave to one candidate, 23 to two, 12 to three, 9 to four, 6 to five, 3 to all six</t>
        </is>
      </c>
    </row>
    <row r="29" ht="34" customHeight="1">
      <c r="B29" s="2" t="inlineStr">
        <is>
          <t>Republican households</t>
        </is>
      </c>
      <c r="C29" s="8">
        <f>COUNTA('Republican households'!A5:A200)</f>
        <v/>
      </c>
      <c r="D29" s="3" t="inlineStr">
        <is>
          <t>the 125 on the site</t>
        </is>
      </c>
    </row>
    <row r="31" ht="34" customHeight="1">
      <c r="B31" s="2" t="inlineStr">
        <is>
          <t>Portland-conservative-only households (no Republican match for any of the six)</t>
        </is>
      </c>
      <c r="C31" s="8">
        <f>COUNTA('PC-only households'!A5:A400)</f>
        <v/>
      </c>
      <c r="D31" s="3" t="inlineStr">
        <is>
          <t>500 pairs from Step 3, grouped the same way</t>
        </is>
      </c>
    </row>
    <row r="32" ht="34" customHeight="1">
      <c r="B32" s="2" t="inlineStr">
        <is>
          <t>Households that gave to Republicans or Portland conservatives</t>
        </is>
      </c>
      <c r="C32" s="8">
        <f>C29+C31</f>
        <v/>
      </c>
      <c r="D32" s="3" t="inlineStr">
        <is>
          <t>the site's headline number</t>
        </is>
      </c>
    </row>
    <row r="34">
      <c r="B34" s="7" t="inlineStr">
        <is>
          <t>Other numbers on the site, counted from the Republican households tab:</t>
        </is>
      </c>
    </row>
    <row r="35" ht="34" customHeight="1">
      <c r="B35" s="2" t="inlineStr">
        <is>
          <t>Gave to Christine Drazan</t>
        </is>
      </c>
      <c r="C35" s="8">
        <f>COUNTIF('Republican households'!D5:D200,"Yes")</f>
        <v/>
      </c>
    </row>
    <row r="36" ht="34" customHeight="1">
      <c r="B36" s="2" t="inlineStr">
        <is>
          <t>Gave to a Republican campaign in 2024–2026</t>
        </is>
      </c>
      <c r="C36" s="8">
        <f>COUNTIF('Republican households'!G5:G200,"&gt;=2024")</f>
        <v/>
      </c>
    </row>
    <row r="37" ht="34" customHeight="1">
      <c r="B37" s="2" t="inlineStr">
        <is>
          <t>Gave to two or more of the six candidates</t>
        </is>
      </c>
      <c r="C37" s="8">
        <f>COUNTIF('Republican households'!C5:C200,"&gt;=2")</f>
        <v/>
      </c>
    </row>
    <row r="38" ht="34" customHeight="1">
      <c r="B38" s="2" t="inlineStr">
        <is>
          <t>Rest only on a hand-reviewed link (no direct address or ZIP + employer match)</t>
        </is>
      </c>
      <c r="C38" s="8">
        <f>COUNTIF('Republican households'!J5:J200,"Hand review")</f>
        <v/>
      </c>
    </row>
    <row r="40" ht="22" customHeight="1">
      <c r="B40" s="4" t="inlineStr">
        <is>
          <t>Step 5. The comparison</t>
        </is>
      </c>
    </row>
    <row r="41" ht="116" customHeight="1">
      <c r="B41" s="2" t="inlineStr">
        <is>
          <t>We ran the exact same test on the donors of the three progressive councilors running against them (Morillo, Koyama Lane, Green): zero gave to Republicans or Portland conservatives. Shannon Singleton (County Chair, running against Brim-Edwards) has 2 of 172, both Portland conservative, none Republican. Their counts are on the Candidates tab; with zero matches there are no rows to list.</t>
        </is>
      </c>
    </row>
  </sheetData>
  <mergeCells count="8">
    <mergeCell ref="D31:G31"/>
    <mergeCell ref="D26:G26"/>
    <mergeCell ref="D8:G8"/>
    <mergeCell ref="D15:G15"/>
    <mergeCell ref="D13:G13"/>
    <mergeCell ref="D29:G29"/>
    <mergeCell ref="D28:G28"/>
    <mergeCell ref="D32:G32"/>
  </mergeCells>
  <pageMargins left="0.75" right="0.75" top="1" bottom="1" header="0.5" footer="0.5"/>
</worksheet>
</file>

<file path=xl/worksheets/sheet3.xml><?xml version="1.0" encoding="utf-8"?>
<worksheet xmlns="http://schemas.openxmlformats.org/spreadsheetml/2006/main">
  <sheetPr>
    <tabColor rgb="00C8102E"/>
    <outlinePr summaryBelow="1" summaryRight="1"/>
    <pageSetUpPr/>
  </sheetPr>
  <dimension ref="B2:D23"/>
  <sheetViews>
    <sheetView showGridLines="0" workbookViewId="0">
      <selection activeCell="A1" sqref="A1"/>
    </sheetView>
  </sheetViews>
  <sheetFormatPr baseColWidth="8" defaultRowHeight="15"/>
  <cols>
    <col width="3" customWidth="1" min="1" max="1"/>
    <col width="100" customWidth="1" min="2" max="2"/>
    <col width="14" customWidth="1" min="3" max="3"/>
    <col width="14" customWidth="1" min="4" max="4"/>
    <col width="16" customWidth="1" min="5" max="5"/>
    <col width="16" customWidth="1" min="6" max="6"/>
    <col width="16" customWidth="1" min="7" max="7"/>
  </cols>
  <sheetData>
    <row r="2" ht="30" customHeight="1">
      <c r="B2" s="1" t="inlineStr">
        <is>
          <t>Why the numbers changed</t>
        </is>
      </c>
    </row>
    <row r="4" ht="52" customHeight="1">
      <c r="B4" s="2" t="inlineStr">
        <is>
          <t>We posted these numbers Oct 18, then re-checked every Republican match against the original filings, one donor at a time. The corrections are dated on the site's Receipts page. Here is each change and why.</t>
        </is>
      </c>
    </row>
    <row r="6">
      <c r="B6" s="7" t="inlineStr">
        <is>
          <t>Households that gave to Republicans</t>
        </is>
      </c>
      <c r="C6" s="9" t="inlineStr">
        <is>
          <t>was 128</t>
        </is>
      </c>
      <c r="D6" s="10" t="inlineStr">
        <is>
          <t>now 125</t>
        </is>
      </c>
    </row>
    <row r="7" ht="116" customHeight="1">
      <c r="B7" s="2" t="inlineStr">
        <is>
          <t>Three things moved it.
• −8: Eight donors showed up at two addresses (home and office, a move, a typo) and had been counted as two households each. Each now counts once.
• +6: Gifts from the same PO box now match like a street address. This added 7 households, and one donor's two PO-box entries turned out to be one person (+7 −1).
• −1: We dropped one link with no filing behind it: a donor who shares a name with a Republican donor, but no record ties their addresses.</t>
        </is>
      </c>
    </row>
    <row r="9">
      <c r="B9" s="7" t="inlineStr">
        <is>
          <t>Households that gave to Republicans or Portland conservatives</t>
        </is>
      </c>
      <c r="C9" s="9" t="inlineStr">
        <is>
          <t>was 400</t>
        </is>
      </c>
      <c r="D9" s="10" t="inlineStr">
        <is>
          <t>now 390</t>
        </is>
      </c>
    </row>
    <row r="10" ht="68" customHeight="1">
      <c r="B10" s="2" t="inlineStr">
        <is>
          <t>The same three fixes, applied to the Portland-conservative-only donors too: one person at two addresses counts once, and relatives who only share a business address are not grouped together. This tab and the site use households: 125 Republican + 265 Portland conservative only.</t>
        </is>
      </c>
    </row>
    <row r="12">
      <c r="B12" s="7" t="inlineStr">
        <is>
          <t>Gave to Christine Drazan</t>
        </is>
      </c>
      <c r="C12" s="9" t="inlineStr">
        <is>
          <t>was 39</t>
        </is>
      </c>
      <c r="D12" s="10" t="inlineStr">
        <is>
          <t>now 41</t>
        </is>
      </c>
    </row>
    <row r="13" ht="20" customHeight="1">
      <c r="B13" s="2" t="inlineStr">
        <is>
          <t>Moved with the same three fixes above.</t>
        </is>
      </c>
    </row>
    <row r="15">
      <c r="B15" s="7" t="inlineStr">
        <is>
          <t>Gave to two or more of the six</t>
        </is>
      </c>
      <c r="C15" s="9" t="inlineStr">
        <is>
          <t>was 57</t>
        </is>
      </c>
      <c r="D15" s="10" t="inlineStr">
        <is>
          <t>now 53</t>
        </is>
      </c>
    </row>
    <row r="16" ht="36" customHeight="1">
      <c r="B16" s="2" t="inlineStr">
        <is>
          <t>The earlier 57 never reproduced when we recounted from scratch. 53 is counted directly from the Republican households tab.</t>
        </is>
      </c>
    </row>
    <row r="18">
      <c r="B18" s="7" t="inlineStr">
        <is>
          <t>Candidate shares</t>
        </is>
      </c>
      <c r="C18" s="9" t="inlineStr">
        <is>
          <t>was —</t>
        </is>
      </c>
      <c r="D18" s="10" t="inlineStr">
        <is>
          <t>now moved 0–2 points</t>
        </is>
      </c>
    </row>
    <row r="19" ht="36" customHeight="1">
      <c r="B19" s="2" t="inlineStr">
        <is>
          <t>Zimmerman 49%, Arnold 45%, Torres 42%, Brim-Edwards 42%, Clark 35%, Novick 26%. Progressive councilors: still zero.</t>
        </is>
      </c>
    </row>
    <row r="21" ht="22" customHeight="1">
      <c r="B21" s="4" t="inlineStr">
        <is>
          <t>Earlier versions you may have seen</t>
        </is>
      </c>
    </row>
    <row r="22" ht="84" customHeight="1">
      <c r="B22" s="2" t="inlineStr">
        <is>
          <t>An Oct 17 draft showed 340 households with Republican or local-conservative gifts. That was before we added three more Portland conservative committees (Adams, Treece, and the 2022 pro-Gonzalez PAC) and seven Republican caucus and county-party committees on Oct 18, which raised it to 400. Each committee added or left out is on the Committees tab with the reason.</t>
        </is>
      </c>
    </row>
    <row r="23" ht="68" customHeight="1">
      <c r="B23" s="2" t="inlineStr">
        <is>
          <t>An earlier name-only matcher gave much higher counts (for example, about 45 Republican donors for Torres, where a filing-by-filing check supports 32). It matched people by name anywhere in Oregon. We threw that method out; nothing in this workbook rests on a name alone.</t>
        </is>
      </c>
    </row>
  </sheetData>
  <pageMargins left="0.75" right="0.75" top="1" bottom="1" header="0.5" footer="0.5"/>
</worksheet>
</file>

<file path=xl/worksheets/sheet4.xml><?xml version="1.0" encoding="utf-8"?>
<worksheet xmlns="http://schemas.openxmlformats.org/spreadsheetml/2006/main">
  <sheetPr>
    <tabColor rgb="00C8102E"/>
    <outlinePr summaryBelow="1" summaryRight="1"/>
    <pageSetUpPr/>
  </sheetPr>
  <dimension ref="B2:B20"/>
  <sheetViews>
    <sheetView showGridLines="0" workbookViewId="0">
      <selection activeCell="A1" sqref="A1"/>
    </sheetView>
  </sheetViews>
  <sheetFormatPr baseColWidth="8" defaultRowHeight="15"/>
  <cols>
    <col width="3" customWidth="1" min="1" max="1"/>
    <col width="100" customWidth="1" min="2" max="2"/>
    <col width="16" customWidth="1" min="3" max="3"/>
    <col width="16" customWidth="1" min="4" max="4"/>
    <col width="16" customWidth="1" min="5" max="5"/>
    <col width="16" customWidth="1" min="6" max="6"/>
    <col width="16" customWidth="1" min="7" max="7"/>
  </cols>
  <sheetData>
    <row r="2" ht="30" customHeight="1">
      <c r="B2" s="1" t="inlineStr">
        <is>
          <t>How to check a row yourself</t>
        </is>
      </c>
    </row>
    <row r="4" ht="36" customHeight="1">
      <c r="B4" s="2" t="inlineStr">
        <is>
          <t>Every gift in this workbook is written as Filer Id:Transaction ID, for example 24897:5873439. The first number is the committee; the second is the gift.</t>
        </is>
      </c>
    </row>
    <row r="6" ht="22" customHeight="1">
      <c r="B6" s="4" t="inlineStr">
        <is>
          <t>Look it up in ORESTAR</t>
        </is>
      </c>
    </row>
    <row r="7" ht="36" customHeight="1">
      <c r="B7" s="2" t="inlineStr">
        <is>
          <t>1. Go to Oregon's campaign-finance search, ORESTAR (sos.oregon.gov → Elections → ORESTAR → search campaign finance transactions).</t>
        </is>
      </c>
    </row>
    <row r="8" ht="20" customHeight="1">
      <c r="B8" s="2" t="inlineStr">
        <is>
          <t>2. Search the committee by its Filer Id, or by name (the Committees tab lists both).</t>
        </is>
      </c>
    </row>
    <row r="9" ht="36" customHeight="1">
      <c r="B9" s="2" t="inlineStr">
        <is>
          <t>3. Narrow to the gift's date (the Gifts tab has it), then find the row with that Transaction ID. Exporting the results to Excel shows a Tran Id column.</t>
        </is>
      </c>
    </row>
    <row r="10" ht="36" customHeight="1">
      <c r="B10" s="2" t="inlineStr">
        <is>
          <t>4. The filing shows the donor's name, address and employer, the same fields we matched on.</t>
        </is>
      </c>
    </row>
    <row r="11" ht="52" customHeight="1">
      <c r="B11" s="2" t="inlineStr">
        <is>
          <t>5. Do the same for the candidate gift on that row. If the two filings share a street address or PO box (with the same ZIP or city), or a ZIP and a specific employer, it's a direct match.</t>
        </is>
      </c>
    </row>
    <row r="13" ht="22" customHeight="1">
      <c r="B13" s="4" t="inlineStr">
        <is>
          <t>Worked example</t>
        </is>
      </c>
    </row>
    <row r="14" ht="88" customHeight="1">
      <c r="B14" s="5" t="inlineStr">
        <is>
          <t>Household H012 gave to Olivia Clark, Julia Brim-Edwards. Its Republican gifts are listed as 13998:677176; 13998:761247; 13998:846517; 13998:911093; 15192:1615784; 15192:2145598; 19050:2761997
Look up one candidate gift (e.g. 23199:4778922) and one Republican gift. Both filings show the same address.</t>
        </is>
      </c>
    </row>
    <row r="16" ht="22" customHeight="1">
      <c r="B16" s="4" t="inlineStr">
        <is>
          <t>Rows marked "Likely"</t>
        </is>
      </c>
    </row>
    <row r="17" ht="84" customHeight="1">
      <c r="B17" s="2" t="inlineStr">
        <is>
          <t>A few links needed more than one filing: the same employer listed at a home address on one gift and the office on the other, or a third filing that ties two addresses together. Each one says why in the row, and lists the extra Transaction IDs we used. We count them, but we mark them so you can judge for yourself. 7 of the 125 Republican households rest only on links like these.</t>
        </is>
      </c>
    </row>
    <row r="19" ht="22" customHeight="1">
      <c r="B19" s="4" t="inlineStr">
        <is>
          <t>Found a mistake?</t>
        </is>
      </c>
    </row>
    <row r="20" ht="36" customHeight="1">
      <c r="B20" s="2" t="inlineStr">
        <is>
          <t>Tell us through the contact on whosbuyingpdx.com. Send the household code and the Transaction ID. If we got it wrong, we'll correct it on the Receipts page with the date.</t>
        </is>
      </c>
    </row>
  </sheetData>
  <pageMargins left="0.75" right="0.75" top="1" bottom="1" header="0.5" footer="0.5"/>
</worksheet>
</file>

<file path=xl/worksheets/sheet5.xml><?xml version="1.0" encoding="utf-8"?>
<worksheet xmlns="http://schemas.openxmlformats.org/spreadsheetml/2006/main">
  <sheetPr>
    <tabColor rgb="00C8102E"/>
    <outlinePr summaryBelow="1" summaryRight="1"/>
    <pageSetUpPr/>
  </sheetPr>
  <dimension ref="B2:B32"/>
  <sheetViews>
    <sheetView showGridLines="0" workbookViewId="0">
      <selection activeCell="A1" sqref="A1"/>
    </sheetView>
  </sheetViews>
  <sheetFormatPr baseColWidth="8" defaultRowHeight="15"/>
  <cols>
    <col width="3" customWidth="1" min="1" max="1"/>
    <col width="100" customWidth="1" min="2" max="2"/>
    <col width="16" customWidth="1" min="3" max="3"/>
    <col width="16" customWidth="1" min="4" max="4"/>
    <col width="16" customWidth="1" min="5" max="5"/>
    <col width="16" customWidth="1" min="6" max="6"/>
    <col width="16" customWidth="1" min="7" max="7"/>
  </cols>
  <sheetData>
    <row r="2" ht="30" customHeight="1">
      <c r="B2" s="1" t="inlineStr">
        <is>
          <t>Words we use</t>
        </is>
      </c>
    </row>
    <row r="4">
      <c r="B4" s="7" t="inlineStr">
        <is>
          <t>Donor</t>
        </is>
      </c>
    </row>
    <row r="5" ht="36" customHeight="1">
      <c r="B5" s="2" t="inlineStr">
        <is>
          <t>An individual (not a business, PAC or union) who gave a candidate more than $100 since Jan 1, 2023, so their name is on the public filing.</t>
        </is>
      </c>
    </row>
    <row r="7">
      <c r="B7" s="7" t="inlineStr">
        <is>
          <t>Household</t>
        </is>
      </c>
    </row>
    <row r="8" ht="68" customHeight="1">
      <c r="B8" s="2" t="inlineStr">
        <is>
          <t>Donors with the same last name at the same home address or PO box: usually a couple. A person who files from two addresses is counted once. Siblings or other relatives who only share a business address are separate households. Codes starting with H gave to Republicans; codes starting with P gave only to Portland conservatives.</t>
        </is>
      </c>
    </row>
    <row r="10">
      <c r="B10" s="7" t="inlineStr">
        <is>
          <t>Pair</t>
        </is>
      </c>
    </row>
    <row r="11" ht="52" customHeight="1">
      <c r="B11" s="2" t="inlineStr">
        <is>
          <t>One donor on one candidate's list. A household that gave to three candidates makes three pairs. Candidate percentages use pairs; the site's household totals use households.</t>
        </is>
      </c>
    </row>
    <row r="13">
      <c r="B13" s="7" t="inlineStr">
        <is>
          <t>Republican campaign</t>
        </is>
      </c>
    </row>
    <row r="14" ht="52" customHeight="1">
      <c r="B14" s="2" t="inlineStr">
        <is>
          <t>One of 25 committees that filed as Republican: candidates (Drazan, Buehler, Dudley and others), the Oregon Republican Party, county parties, and House and Senate Republican caucus funds. Gifts back to 2006.</t>
        </is>
      </c>
    </row>
    <row r="16">
      <c r="B16" s="7" t="inlineStr">
        <is>
          <t>Portland conservative</t>
        </is>
      </c>
    </row>
    <row r="17" ht="68" customHeight="1">
      <c r="B17" s="2" t="inlineStr">
        <is>
          <t>Six local nonpartisan campaigns whose donors overlap the business-backed slate and none of the progressive councilors running against them: Rene Gonzalez, Nathan Vasquez, Vadim Mozyrsky, Sam Adams, Pam Treece, and Portland Accountability PAC (2022, pro-Gonzalez).</t>
        </is>
      </c>
    </row>
    <row r="19">
      <c r="B19" s="7" t="inlineStr">
        <is>
          <t>Match</t>
        </is>
      </c>
    </row>
    <row r="20" ht="52" customHeight="1">
      <c r="B20" s="2" t="inlineStr">
        <is>
          <t>A gift whose own filing matches the donor by the same street address or PO box (same ZIP or city), or the same ZIP and the same specific employer. "Retired," "self-employed" and the like don't count as an employer.</t>
        </is>
      </c>
    </row>
    <row r="22">
      <c r="B22" s="7" t="inlineStr">
        <is>
          <t>Confirmed</t>
        </is>
      </c>
    </row>
    <row r="23" ht="20" customHeight="1">
      <c r="B23" s="2" t="inlineStr">
        <is>
          <t>Matched directly by one of those rules.</t>
        </is>
      </c>
    </row>
    <row r="25">
      <c r="B25" s="7" t="inlineStr">
        <is>
          <t>Likely</t>
        </is>
      </c>
    </row>
    <row r="26" ht="36" customHeight="1">
      <c r="B26" s="2" t="inlineStr">
        <is>
          <t>Linked through another filing: the same employer under two names, home vs. office address, or a third filing tying two addresses together. Explained row by row.</t>
        </is>
      </c>
    </row>
    <row r="28">
      <c r="B28" s="7" t="inlineStr">
        <is>
          <t>Filer Id : Tran Id</t>
        </is>
      </c>
    </row>
    <row r="29" ht="36" customHeight="1">
      <c r="B29" s="2" t="inlineStr">
        <is>
          <t>ORESTAR's committee number and transaction number. Together they point to exactly one public filing.</t>
        </is>
      </c>
    </row>
    <row r="31">
      <c r="B31" s="7" t="inlineStr">
        <is>
          <t>Rounded</t>
        </is>
      </c>
    </row>
    <row r="32" ht="36" customHeight="1">
      <c r="B32" s="2" t="inlineStr">
        <is>
          <t>Amounts are rounded to $250 under $1,000, otherwise to $1,000. The exact amount is in the filing.</t>
        </is>
      </c>
    </row>
  </sheetData>
  <pageMargins left="0.75" right="0.75" top="1" bottom="1" header="0.5" footer="0.5"/>
</worksheet>
</file>

<file path=xl/worksheets/sheet6.xml><?xml version="1.0" encoding="utf-8"?>
<worksheet xmlns="http://schemas.openxmlformats.org/spreadsheetml/2006/main">
  <sheetPr>
    <tabColor rgb="008A8F99"/>
    <outlinePr summaryBelow="1" summaryRight="1"/>
    <pageSetUpPr/>
  </sheetPr>
  <dimension ref="A1:G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18" customWidth="1" min="3" max="3"/>
    <col width="14" customWidth="1" min="4" max="4"/>
    <col width="16" customWidth="1" min="5" max="5"/>
    <col width="10" customWidth="1" min="6" max="6"/>
    <col width="10" customWidth="1" min="7" max="7"/>
  </cols>
  <sheetData>
    <row r="1" ht="42" customHeight="1">
      <c r="A1" s="5" t="inlineStr">
        <is>
          <t>Counts are donor-and-candidate pairs (Steps 1–3). Share = (Republican + Portland conservative) ÷ donors. Total and Share are formulas.</t>
        </is>
      </c>
    </row>
    <row r="2">
      <c r="A2" s="11" t="inlineStr">
        <is>
          <t>← Back to Start here</t>
        </is>
      </c>
    </row>
    <row r="4" ht="34" customHeight="1">
      <c r="A4" s="12" t="inlineStr">
        <is>
          <t>Candidate</t>
        </is>
      </c>
      <c r="B4" s="12" t="inlineStr">
        <is>
          <t>Group</t>
        </is>
      </c>
      <c r="C4" s="12" t="inlineStr">
        <is>
          <t>Individual donors (over $100, since 2023)</t>
        </is>
      </c>
      <c r="D4" s="12" t="inlineStr">
        <is>
          <t>Gave to Republicans</t>
        </is>
      </c>
      <c r="E4" s="12" t="inlineStr">
        <is>
          <t>Portland conservative only</t>
        </is>
      </c>
      <c r="F4" s="12" t="inlineStr">
        <is>
          <t>Total</t>
        </is>
      </c>
      <c r="G4" s="12" t="inlineStr">
        <is>
          <t>Share</t>
        </is>
      </c>
    </row>
    <row r="5">
      <c r="A5" s="13" t="inlineStr">
        <is>
          <t>Kellie Torres</t>
        </is>
      </c>
      <c r="B5" s="13" t="inlineStr">
        <is>
          <t>business-backed</t>
        </is>
      </c>
      <c r="C5" s="13" t="n">
        <v>219</v>
      </c>
      <c r="D5" s="13" t="n">
        <v>32</v>
      </c>
      <c r="E5" s="13" t="n">
        <v>60</v>
      </c>
      <c r="F5" s="13">
        <f>D5+E5</f>
        <v/>
      </c>
      <c r="G5" s="14">
        <f>F5/C5</f>
        <v/>
      </c>
    </row>
    <row r="6">
      <c r="A6" s="13" t="inlineStr">
        <is>
          <t>Steve Novick</t>
        </is>
      </c>
      <c r="B6" s="13" t="inlineStr">
        <is>
          <t>business-backed</t>
        </is>
      </c>
      <c r="C6" s="13" t="n">
        <v>334</v>
      </c>
      <c r="D6" s="13" t="n">
        <v>25</v>
      </c>
      <c r="E6" s="13" t="n">
        <v>62</v>
      </c>
      <c r="F6" s="13">
        <f>D6+E6</f>
        <v/>
      </c>
      <c r="G6" s="14">
        <f>F6/C6</f>
        <v/>
      </c>
    </row>
    <row r="7">
      <c r="A7" s="13" t="inlineStr">
        <is>
          <t>Olivia Clark</t>
        </is>
      </c>
      <c r="B7" s="13" t="inlineStr">
        <is>
          <t>business-backed</t>
        </is>
      </c>
      <c r="C7" s="13" t="n">
        <v>320</v>
      </c>
      <c r="D7" s="13" t="n">
        <v>38</v>
      </c>
      <c r="E7" s="13" t="n">
        <v>73</v>
      </c>
      <c r="F7" s="13">
        <f>D7+E7</f>
        <v/>
      </c>
      <c r="G7" s="14">
        <f>F7/C7</f>
        <v/>
      </c>
    </row>
    <row r="8">
      <c r="A8" s="13" t="inlineStr">
        <is>
          <t>Eric Zimmerman</t>
        </is>
      </c>
      <c r="B8" s="13" t="inlineStr">
        <is>
          <t>business-backed</t>
        </is>
      </c>
      <c r="C8" s="13" t="n">
        <v>288</v>
      </c>
      <c r="D8" s="13" t="n">
        <v>37</v>
      </c>
      <c r="E8" s="13" t="n">
        <v>104</v>
      </c>
      <c r="F8" s="13">
        <f>D8+E8</f>
        <v/>
      </c>
      <c r="G8" s="14">
        <f>F8/C8</f>
        <v/>
      </c>
    </row>
    <row r="9">
      <c r="A9" s="13" t="inlineStr">
        <is>
          <t>Eli Arnold</t>
        </is>
      </c>
      <c r="B9" s="13" t="inlineStr">
        <is>
          <t>business-backed</t>
        </is>
      </c>
      <c r="C9" s="13" t="n">
        <v>239</v>
      </c>
      <c r="D9" s="13" t="n">
        <v>37</v>
      </c>
      <c r="E9" s="13" t="n">
        <v>71</v>
      </c>
      <c r="F9" s="13">
        <f>D9+E9</f>
        <v/>
      </c>
      <c r="G9" s="14">
        <f>F9/C9</f>
        <v/>
      </c>
    </row>
    <row r="10">
      <c r="A10" s="13" t="inlineStr">
        <is>
          <t>Julia Brim-Edwards</t>
        </is>
      </c>
      <c r="B10" s="13" t="inlineStr">
        <is>
          <t>business-backed</t>
        </is>
      </c>
      <c r="C10" s="13" t="n">
        <v>489</v>
      </c>
      <c r="D10" s="13" t="n">
        <v>77</v>
      </c>
      <c r="E10" s="13" t="n">
        <v>130</v>
      </c>
      <c r="F10" s="13">
        <f>D10+E10</f>
        <v/>
      </c>
      <c r="G10" s="14">
        <f>F10/C10</f>
        <v/>
      </c>
    </row>
    <row r="11">
      <c r="A11" s="13" t="inlineStr">
        <is>
          <t>Tiffany Koyama Lane</t>
        </is>
      </c>
      <c r="B11" s="13" t="inlineStr">
        <is>
          <t>comparison (progressive)</t>
        </is>
      </c>
      <c r="C11" s="13" t="n">
        <v>269</v>
      </c>
      <c r="D11" s="13" t="n">
        <v>0</v>
      </c>
      <c r="E11" s="13" t="n">
        <v>0</v>
      </c>
      <c r="F11" s="13">
        <f>D11+E11</f>
        <v/>
      </c>
      <c r="G11" s="14">
        <f>F11/C11</f>
        <v/>
      </c>
    </row>
    <row r="12">
      <c r="A12" s="13" t="inlineStr">
        <is>
          <t>Mitch Green</t>
        </is>
      </c>
      <c r="B12" s="13" t="inlineStr">
        <is>
          <t>comparison (progressive)</t>
        </is>
      </c>
      <c r="C12" s="13" t="n">
        <v>227</v>
      </c>
      <c r="D12" s="13" t="n">
        <v>0</v>
      </c>
      <c r="E12" s="13" t="n">
        <v>0</v>
      </c>
      <c r="F12" s="13">
        <f>D12+E12</f>
        <v/>
      </c>
      <c r="G12" s="14">
        <f>F12/C12</f>
        <v/>
      </c>
    </row>
    <row r="13">
      <c r="A13" s="13" t="inlineStr">
        <is>
          <t>Angelita Morillo</t>
        </is>
      </c>
      <c r="B13" s="13" t="inlineStr">
        <is>
          <t>comparison (progressive)</t>
        </is>
      </c>
      <c r="C13" s="13" t="n">
        <v>203</v>
      </c>
      <c r="D13" s="13" t="n">
        <v>0</v>
      </c>
      <c r="E13" s="13" t="n">
        <v>0</v>
      </c>
      <c r="F13" s="13">
        <f>D13+E13</f>
        <v/>
      </c>
      <c r="G13" s="14">
        <f>F13/C13</f>
        <v/>
      </c>
    </row>
    <row r="14">
      <c r="A14" s="13" t="inlineStr">
        <is>
          <t>Shannon Singleton</t>
        </is>
      </c>
      <c r="B14" s="13" t="inlineStr">
        <is>
          <t>comparison (progressive)</t>
        </is>
      </c>
      <c r="C14" s="13" t="n">
        <v>172</v>
      </c>
      <c r="D14" s="13" t="n">
        <v>0</v>
      </c>
      <c r="E14" s="13" t="n">
        <v>2</v>
      </c>
      <c r="F14" s="13">
        <f>D14+E14</f>
        <v/>
      </c>
      <c r="G14" s="14">
        <f>F14/C14</f>
        <v/>
      </c>
    </row>
  </sheetData>
  <mergeCells count="1">
    <mergeCell ref="A1:G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7.xml><?xml version="1.0" encoding="utf-8"?>
<worksheet xmlns="http://schemas.openxmlformats.org/spreadsheetml/2006/main">
  <sheetPr>
    <tabColor rgb="008A8F99"/>
    <outlinePr summaryBelow="1" summaryRight="1"/>
    <pageSetUpPr/>
  </sheetPr>
  <dimension ref="A1:N1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10" customWidth="1" min="3" max="3"/>
    <col width="9" customWidth="1" min="4" max="4"/>
    <col width="40" customWidth="1" min="5" max="5"/>
    <col width="10" customWidth="1" min="6" max="6"/>
    <col width="10" customWidth="1" min="7" max="7"/>
    <col width="10" customWidth="1" min="8" max="8"/>
    <col width="13" customWidth="1" min="9" max="9"/>
    <col width="22" customWidth="1" min="10" max="10"/>
    <col width="12" customWidth="1" min="11" max="11"/>
    <col width="50" customWidth="1" min="12" max="12"/>
    <col width="40" customWidth="1" min="13" max="13"/>
    <col width="32" customWidth="1" min="14" max="14"/>
  </cols>
  <sheetData>
    <row r="1" ht="42" customHeight="1">
      <c r="A1" s="5" t="inlineStr">
        <is>
          <t>One row per household that gave to at least one of the six and also to a Republican campaign. Every gift is on the Gifts tab with its date and committee.</t>
        </is>
      </c>
    </row>
    <row r="2">
      <c r="A2" s="11" t="inlineStr">
        <is>
          <t>← Back to Start here</t>
        </is>
      </c>
    </row>
    <row r="4" ht="34" customHeight="1">
      <c r="A4" s="12" t="inlineStr">
        <is>
          <t>Household</t>
        </is>
      </c>
      <c r="B4" s="12" t="inlineStr">
        <is>
          <t>Slate candidates given to</t>
        </is>
      </c>
      <c r="C4" s="12" t="inlineStr">
        <is>
          <t>No. of slate candidates</t>
        </is>
      </c>
      <c r="D4" s="12" t="inlineStr">
        <is>
          <t>Gave to Drazan</t>
        </is>
      </c>
      <c r="E4" s="12" t="inlineStr">
        <is>
          <t>Republican campaigns</t>
        </is>
      </c>
      <c r="F4" s="12" t="inlineStr">
        <is>
          <t>First Republican gift (year)</t>
        </is>
      </c>
      <c r="G4" s="12" t="inlineStr">
        <is>
          <t>Latest Republican gift (year)</t>
        </is>
      </c>
      <c r="H4" s="12" t="inlineStr">
        <is>
          <t>No. of Republican gifts</t>
        </is>
      </c>
      <c r="I4" s="12" t="inlineStr">
        <is>
          <t>Republican gifts, total ($, rounded)</t>
        </is>
      </c>
      <c r="J4" s="12" t="inlineStr">
        <is>
          <t>Match basis</t>
        </is>
      </c>
      <c r="K4" s="12" t="inlineStr">
        <is>
          <t>Verification</t>
        </is>
      </c>
      <c r="L4" s="12" t="inlineStr">
        <is>
          <t>Why, if not a direct match</t>
        </is>
      </c>
      <c r="M4" s="12" t="inlineStr">
        <is>
          <t>Republican gifts (Filer Id:Tran Id)</t>
        </is>
      </c>
      <c r="N4" s="12" t="inlineStr">
        <is>
          <t>Slate gifts (Filer Id:Tran Id)</t>
        </is>
      </c>
    </row>
    <row r="5">
      <c r="A5" s="13" t="inlineStr">
        <is>
          <t>H001</t>
        </is>
      </c>
      <c r="B5" s="15" t="inlineStr">
        <is>
          <t>Steve Novick</t>
        </is>
      </c>
      <c r="C5" s="13" t="n">
        <v>1</v>
      </c>
      <c r="D5" s="13" t="inlineStr">
        <is>
          <t>No</t>
        </is>
      </c>
      <c r="E5" s="15" t="inlineStr">
        <is>
          <t>Friends of Allen Alley</t>
        </is>
      </c>
      <c r="F5" s="13" t="n">
        <v>2008</v>
      </c>
      <c r="G5" s="13" t="n">
        <v>2009</v>
      </c>
      <c r="H5" s="13" t="n">
        <v>2</v>
      </c>
      <c r="I5" s="13" t="n">
        <v>3000</v>
      </c>
      <c r="J5" s="13" t="inlineStr">
        <is>
          <t>Street address or PO box</t>
        </is>
      </c>
      <c r="K5" s="13" t="inlineStr">
        <is>
          <t>Confirmed</t>
        </is>
      </c>
      <c r="L5" s="15" t="inlineStr"/>
      <c r="M5" s="13" t="inlineStr">
        <is>
          <t>12878:307941; 12878:554702</t>
        </is>
      </c>
      <c r="N5" s="13" t="inlineStr">
        <is>
          <t>15109:5022280</t>
        </is>
      </c>
    </row>
    <row r="6">
      <c r="A6" s="13" t="inlineStr">
        <is>
          <t>H002</t>
        </is>
      </c>
      <c r="B6" s="15" t="inlineStr">
        <is>
          <t>Julia Brim-Edwards</t>
        </is>
      </c>
      <c r="C6" s="13" t="n">
        <v>1</v>
      </c>
      <c r="D6" s="13" t="inlineStr">
        <is>
          <t>Yes</t>
        </is>
      </c>
      <c r="E6" s="15" t="inlineStr">
        <is>
          <t>Bud Pierce for a Better Oregon; Citizens to Elect Dennis Richardson; Friends of Allen Alley; Friends of Chris Dudley; Friends of Christine Drazan; Friends of Kim Thatcher; Knute for Governor</t>
        </is>
      </c>
      <c r="F6" s="13" t="n">
        <v>2008</v>
      </c>
      <c r="G6" s="13" t="n">
        <v>2026</v>
      </c>
      <c r="H6" s="13" t="n">
        <v>18</v>
      </c>
      <c r="I6" s="13" t="n">
        <v>51000</v>
      </c>
      <c r="J6" s="13" t="inlineStr">
        <is>
          <t>Street address or PO box</t>
        </is>
      </c>
      <c r="K6" s="13" t="inlineStr">
        <is>
          <t>Confirmed</t>
        </is>
      </c>
      <c r="L6" s="15" t="inlineStr"/>
      <c r="M6" s="13" t="inlineStr">
        <is>
          <t>12878:346009; 12878:561926; 13998:737042; 13998:780531; 13998:810187; 13998:867527; 13998:889878; 4155:1691136; 12878:2214008; 12878:2255309; 17397:2338132; 17397:2400409; 15192:2800100; 15192:2903943; 15192:3008676; 4871:3576688; 19050:5753126; 19050:5771083</t>
        </is>
      </c>
      <c r="N6" s="13" t="inlineStr">
        <is>
          <t>21206:4913049; 21206:4530514</t>
        </is>
      </c>
    </row>
    <row r="7">
      <c r="A7" s="13" t="inlineStr">
        <is>
          <t>H003</t>
        </is>
      </c>
      <c r="B7" s="15" t="inlineStr">
        <is>
          <t>Olivia Clark, Julia Brim-Edwards</t>
        </is>
      </c>
      <c r="C7" s="13" t="n">
        <v>2</v>
      </c>
      <c r="D7" s="13" t="inlineStr">
        <is>
          <t>No</t>
        </is>
      </c>
      <c r="E7" s="15" t="inlineStr">
        <is>
          <t>Friends of Allen Alley</t>
        </is>
      </c>
      <c r="F7" s="13" t="n">
        <v>2008</v>
      </c>
      <c r="G7" s="13" t="n">
        <v>2008</v>
      </c>
      <c r="H7" s="13" t="n">
        <v>1</v>
      </c>
      <c r="I7" s="13" t="n">
        <v>250</v>
      </c>
      <c r="J7" s="13" t="inlineStr">
        <is>
          <t>Street address or PO box</t>
        </is>
      </c>
      <c r="K7" s="13" t="inlineStr">
        <is>
          <t>Confirmed</t>
        </is>
      </c>
      <c r="L7" s="15" t="inlineStr"/>
      <c r="M7" s="13" t="inlineStr">
        <is>
          <t>12878:373393</t>
        </is>
      </c>
      <c r="N7" s="13" t="inlineStr">
        <is>
          <t>23199:4712016; 21206:4853079; 21206:4536309</t>
        </is>
      </c>
    </row>
    <row r="8">
      <c r="A8" s="13" t="inlineStr">
        <is>
          <t>H004</t>
        </is>
      </c>
      <c r="B8" s="15" t="inlineStr">
        <is>
          <t>Julia Brim-Edwards</t>
        </is>
      </c>
      <c r="C8" s="13" t="n">
        <v>1</v>
      </c>
      <c r="D8" s="13" t="inlineStr">
        <is>
          <t>No</t>
        </is>
      </c>
      <c r="E8" s="15" t="inlineStr">
        <is>
          <t>Friends of Allen Alley</t>
        </is>
      </c>
      <c r="F8" s="13" t="n">
        <v>2008</v>
      </c>
      <c r="G8" s="13" t="n">
        <v>2008</v>
      </c>
      <c r="H8" s="13" t="n">
        <v>2</v>
      </c>
      <c r="I8" s="13" t="n">
        <v>1000</v>
      </c>
      <c r="J8" s="13" t="inlineStr">
        <is>
          <t>Street address or PO box</t>
        </is>
      </c>
      <c r="K8" s="13" t="inlineStr">
        <is>
          <t>Confirmed</t>
        </is>
      </c>
      <c r="L8" s="15" t="inlineStr"/>
      <c r="M8" s="13" t="inlineStr">
        <is>
          <t>12878:406431; 12878:436939</t>
        </is>
      </c>
      <c r="N8" s="13" t="inlineStr">
        <is>
          <t>21206:5627329; 21206:4572188</t>
        </is>
      </c>
    </row>
    <row r="9">
      <c r="A9" s="13" t="inlineStr">
        <is>
          <t>H005</t>
        </is>
      </c>
      <c r="B9" s="15" t="inlineStr">
        <is>
          <t>Kellie Torres, Olivia Clark, Julia Brim-Edwards</t>
        </is>
      </c>
      <c r="C9" s="13" t="n">
        <v>3</v>
      </c>
      <c r="D9" s="13" t="inlineStr">
        <is>
          <t>No</t>
        </is>
      </c>
      <c r="E9" s="15" t="inlineStr">
        <is>
          <t>Friends of Allen Alley</t>
        </is>
      </c>
      <c r="F9" s="13" t="n">
        <v>2008</v>
      </c>
      <c r="G9" s="13" t="n">
        <v>2008</v>
      </c>
      <c r="H9" s="13" t="n">
        <v>1</v>
      </c>
      <c r="I9" s="13" t="n">
        <v>500</v>
      </c>
      <c r="J9" s="13" t="inlineStr">
        <is>
          <t>Street address or PO box</t>
        </is>
      </c>
      <c r="K9" s="13" t="inlineStr">
        <is>
          <t>Confirmed</t>
        </is>
      </c>
      <c r="L9" s="15" t="inlineStr"/>
      <c r="M9" s="13" t="inlineStr">
        <is>
          <t>12878:449303</t>
        </is>
      </c>
      <c r="N9" s="13" t="inlineStr">
        <is>
          <t>24897:5846576; 24897:5846642; 23199:5633047; 23199:5085923; 21206:5747271; 21206:4551175</t>
        </is>
      </c>
    </row>
    <row r="10">
      <c r="A10" s="13" t="inlineStr">
        <is>
          <t>H006</t>
        </is>
      </c>
      <c r="B10" s="15" t="inlineStr">
        <is>
          <t>Julia Brim-Edwards</t>
        </is>
      </c>
      <c r="C10" s="13" t="n">
        <v>1</v>
      </c>
      <c r="D10" s="13" t="inlineStr">
        <is>
          <t>No</t>
        </is>
      </c>
      <c r="E10" s="15" t="inlineStr">
        <is>
          <t>Bring Balance to Salem PAC; Friends of Allen Alley; Friends of Chris Dudley; Friends of Will Lathrop; Knute Buehler for Secretary of State; Knute for Governor; The Leadership Fund; Working Families for Bruce Starr</t>
        </is>
      </c>
      <c r="F10" s="13" t="n">
        <v>2008</v>
      </c>
      <c r="G10" s="13" t="n">
        <v>2024</v>
      </c>
      <c r="H10" s="13" t="n">
        <v>10</v>
      </c>
      <c r="I10" s="13" t="n">
        <v>62000</v>
      </c>
      <c r="J10" s="13" t="inlineStr">
        <is>
          <t>Street address or PO box</t>
        </is>
      </c>
      <c r="K10" s="13" t="inlineStr">
        <is>
          <t>Confirmed</t>
        </is>
      </c>
      <c r="L10" s="15" t="inlineStr"/>
      <c r="M10" s="13" t="inlineStr">
        <is>
          <t>12878:456114; 13998:931177; 2752:1197497; 2690:1221981; 2690:1272145; 15192:1283234; 15192:3012967; 21896:4788154; 21717:5108443; 21896:5124500</t>
        </is>
      </c>
      <c r="N10" s="13" t="inlineStr">
        <is>
          <t>21206:4860147</t>
        </is>
      </c>
    </row>
    <row r="11">
      <c r="A11" s="13" t="inlineStr">
        <is>
          <t>H007</t>
        </is>
      </c>
      <c r="B11" s="15" t="inlineStr">
        <is>
          <t>Eric Zimmerman</t>
        </is>
      </c>
      <c r="C11" s="13" t="n">
        <v>1</v>
      </c>
      <c r="D11" s="13" t="inlineStr">
        <is>
          <t>No</t>
        </is>
      </c>
      <c r="E11" s="15" t="inlineStr">
        <is>
          <t>Friends of Allen Alley</t>
        </is>
      </c>
      <c r="F11" s="13" t="n">
        <v>2008</v>
      </c>
      <c r="G11" s="13" t="n">
        <v>2010</v>
      </c>
      <c r="H11" s="13" t="n">
        <v>3</v>
      </c>
      <c r="I11" s="13" t="n">
        <v>8000</v>
      </c>
      <c r="J11" s="13" t="inlineStr">
        <is>
          <t>Street address or PO box</t>
        </is>
      </c>
      <c r="K11" s="13" t="inlineStr">
        <is>
          <t>Confirmed</t>
        </is>
      </c>
      <c r="L11" s="15" t="inlineStr"/>
      <c r="M11" s="13" t="inlineStr">
        <is>
          <t>12878:467460; 12878:615753; 12878:730702</t>
        </is>
      </c>
      <c r="N11" s="13" t="inlineStr">
        <is>
          <t>17629:5813937</t>
        </is>
      </c>
    </row>
    <row r="12">
      <c r="A12" s="13" t="inlineStr">
        <is>
          <t>H008</t>
        </is>
      </c>
      <c r="B12" s="15" t="inlineStr">
        <is>
          <t>Kellie Torres, Steve Novick, Eric Zimmerman</t>
        </is>
      </c>
      <c r="C12" s="13" t="n">
        <v>3</v>
      </c>
      <c r="D12" s="13" t="inlineStr">
        <is>
          <t>No</t>
        </is>
      </c>
      <c r="E12" s="15" t="inlineStr">
        <is>
          <t>Friends of Allen Alley</t>
        </is>
      </c>
      <c r="F12" s="13" t="n">
        <v>2008</v>
      </c>
      <c r="G12" s="13" t="n">
        <v>2008</v>
      </c>
      <c r="H12" s="13" t="n">
        <v>1</v>
      </c>
      <c r="I12" s="13" t="n">
        <v>500</v>
      </c>
      <c r="J12" s="13" t="inlineStr">
        <is>
          <t>Hand review</t>
        </is>
      </c>
      <c r="K12" s="13" t="inlineStr">
        <is>
          <t>Likely</t>
        </is>
      </c>
      <c r="L12" s="15" t="inlineStr">
        <is>
          <t>The two gifts list the same law firm under two versions of its name, one from a home address and one from the office. No single filing ties the two addresses.</t>
        </is>
      </c>
      <c r="M12" s="13" t="inlineStr">
        <is>
          <t>12878:467561</t>
        </is>
      </c>
      <c r="N12" s="13" t="inlineStr">
        <is>
          <t>24897:5873385; 15109:5863396; 17629:5852827</t>
        </is>
      </c>
    </row>
    <row r="13">
      <c r="A13" s="13" t="inlineStr">
        <is>
          <t>H009</t>
        </is>
      </c>
      <c r="B13" s="15" t="inlineStr">
        <is>
          <t>Olivia Clark</t>
        </is>
      </c>
      <c r="C13" s="13" t="n">
        <v>1</v>
      </c>
      <c r="D13" s="13" t="inlineStr">
        <is>
          <t>No</t>
        </is>
      </c>
      <c r="E13" s="15" t="inlineStr">
        <is>
          <t>Dudley for Oregon; Friends of Chris Dudley</t>
        </is>
      </c>
      <c r="F13" s="13" t="n">
        <v>2009</v>
      </c>
      <c r="G13" s="13" t="n">
        <v>2026</v>
      </c>
      <c r="H13" s="13" t="n">
        <v>2</v>
      </c>
      <c r="I13" s="13" t="n">
        <v>6000</v>
      </c>
      <c r="J13" s="13" t="inlineStr">
        <is>
          <t>Street address or PO box, ZIP + employer</t>
        </is>
      </c>
      <c r="K13" s="13" t="inlineStr">
        <is>
          <t>Confirmed</t>
        </is>
      </c>
      <c r="L13" s="15" t="inlineStr"/>
      <c r="M13" s="13" t="inlineStr">
        <is>
          <t>13998:645475; 24693:5578379</t>
        </is>
      </c>
      <c r="N13" s="13" t="inlineStr">
        <is>
          <t>23199:5868497</t>
        </is>
      </c>
    </row>
    <row r="14">
      <c r="A14" s="13" t="inlineStr">
        <is>
          <t>H010</t>
        </is>
      </c>
      <c r="B14" s="15" t="inlineStr">
        <is>
          <t>Julia Brim-Edwards</t>
        </is>
      </c>
      <c r="C14" s="13" t="n">
        <v>1</v>
      </c>
      <c r="D14" s="13" t="inlineStr">
        <is>
          <t>No</t>
        </is>
      </c>
      <c r="E14" s="15" t="inlineStr">
        <is>
          <t>Dudley for Oregon; Friends of Chris Dudley</t>
        </is>
      </c>
      <c r="F14" s="13" t="n">
        <v>2009</v>
      </c>
      <c r="G14" s="13" t="n">
        <v>2026</v>
      </c>
      <c r="H14" s="13" t="n">
        <v>2</v>
      </c>
      <c r="I14" s="13" t="n">
        <v>3000</v>
      </c>
      <c r="J14" s="13" t="inlineStr">
        <is>
          <t>Street address or PO box</t>
        </is>
      </c>
      <c r="K14" s="13" t="inlineStr">
        <is>
          <t>Confirmed</t>
        </is>
      </c>
      <c r="L14" s="15" t="inlineStr"/>
      <c r="M14" s="13" t="inlineStr">
        <is>
          <t>13998:645691; 24693:5639462</t>
        </is>
      </c>
      <c r="N14" s="13" t="inlineStr">
        <is>
          <t>21206:5704151</t>
        </is>
      </c>
    </row>
    <row r="15">
      <c r="A15" s="13" t="inlineStr">
        <is>
          <t>H011</t>
        </is>
      </c>
      <c r="B15" s="15" t="inlineStr">
        <is>
          <t>Eli Arnold</t>
        </is>
      </c>
      <c r="C15" s="13" t="n">
        <v>1</v>
      </c>
      <c r="D15" s="13" t="inlineStr">
        <is>
          <t>No</t>
        </is>
      </c>
      <c r="E15" s="15" t="inlineStr">
        <is>
          <t>Friends of Chris Dudley</t>
        </is>
      </c>
      <c r="F15" s="13" t="n">
        <v>2009</v>
      </c>
      <c r="G15" s="13" t="n">
        <v>2010</v>
      </c>
      <c r="H15" s="13" t="n">
        <v>2</v>
      </c>
      <c r="I15" s="13" t="n">
        <v>500</v>
      </c>
      <c r="J15" s="13" t="inlineStr">
        <is>
          <t>Street address or PO box</t>
        </is>
      </c>
      <c r="K15" s="13" t="inlineStr">
        <is>
          <t>Confirmed</t>
        </is>
      </c>
      <c r="L15" s="15" t="inlineStr"/>
      <c r="M15" s="13" t="inlineStr">
        <is>
          <t>13998:661714; 13998:819738</t>
        </is>
      </c>
      <c r="N15" s="13" t="inlineStr">
        <is>
          <t>23295:5505111; 23295:5505122</t>
        </is>
      </c>
    </row>
    <row r="16">
      <c r="A16" s="13" t="inlineStr">
        <is>
          <t>H012</t>
        </is>
      </c>
      <c r="B16" s="15" t="inlineStr">
        <is>
          <t>Olivia Clark, Julia Brim-Edwards</t>
        </is>
      </c>
      <c r="C16" s="13" t="n">
        <v>2</v>
      </c>
      <c r="D16" s="13" t="inlineStr">
        <is>
          <t>Yes</t>
        </is>
      </c>
      <c r="E16" s="15" t="inlineStr">
        <is>
          <t>Buehler For a United Oregon; Friends of Chris Dudley; Friends of Christine Drazan</t>
        </is>
      </c>
      <c r="F16" s="13" t="n">
        <v>2010</v>
      </c>
      <c r="G16" s="13" t="n">
        <v>2018</v>
      </c>
      <c r="H16" s="13" t="n">
        <v>7</v>
      </c>
      <c r="I16" s="13" t="n">
        <v>1000</v>
      </c>
      <c r="J16" s="13" t="inlineStr">
        <is>
          <t>Street address or PO box, ZIP + employer</t>
        </is>
      </c>
      <c r="K16" s="13" t="inlineStr">
        <is>
          <t>Confirmed</t>
        </is>
      </c>
      <c r="L16" s="15" t="inlineStr"/>
      <c r="M16" s="13" t="inlineStr">
        <is>
          <t>13998:677176; 13998:761247; 13998:846517; 13998:911093; 15192:1615784; 15192:2145598; 19050:2761997</t>
        </is>
      </c>
      <c r="N16" s="13" t="inlineStr">
        <is>
          <t>23199:4778922; 21206:4536329</t>
        </is>
      </c>
    </row>
    <row r="17">
      <c r="A17" s="13" t="inlineStr">
        <is>
          <t>H013</t>
        </is>
      </c>
      <c r="B17" s="15" t="inlineStr">
        <is>
          <t>Kellie Torres, Eric Zimmerman</t>
        </is>
      </c>
      <c r="C17" s="13" t="n">
        <v>2</v>
      </c>
      <c r="D17" s="13" t="inlineStr">
        <is>
          <t>Yes</t>
        </is>
      </c>
      <c r="E17" s="15" t="inlineStr">
        <is>
          <t>Friends of Allen Alley; Friends of Chris Dudley; Friends of Christine Drazan; Knute for Governor</t>
        </is>
      </c>
      <c r="F17" s="13" t="n">
        <v>2010</v>
      </c>
      <c r="G17" s="13" t="n">
        <v>2026</v>
      </c>
      <c r="H17" s="13" t="n">
        <v>7</v>
      </c>
      <c r="I17" s="13" t="n">
        <v>37000</v>
      </c>
      <c r="J17" s="13" t="inlineStr">
        <is>
          <t>Street address or PO box</t>
        </is>
      </c>
      <c r="K17" s="13" t="inlineStr">
        <is>
          <t>Confirmed</t>
        </is>
      </c>
      <c r="L17" s="15" t="inlineStr"/>
      <c r="M17" s="13" t="inlineStr">
        <is>
          <t>13998:704478; 13998:861561; 12878:2206664; 15192:2729829; 19050:4388949; 19050:5722342; 19050:5838902</t>
        </is>
      </c>
      <c r="N17" s="13" t="inlineStr">
        <is>
          <t>24897:5873453; 24897:5760928; 17629:5852794</t>
        </is>
      </c>
    </row>
    <row r="18">
      <c r="A18" s="13" t="inlineStr">
        <is>
          <t>H014</t>
        </is>
      </c>
      <c r="B18" s="15" t="inlineStr">
        <is>
          <t>Julia Brim-Edwards</t>
        </is>
      </c>
      <c r="C18" s="13" t="n">
        <v>1</v>
      </c>
      <c r="D18" s="13" t="inlineStr">
        <is>
          <t>No</t>
        </is>
      </c>
      <c r="E18" s="15" t="inlineStr">
        <is>
          <t>The Leadership Fund</t>
        </is>
      </c>
      <c r="F18" s="13" t="n">
        <v>2010</v>
      </c>
      <c r="G18" s="13" t="n">
        <v>2010</v>
      </c>
      <c r="H18" s="13" t="n">
        <v>1</v>
      </c>
      <c r="I18" s="13" t="n">
        <v>500</v>
      </c>
      <c r="J18" s="13" t="inlineStr">
        <is>
          <t>ZIP + employer</t>
        </is>
      </c>
      <c r="K18" s="13" t="inlineStr">
        <is>
          <t>Confirmed</t>
        </is>
      </c>
      <c r="L18" s="15" t="inlineStr"/>
      <c r="M18" s="13" t="inlineStr">
        <is>
          <t>2690:723588</t>
        </is>
      </c>
      <c r="N18" s="13" t="inlineStr">
        <is>
          <t>21206:4921375</t>
        </is>
      </c>
    </row>
    <row r="19">
      <c r="A19" s="13" t="inlineStr">
        <is>
          <t>H015</t>
        </is>
      </c>
      <c r="B19" s="15" t="inlineStr">
        <is>
          <t>Julia Brim-Edwards</t>
        </is>
      </c>
      <c r="C19" s="13" t="n">
        <v>1</v>
      </c>
      <c r="D19" s="13" t="inlineStr">
        <is>
          <t>No</t>
        </is>
      </c>
      <c r="E19" s="15" t="inlineStr">
        <is>
          <t>The Leadership Fund</t>
        </is>
      </c>
      <c r="F19" s="13" t="n">
        <v>2010</v>
      </c>
      <c r="G19" s="13" t="n">
        <v>2010</v>
      </c>
      <c r="H19" s="13" t="n">
        <v>1</v>
      </c>
      <c r="I19" s="13" t="n">
        <v>250</v>
      </c>
      <c r="J19" s="13" t="inlineStr">
        <is>
          <t>Street address or PO box</t>
        </is>
      </c>
      <c r="K19" s="13" t="inlineStr">
        <is>
          <t>Confirmed</t>
        </is>
      </c>
      <c r="L19" s="15" t="inlineStr"/>
      <c r="M19" s="13" t="inlineStr">
        <is>
          <t>2690:726280</t>
        </is>
      </c>
      <c r="N19" s="13" t="inlineStr">
        <is>
          <t>21206:5857115; 21206:4536341</t>
        </is>
      </c>
    </row>
    <row r="20">
      <c r="A20" s="13" t="inlineStr">
        <is>
          <t>H016</t>
        </is>
      </c>
      <c r="B20" s="15" t="inlineStr">
        <is>
          <t>Steve Novick, Eli Arnold</t>
        </is>
      </c>
      <c r="C20" s="13" t="n">
        <v>2</v>
      </c>
      <c r="D20" s="13" t="inlineStr">
        <is>
          <t>Yes</t>
        </is>
      </c>
      <c r="E20" s="15" t="inlineStr">
        <is>
          <t>Friends of Chris Dudley; Friends of Christine Drazan; Friends of Will Lathrop; Knute for Governor</t>
        </is>
      </c>
      <c r="F20" s="13" t="n">
        <v>2010</v>
      </c>
      <c r="G20" s="13" t="n">
        <v>2024</v>
      </c>
      <c r="H20" s="13" t="n">
        <v>14</v>
      </c>
      <c r="I20" s="13" t="n">
        <v>66000</v>
      </c>
      <c r="J20" s="13" t="inlineStr">
        <is>
          <t>Street address or PO box, ZIP + employer</t>
        </is>
      </c>
      <c r="K20" s="13" t="inlineStr">
        <is>
          <t>Confirmed</t>
        </is>
      </c>
      <c r="L20" s="15" t="inlineStr"/>
      <c r="M20" s="13" t="inlineStr">
        <is>
          <t>13998:775628; 13998:812221; 13998:817465; 13998:862917; 13998:936530; 15192:2620145; 15192:2620146; 15192:2889599; 15192:2894245; 15192:2948046; 15192:3003198; 15192:3009905; 19050:4375712; 21896:5086898</t>
        </is>
      </c>
      <c r="N20" s="13" t="inlineStr">
        <is>
          <t>15109:5830453; 15109:5685046; 15109:4785325; 23295:5686494; 23295:5674943</t>
        </is>
      </c>
    </row>
    <row r="21">
      <c r="A21" s="13" t="inlineStr">
        <is>
          <t>H017</t>
        </is>
      </c>
      <c r="B21" s="15" t="inlineStr">
        <is>
          <t>Kellie Torres, Eric Zimmerman</t>
        </is>
      </c>
      <c r="C21" s="13" t="n">
        <v>2</v>
      </c>
      <c r="D21" s="13" t="inlineStr">
        <is>
          <t>No</t>
        </is>
      </c>
      <c r="E21" s="15" t="inlineStr">
        <is>
          <t>Friends of Chris Dudley</t>
        </is>
      </c>
      <c r="F21" s="13" t="n">
        <v>2010</v>
      </c>
      <c r="G21" s="13" t="n">
        <v>2010</v>
      </c>
      <c r="H21" s="13" t="n">
        <v>2</v>
      </c>
      <c r="I21" s="13" t="n">
        <v>1000</v>
      </c>
      <c r="J21" s="13" t="inlineStr">
        <is>
          <t>Hand review</t>
        </is>
      </c>
      <c r="K21" s="13" t="inlineStr">
        <is>
          <t>Likely</t>
        </is>
      </c>
      <c r="L21" s="15" t="inlineStr">
        <is>
          <t>The two gifts list the same firm (one abbreviated), one from a home address and one from the office.</t>
        </is>
      </c>
      <c r="M21" s="13" t="inlineStr">
        <is>
          <t>13998:797496; 13998:949704</t>
        </is>
      </c>
      <c r="N21" s="13" t="inlineStr">
        <is>
          <t>24897:5812169; 17629:5868399</t>
        </is>
      </c>
    </row>
    <row r="22">
      <c r="A22" s="13" t="inlineStr">
        <is>
          <t>H018</t>
        </is>
      </c>
      <c r="B22" s="15" t="inlineStr">
        <is>
          <t>Kellie Torres</t>
        </is>
      </c>
      <c r="C22" s="13" t="n">
        <v>1</v>
      </c>
      <c r="D22" s="13" t="inlineStr">
        <is>
          <t>Yes</t>
        </is>
      </c>
      <c r="E22" s="15" t="inlineStr">
        <is>
          <t>Bud Pierce for a Better Oregon; Citizens to Elect Dennis Richardson; Evergreen Oregon PAC; Friends of Allen Alley; Friends of Chris Dudley; Friends of Christine Drazan; Knute Buehler for Secretary of State; Knute for Governor</t>
        </is>
      </c>
      <c r="F22" s="13" t="n">
        <v>2010</v>
      </c>
      <c r="G22" s="13" t="n">
        <v>2026</v>
      </c>
      <c r="H22" s="13" t="n">
        <v>19</v>
      </c>
      <c r="I22" s="13" t="n">
        <v>16000</v>
      </c>
      <c r="J22" s="13" t="inlineStr">
        <is>
          <t>Street address or PO box</t>
        </is>
      </c>
      <c r="K22" s="13" t="inlineStr">
        <is>
          <t>Confirmed</t>
        </is>
      </c>
      <c r="L22" s="15" t="inlineStr"/>
      <c r="M22" s="13" t="inlineStr">
        <is>
          <t>13998:949689; 13998:949688; 15192:1270034; 15192:1382465; 15192:1414274; 4155:1764279; 4155:1862480; 12878:2204149; 12878:2227651; 17397:2227560; 17397:2275366; 17397:2402657; 15192:2871059; 20202:3282978; 20202:3824692; 19050:4312835; 19050:5099437; 19050:5672089; 19050:5778485</t>
        </is>
      </c>
      <c r="N22" s="13" t="inlineStr">
        <is>
          <t>24897:5760945</t>
        </is>
      </c>
    </row>
    <row r="23">
      <c r="A23" s="13" t="inlineStr">
        <is>
          <t>H019</t>
        </is>
      </c>
      <c r="B23" s="15" t="inlineStr">
        <is>
          <t>Kellie Torres, Steve Novick, Olivia Clark, Eric Zimmerman, Julia Brim-Edwards</t>
        </is>
      </c>
      <c r="C23" s="13" t="n">
        <v>5</v>
      </c>
      <c r="D23" s="13" t="inlineStr">
        <is>
          <t>No</t>
        </is>
      </c>
      <c r="E23" s="15" t="inlineStr">
        <is>
          <t>Friends of Chris Dudley</t>
        </is>
      </c>
      <c r="F23" s="13" t="n">
        <v>2010</v>
      </c>
      <c r="G23" s="13" t="n">
        <v>2010</v>
      </c>
      <c r="H23" s="13" t="n">
        <v>1</v>
      </c>
      <c r="I23" s="13" t="n">
        <v>1000</v>
      </c>
      <c r="J23" s="13" t="inlineStr">
        <is>
          <t>Hand review</t>
        </is>
      </c>
      <c r="K23" s="13" t="inlineStr">
        <is>
          <t>Likely</t>
        </is>
      </c>
      <c r="L23" s="15" t="inlineStr">
        <is>
          <t>Another filing ties the Republican-gift address to the employer on the candidate gifts. Weakest link in the set: several relatives share that office. Supporting filings (Tran Id): 3510647.</t>
        </is>
      </c>
      <c r="M23" s="13" t="inlineStr">
        <is>
          <t>13998:890502</t>
        </is>
      </c>
      <c r="N23" s="13" t="inlineStr">
        <is>
          <t>24897:5658420; 21206:5555015; 21206:4913050; 21206:4530526; 15109:5717509; 23199:5473737; 23199:5375105; 17629:5813892; 17629:5017065</t>
        </is>
      </c>
    </row>
    <row r="24">
      <c r="A24" s="13" t="inlineStr">
        <is>
          <t>H020</t>
        </is>
      </c>
      <c r="B24" s="15" t="inlineStr">
        <is>
          <t>Kellie Torres, Steve Novick, Olivia Clark, Eric Zimmerman, Julia Brim-Edwards</t>
        </is>
      </c>
      <c r="C24" s="13" t="n">
        <v>5</v>
      </c>
      <c r="D24" s="13" t="inlineStr">
        <is>
          <t>No</t>
        </is>
      </c>
      <c r="E24" s="15" t="inlineStr">
        <is>
          <t>Starr, Bruce, for State Senate Committee</t>
        </is>
      </c>
      <c r="F24" s="13" t="n">
        <v>2010</v>
      </c>
      <c r="G24" s="13" t="n">
        <v>2010</v>
      </c>
      <c r="H24" s="13" t="n">
        <v>1</v>
      </c>
      <c r="I24" s="13" t="n">
        <v>250</v>
      </c>
      <c r="J24" s="13" t="inlineStr">
        <is>
          <t>ZIP + employer</t>
        </is>
      </c>
      <c r="K24" s="13" t="inlineStr">
        <is>
          <t>Confirmed</t>
        </is>
      </c>
      <c r="L24" s="15" t="inlineStr"/>
      <c r="M24" s="13" t="inlineStr">
        <is>
          <t>2752:944216</t>
        </is>
      </c>
      <c r="N24" s="13" t="inlineStr">
        <is>
          <t>24897:5846625; 15109:5717485; 23199:5844223; 23199:4931476; 17629:5813959; 17629:5778160; 21206:4551189</t>
        </is>
      </c>
    </row>
    <row r="25">
      <c r="A25" s="13" t="inlineStr">
        <is>
          <t>H021</t>
        </is>
      </c>
      <c r="B25" s="15" t="inlineStr">
        <is>
          <t>Kellie Torres, Olivia Clark, Eric Zimmerman, Julia Brim-Edwards</t>
        </is>
      </c>
      <c r="C25" s="13" t="n">
        <v>4</v>
      </c>
      <c r="D25" s="13" t="inlineStr">
        <is>
          <t>Yes</t>
        </is>
      </c>
      <c r="E25" s="15" t="inlineStr">
        <is>
          <t>Bud Pierce for a Better Oregon; Citizens to Elect Dennis Richardson; Friends of Christine Drazan; Friends of Kim Thatcher; Knute Buehler for Secretary of State; Knute for Governor; The Leadership Fund</t>
        </is>
      </c>
      <c r="F25" s="13" t="n">
        <v>2011</v>
      </c>
      <c r="G25" s="13" t="n">
        <v>2026</v>
      </c>
      <c r="H25" s="13" t="n">
        <v>7</v>
      </c>
      <c r="I25" s="13" t="n">
        <v>5000</v>
      </c>
      <c r="J25" s="13" t="inlineStr">
        <is>
          <t>Street address or PO box</t>
        </is>
      </c>
      <c r="K25" s="13" t="inlineStr">
        <is>
          <t>Confirmed</t>
        </is>
      </c>
      <c r="L25" s="15" t="inlineStr"/>
      <c r="M25" s="13" t="inlineStr">
        <is>
          <t>15192:1125657; 4155:1832575; 17397:2294547; 15192:2887948; 2690:3164998; 4871:3474655; 19050:5804309</t>
        </is>
      </c>
      <c r="N25" s="13" t="inlineStr">
        <is>
          <t>24897:5878236; 23199:5800302; 17629:5813894; 21206:4921372; 21206:4568202</t>
        </is>
      </c>
    </row>
    <row r="26">
      <c r="A26" s="13" t="inlineStr">
        <is>
          <t>H022</t>
        </is>
      </c>
      <c r="B26" s="15" t="inlineStr">
        <is>
          <t>Kellie Torres, Steve Novick, Eric Zimmerman, Julia Brim-Edwards</t>
        </is>
      </c>
      <c r="C26" s="13" t="n">
        <v>4</v>
      </c>
      <c r="D26" s="13" t="inlineStr">
        <is>
          <t>No</t>
        </is>
      </c>
      <c r="E26" s="15" t="inlineStr">
        <is>
          <t>Bruce Starr for State Senate Committee; Friends of Will Lathrop; Knute Buehler for Secretary of State; Knute for Governor; Working Families for Bruce Starr</t>
        </is>
      </c>
      <c r="F26" s="13" t="n">
        <v>2012</v>
      </c>
      <c r="G26" s="13" t="n">
        <v>2024</v>
      </c>
      <c r="H26" s="13" t="n">
        <v>7</v>
      </c>
      <c r="I26" s="13" t="n">
        <v>23000</v>
      </c>
      <c r="J26" s="13" t="inlineStr">
        <is>
          <t>Street address or PO box</t>
        </is>
      </c>
      <c r="K26" s="13" t="inlineStr">
        <is>
          <t>Confirmed</t>
        </is>
      </c>
      <c r="L26" s="15" t="inlineStr"/>
      <c r="M26" s="13" t="inlineStr">
        <is>
          <t>2752:1155723; 2752:1389544; 15192:1412291; 2752:1799268; 15192:2622425; 15192:3050049; 21896:4770292</t>
        </is>
      </c>
      <c r="N26" s="13" t="inlineStr">
        <is>
          <t>24897:5831612; 24897:5780400; 15109:5685078; 17629:5679864; 17629:4993392; 21206:5578333; 21206:4568186</t>
        </is>
      </c>
    </row>
    <row r="27">
      <c r="A27" s="13" t="inlineStr">
        <is>
          <t>H023</t>
        </is>
      </c>
      <c r="B27" s="15" t="inlineStr">
        <is>
          <t>Kellie Torres, Olivia Clark, Eli Arnold, Julia Brim-Edwards</t>
        </is>
      </c>
      <c r="C27" s="13" t="n">
        <v>4</v>
      </c>
      <c r="D27" s="13" t="inlineStr">
        <is>
          <t>No</t>
        </is>
      </c>
      <c r="E27" s="15" t="inlineStr">
        <is>
          <t>Bud Pierce for a Better Oregon; Citizens to Elect Dennis Richardson; Friends of Will Lathrop; Knute Buehler for Secretary of State; Knute for Governor</t>
        </is>
      </c>
      <c r="F27" s="13" t="n">
        <v>2012</v>
      </c>
      <c r="G27" s="13" t="n">
        <v>2024</v>
      </c>
      <c r="H27" s="13" t="n">
        <v>9</v>
      </c>
      <c r="I27" s="13" t="n">
        <v>4000</v>
      </c>
      <c r="J27" s="13" t="inlineStr">
        <is>
          <t>Street address or PO box</t>
        </is>
      </c>
      <c r="K27" s="13" t="inlineStr">
        <is>
          <t>Confirmed</t>
        </is>
      </c>
      <c r="L27" s="15" t="inlineStr"/>
      <c r="M27" s="13" t="inlineStr">
        <is>
          <t>15192:1176724; 15192:1413842; 4155:1793078; 4155:1852194; 17397:2293621; 15192:2733414; 15192:2790090; 21896:4775465; 21896:5086955</t>
        </is>
      </c>
      <c r="N27" s="13" t="inlineStr">
        <is>
          <t>24897:5761006; 23199:5633082; 23295:5820984; 23295:5704040; 21206:5578345; 21206:4536304</t>
        </is>
      </c>
    </row>
    <row r="28">
      <c r="A28" s="13" t="inlineStr">
        <is>
          <t>H024</t>
        </is>
      </c>
      <c r="B28" s="15" t="inlineStr">
        <is>
          <t>Steve Novick, Olivia Clark, Julia Brim-Edwards</t>
        </is>
      </c>
      <c r="C28" s="13" t="n">
        <v>3</v>
      </c>
      <c r="D28" s="13" t="inlineStr">
        <is>
          <t>No</t>
        </is>
      </c>
      <c r="E28" s="15" t="inlineStr">
        <is>
          <t>Buehler For a United Oregon; Knute Buehler for Secretary of State; Knute for Governor</t>
        </is>
      </c>
      <c r="F28" s="13" t="n">
        <v>2012</v>
      </c>
      <c r="G28" s="13" t="n">
        <v>2018</v>
      </c>
      <c r="H28" s="13" t="n">
        <v>6</v>
      </c>
      <c r="I28" s="13" t="n">
        <v>7000</v>
      </c>
      <c r="J28" s="13" t="inlineStr">
        <is>
          <t>Street address or PO box</t>
        </is>
      </c>
      <c r="K28" s="13" t="inlineStr">
        <is>
          <t>Confirmed</t>
        </is>
      </c>
      <c r="L28" s="15" t="inlineStr"/>
      <c r="M28" s="13" t="inlineStr">
        <is>
          <t>15192:1223332; 15192:1639297; 15192:1845152; 15192:2599519; 15192:2814827; 15192:3043271</t>
        </is>
      </c>
      <c r="N28" s="13" t="inlineStr">
        <is>
          <t>15109:5732244; 23199:5868476; 21206:5555061; 21206:4853135; 21206:4563014</t>
        </is>
      </c>
    </row>
    <row r="29">
      <c r="A29" s="13" t="inlineStr">
        <is>
          <t>H025</t>
        </is>
      </c>
      <c r="B29" s="15" t="inlineStr">
        <is>
          <t>Julia Brim-Edwards</t>
        </is>
      </c>
      <c r="C29" s="13" t="n">
        <v>1</v>
      </c>
      <c r="D29" s="13" t="inlineStr">
        <is>
          <t>Yes</t>
        </is>
      </c>
      <c r="E29" s="15" t="inlineStr">
        <is>
          <t>Friends of Christine Drazan; Friends of Will Lathrop; Working Families for Bruce Starr</t>
        </is>
      </c>
      <c r="F29" s="13" t="n">
        <v>2012</v>
      </c>
      <c r="G29" s="13" t="n">
        <v>2024</v>
      </c>
      <c r="H29" s="13" t="n">
        <v>11</v>
      </c>
      <c r="I29" s="13" t="n">
        <v>23000</v>
      </c>
      <c r="J29" s="13" t="inlineStr">
        <is>
          <t>Street address or PO box</t>
        </is>
      </c>
      <c r="K29" s="13" t="inlineStr">
        <is>
          <t>Confirmed</t>
        </is>
      </c>
      <c r="L29" s="15" t="inlineStr"/>
      <c r="M29" s="13" t="inlineStr">
        <is>
          <t>2752:1254706; 2752:1277399; 2752:1404944; 19050:4145981; 19050:4350989; 19050:4399899; 19050:4399900; 19050:4399901; 19050:4402475; 21896:4861611; 21896:5123890</t>
        </is>
      </c>
      <c r="N29" s="13" t="inlineStr">
        <is>
          <t>21206:5647917; 21206:5578344; 21206:4572241</t>
        </is>
      </c>
    </row>
    <row r="30">
      <c r="A30" s="13" t="inlineStr">
        <is>
          <t>H026</t>
        </is>
      </c>
      <c r="B30" s="15" t="inlineStr">
        <is>
          <t>Kellie Torres, Steve Novick, Olivia Clark, Eric Zimmerman, Julia Brim-Edwards</t>
        </is>
      </c>
      <c r="C30" s="13" t="n">
        <v>5</v>
      </c>
      <c r="D30" s="13" t="inlineStr">
        <is>
          <t>Yes</t>
        </is>
      </c>
      <c r="E30" s="15" t="inlineStr">
        <is>
          <t>Citizens to Elect Dennis Richardson; Friends of Christine Drazan; Hicks for Senate; Knute Buehler for Secretary of State; Knute for Governor; Tim Knopp for State Senate</t>
        </is>
      </c>
      <c r="F30" s="13" t="n">
        <v>2012</v>
      </c>
      <c r="G30" s="13" t="n">
        <v>2025</v>
      </c>
      <c r="H30" s="13" t="n">
        <v>10</v>
      </c>
      <c r="I30" s="13" t="n">
        <v>4000</v>
      </c>
      <c r="J30" s="13" t="inlineStr">
        <is>
          <t>Street address or PO box</t>
        </is>
      </c>
      <c r="K30" s="13" t="inlineStr">
        <is>
          <t>Confirmed</t>
        </is>
      </c>
      <c r="L30" s="15" t="inlineStr"/>
      <c r="M30" s="13" t="inlineStr">
        <is>
          <t>15627:1267733; 15192:1412312; 15627:1840306; 15627:2346191; 4155:2350441; 4155:2428898; 15192:2591021; 19050:3033736; 15627:4368289; 24485:5485678</t>
        </is>
      </c>
      <c r="N30" s="13" t="inlineStr">
        <is>
          <t>24897:5846627; 15109:5793246; 23199:5473715; 23199:5061732; 17629:5651895; 17629:4968603; 21206:5704160; 21206:5647915; 21206:4853174; 21206:4530578</t>
        </is>
      </c>
    </row>
    <row r="31">
      <c r="A31" s="13" t="inlineStr">
        <is>
          <t>H027</t>
        </is>
      </c>
      <c r="B31" s="15" t="inlineStr">
        <is>
          <t>Eli Arnold</t>
        </is>
      </c>
      <c r="C31" s="13" t="n">
        <v>1</v>
      </c>
      <c r="D31" s="13" t="inlineStr">
        <is>
          <t>Yes</t>
        </is>
      </c>
      <c r="E31" s="15" t="inlineStr">
        <is>
          <t>Bud Pierce for a Better Oregon; Friends of Christine Drazan; Knute Buehler for Secretary of State; Knute for Governor</t>
        </is>
      </c>
      <c r="F31" s="13" t="n">
        <v>2012</v>
      </c>
      <c r="G31" s="13" t="n">
        <v>2022</v>
      </c>
      <c r="H31" s="13" t="n">
        <v>8</v>
      </c>
      <c r="I31" s="13" t="n">
        <v>1000</v>
      </c>
      <c r="J31" s="13" t="inlineStr">
        <is>
          <t>Street address or PO box</t>
        </is>
      </c>
      <c r="K31" s="13" t="inlineStr">
        <is>
          <t>Confirmed</t>
        </is>
      </c>
      <c r="L31" s="15" t="inlineStr"/>
      <c r="M31" s="13" t="inlineStr">
        <is>
          <t>15192:1285976; 17397:2302002; 15192:2716443; 15192:2861417; 15192:2913113; 15192:3041308; 19050:4210576; 19050:4260172</t>
        </is>
      </c>
      <c r="N31" s="13" t="inlineStr">
        <is>
          <t>23295:4888919</t>
        </is>
      </c>
    </row>
    <row r="32">
      <c r="A32" s="13" t="inlineStr">
        <is>
          <t>H028</t>
        </is>
      </c>
      <c r="B32" s="15" t="inlineStr">
        <is>
          <t>Julia Brim-Edwards</t>
        </is>
      </c>
      <c r="C32" s="13" t="n">
        <v>1</v>
      </c>
      <c r="D32" s="13" t="inlineStr">
        <is>
          <t>No</t>
        </is>
      </c>
      <c r="E32" s="15" t="inlineStr">
        <is>
          <t>Citizens to Elect Dennis Richardson; Knute Buehler for Secretary of State; Knute for Governor</t>
        </is>
      </c>
      <c r="F32" s="13" t="n">
        <v>2012</v>
      </c>
      <c r="G32" s="13" t="n">
        <v>2018</v>
      </c>
      <c r="H32" s="13" t="n">
        <v>10</v>
      </c>
      <c r="I32" s="13" t="n">
        <v>6000</v>
      </c>
      <c r="J32" s="13" t="inlineStr">
        <is>
          <t>Street address or PO box</t>
        </is>
      </c>
      <c r="K32" s="13" t="inlineStr">
        <is>
          <t>Confirmed</t>
        </is>
      </c>
      <c r="L32" s="15" t="inlineStr"/>
      <c r="M32" s="13" t="inlineStr">
        <is>
          <t>15192:1334390; 4155:2321617; 15192:2621761; 15192:2651802; 15192:2652083; 15192:2672555; 15192:2701925; 15192:2743422; 15192:2784660; 15192:2910692</t>
        </is>
      </c>
      <c r="N32" s="13" t="inlineStr">
        <is>
          <t>21206:5555087</t>
        </is>
      </c>
    </row>
    <row r="33">
      <c r="A33" s="13" t="inlineStr">
        <is>
          <t>H029</t>
        </is>
      </c>
      <c r="B33" s="15" t="inlineStr">
        <is>
          <t>Eli Arnold</t>
        </is>
      </c>
      <c r="C33" s="13" t="n">
        <v>1</v>
      </c>
      <c r="D33" s="13" t="inlineStr">
        <is>
          <t>Yes</t>
        </is>
      </c>
      <c r="E33" s="15" t="inlineStr">
        <is>
          <t>Bud Pierce for a Better Oregon; Friends of Christine Drazan; Friends of Kim Thatcher; Knute Buehler for Secretary of State; Knute for Governor</t>
        </is>
      </c>
      <c r="F33" s="13" t="n">
        <v>2012</v>
      </c>
      <c r="G33" s="13" t="n">
        <v>2026</v>
      </c>
      <c r="H33" s="13" t="n">
        <v>5</v>
      </c>
      <c r="I33" s="13" t="n">
        <v>1000</v>
      </c>
      <c r="J33" s="13" t="inlineStr">
        <is>
          <t>Street address or PO box</t>
        </is>
      </c>
      <c r="K33" s="13" t="inlineStr">
        <is>
          <t>Confirmed</t>
        </is>
      </c>
      <c r="L33" s="15" t="inlineStr"/>
      <c r="M33" s="13" t="inlineStr">
        <is>
          <t>15192:1374446; 17397:2365415; 15192:2992803; 4871:3638153; 19050:5795169</t>
        </is>
      </c>
      <c r="N33" s="13" t="inlineStr">
        <is>
          <t>23295:4967848</t>
        </is>
      </c>
    </row>
    <row r="34">
      <c r="A34" s="13" t="inlineStr">
        <is>
          <t>H030</t>
        </is>
      </c>
      <c r="B34" s="15" t="inlineStr">
        <is>
          <t>Eli Arnold</t>
        </is>
      </c>
      <c r="C34" s="13" t="n">
        <v>1</v>
      </c>
      <c r="D34" s="13" t="inlineStr">
        <is>
          <t>Yes</t>
        </is>
      </c>
      <c r="E34" s="15" t="inlineStr">
        <is>
          <t>Citizens to Elect Dennis Richardson; Friends of Christine Drazan; Knute Buehler for Secretary of State; Knute for Governor</t>
        </is>
      </c>
      <c r="F34" s="13" t="n">
        <v>2012</v>
      </c>
      <c r="G34" s="13" t="n">
        <v>2022</v>
      </c>
      <c r="H34" s="13" t="n">
        <v>7</v>
      </c>
      <c r="I34" s="13" t="n">
        <v>37000</v>
      </c>
      <c r="J34" s="13" t="inlineStr">
        <is>
          <t>Street address or PO box</t>
        </is>
      </c>
      <c r="K34" s="13" t="inlineStr">
        <is>
          <t>Confirmed</t>
        </is>
      </c>
      <c r="L34" s="15" t="inlineStr"/>
      <c r="M34" s="13" t="inlineStr">
        <is>
          <t>15192:1381781; 15192:1398516; 4155:1798136; 15192:2888905; 15192:2985679; 15192:3012966; 19050:4397781</t>
        </is>
      </c>
      <c r="N34" s="13" t="inlineStr">
        <is>
          <t>23295:4926094</t>
        </is>
      </c>
    </row>
    <row r="35">
      <c r="A35" s="13" t="inlineStr">
        <is>
          <t>H031</t>
        </is>
      </c>
      <c r="B35" s="15" t="inlineStr">
        <is>
          <t>Steve Novick, Olivia Clark, Eli Arnold, Julia Brim-Edwards</t>
        </is>
      </c>
      <c r="C35" s="13" t="n">
        <v>4</v>
      </c>
      <c r="D35" s="13" t="inlineStr">
        <is>
          <t>No</t>
        </is>
      </c>
      <c r="E35" s="15" t="inlineStr">
        <is>
          <t>Friends of Jeff Helfrich</t>
        </is>
      </c>
      <c r="F35" s="13" t="n">
        <v>2012</v>
      </c>
      <c r="G35" s="13" t="n">
        <v>2026</v>
      </c>
      <c r="H35" s="13" t="n">
        <v>2</v>
      </c>
      <c r="I35" s="13" t="n">
        <v>250</v>
      </c>
      <c r="J35" s="13" t="inlineStr">
        <is>
          <t>Street address or PO box</t>
        </is>
      </c>
      <c r="K35" s="13" t="inlineStr">
        <is>
          <t>Confirmed</t>
        </is>
      </c>
      <c r="L35" s="15" t="inlineStr"/>
      <c r="M35" s="13" t="inlineStr">
        <is>
          <t>15984:1379009; 15984:5516614</t>
        </is>
      </c>
      <c r="N35" s="13" t="inlineStr">
        <is>
          <t>15109:5503410; 15109:5080567; 15109:4813722; 23199:5844271; 23199:4907904; 23295:5865555; 21206:5555028; 21206:4853139; 21206:4530557</t>
        </is>
      </c>
    </row>
    <row r="36">
      <c r="A36" s="13" t="inlineStr">
        <is>
          <t>H032</t>
        </is>
      </c>
      <c r="B36" s="15" t="inlineStr">
        <is>
          <t>Julia Brim-Edwards</t>
        </is>
      </c>
      <c r="C36" s="13" t="n">
        <v>1</v>
      </c>
      <c r="D36" s="13" t="inlineStr">
        <is>
          <t>No</t>
        </is>
      </c>
      <c r="E36" s="15" t="inlineStr">
        <is>
          <t>Knute Buehler for Secretary of State</t>
        </is>
      </c>
      <c r="F36" s="13" t="n">
        <v>2012</v>
      </c>
      <c r="G36" s="13" t="n">
        <v>2012</v>
      </c>
      <c r="H36" s="13" t="n">
        <v>1</v>
      </c>
      <c r="I36" s="13" t="n">
        <v>500</v>
      </c>
      <c r="J36" s="13" t="inlineStr">
        <is>
          <t>ZIP + employer</t>
        </is>
      </c>
      <c r="K36" s="13" t="inlineStr">
        <is>
          <t>Confirmed</t>
        </is>
      </c>
      <c r="L36" s="15" t="inlineStr"/>
      <c r="M36" s="13" t="inlineStr">
        <is>
          <t>15192:1414427</t>
        </is>
      </c>
      <c r="N36" s="13" t="inlineStr">
        <is>
          <t>21206:5627280</t>
        </is>
      </c>
    </row>
    <row r="37">
      <c r="A37" s="13" t="inlineStr">
        <is>
          <t>H033</t>
        </is>
      </c>
      <c r="B37" s="15" t="inlineStr">
        <is>
          <t>Kellie Torres, Steve Novick, Olivia Clark, Eric Zimmerman, Eli Arnold, Julia Brim-Edwards</t>
        </is>
      </c>
      <c r="C37" s="13" t="n">
        <v>6</v>
      </c>
      <c r="D37" s="13" t="inlineStr">
        <is>
          <t>No</t>
        </is>
      </c>
      <c r="E37" s="15" t="inlineStr">
        <is>
          <t>Bruce Starr for State Senate Committee</t>
        </is>
      </c>
      <c r="F37" s="13" t="n">
        <v>2014</v>
      </c>
      <c r="G37" s="13" t="n">
        <v>2014</v>
      </c>
      <c r="H37" s="13" t="n">
        <v>1</v>
      </c>
      <c r="I37" s="13" t="n">
        <v>250</v>
      </c>
      <c r="J37" s="13" t="inlineStr">
        <is>
          <t>Hand review</t>
        </is>
      </c>
      <c r="K37" s="13" t="inlineStr">
        <is>
          <t>Likely</t>
        </is>
      </c>
      <c r="L37" s="15" t="inlineStr">
        <is>
          <t>A chain of other filings ties the candidate-gift address to the employer on the Republican gift. One gift, in 2014. Supporting filings (Tran Id): 2140128, 4076909, 4323067.</t>
        </is>
      </c>
      <c r="M37" s="13" t="inlineStr">
        <is>
          <t>2752:1797354</t>
        </is>
      </c>
      <c r="N37" s="13" t="inlineStr">
        <is>
          <t>24897:5846650; 15109:5830354; 23199:5844238; 17629:5679849; 23295:5821161; 21206:5497844; 21206:4530484</t>
        </is>
      </c>
    </row>
    <row r="38">
      <c r="A38" s="13" t="inlineStr">
        <is>
          <t>H034</t>
        </is>
      </c>
      <c r="B38" s="15" t="inlineStr">
        <is>
          <t>Julia Brim-Edwards</t>
        </is>
      </c>
      <c r="C38" s="13" t="n">
        <v>1</v>
      </c>
      <c r="D38" s="13" t="inlineStr">
        <is>
          <t>No</t>
        </is>
      </c>
      <c r="E38" s="15" t="inlineStr">
        <is>
          <t>Bruce Starr for State Senate Committee</t>
        </is>
      </c>
      <c r="F38" s="13" t="n">
        <v>2014</v>
      </c>
      <c r="G38" s="13" t="n">
        <v>2014</v>
      </c>
      <c r="H38" s="13" t="n">
        <v>1</v>
      </c>
      <c r="I38" s="13" t="n">
        <v>1000</v>
      </c>
      <c r="J38" s="13" t="inlineStr">
        <is>
          <t>Street address or PO box</t>
        </is>
      </c>
      <c r="K38" s="13" t="inlineStr">
        <is>
          <t>Confirmed</t>
        </is>
      </c>
      <c r="L38" s="15" t="inlineStr"/>
      <c r="M38" s="13" t="inlineStr">
        <is>
          <t>2752:1856576</t>
        </is>
      </c>
      <c r="N38" s="13" t="inlineStr">
        <is>
          <t>21206:4574705</t>
        </is>
      </c>
    </row>
    <row r="39">
      <c r="A39" s="13" t="inlineStr">
        <is>
          <t>H035</t>
        </is>
      </c>
      <c r="B39" s="15" t="inlineStr">
        <is>
          <t>Kellie Torres, Steve Novick, Olivia Clark, Eric Zimmerman, Eli Arnold, Julia Brim-Edwards</t>
        </is>
      </c>
      <c r="C39" s="13" t="n">
        <v>6</v>
      </c>
      <c r="D39" s="13" t="inlineStr">
        <is>
          <t>No</t>
        </is>
      </c>
      <c r="E39" s="15" t="inlineStr">
        <is>
          <t>Bruce Starr for State Senate Committee</t>
        </is>
      </c>
      <c r="F39" s="13" t="n">
        <v>2014</v>
      </c>
      <c r="G39" s="13" t="n">
        <v>2014</v>
      </c>
      <c r="H39" s="13" t="n">
        <v>1</v>
      </c>
      <c r="I39" s="13" t="n">
        <v>250</v>
      </c>
      <c r="J39" s="13" t="inlineStr">
        <is>
          <t>Street address or PO box</t>
        </is>
      </c>
      <c r="K39" s="13" t="inlineStr">
        <is>
          <t>Confirmed</t>
        </is>
      </c>
      <c r="L39" s="15" t="inlineStr"/>
      <c r="M39" s="13" t="inlineStr">
        <is>
          <t>2752:1873970</t>
        </is>
      </c>
      <c r="N39" s="13" t="inlineStr">
        <is>
          <t>24897:5633829; 15109:5685083; 15109:4725902; 23199:5473723; 17629:5778131; 23295:5850163; 23295:5554616; 21206:5555055; 21206:4551187</t>
        </is>
      </c>
    </row>
    <row r="40">
      <c r="A40" s="13" t="inlineStr">
        <is>
          <t>H036</t>
        </is>
      </c>
      <c r="B40" s="15" t="inlineStr">
        <is>
          <t>Steve Novick</t>
        </is>
      </c>
      <c r="C40" s="13" t="n">
        <v>1</v>
      </c>
      <c r="D40" s="13" t="inlineStr">
        <is>
          <t>No</t>
        </is>
      </c>
      <c r="E40" s="15" t="inlineStr">
        <is>
          <t>Citizens to Elect Dennis Richardson</t>
        </is>
      </c>
      <c r="F40" s="13" t="n">
        <v>2014</v>
      </c>
      <c r="G40" s="13" t="n">
        <v>2014</v>
      </c>
      <c r="H40" s="13" t="n">
        <v>1</v>
      </c>
      <c r="I40" s="13" t="n">
        <v>250</v>
      </c>
      <c r="J40" s="13" t="inlineStr">
        <is>
          <t>Street address or PO box</t>
        </is>
      </c>
      <c r="K40" s="13" t="inlineStr">
        <is>
          <t>Confirmed</t>
        </is>
      </c>
      <c r="L40" s="15" t="inlineStr"/>
      <c r="M40" s="13" t="inlineStr">
        <is>
          <t>4155:1868276</t>
        </is>
      </c>
      <c r="N40" s="13" t="inlineStr">
        <is>
          <t>15109:4865093</t>
        </is>
      </c>
    </row>
    <row r="41">
      <c r="A41" s="13" t="inlineStr">
        <is>
          <t>H037</t>
        </is>
      </c>
      <c r="B41" s="15" t="inlineStr">
        <is>
          <t>Eric Zimmerman, Eli Arnold, Julia Brim-Edwards</t>
        </is>
      </c>
      <c r="C41" s="13" t="n">
        <v>3</v>
      </c>
      <c r="D41" s="13" t="inlineStr">
        <is>
          <t>No</t>
        </is>
      </c>
      <c r="E41" s="15" t="inlineStr">
        <is>
          <t>Bruce Starr for State Senate Committee; Knute for Governor</t>
        </is>
      </c>
      <c r="F41" s="13" t="n">
        <v>2014</v>
      </c>
      <c r="G41" s="13" t="n">
        <v>2018</v>
      </c>
      <c r="H41" s="13" t="n">
        <v>5</v>
      </c>
      <c r="I41" s="13" t="n">
        <v>8000</v>
      </c>
      <c r="J41" s="13" t="inlineStr">
        <is>
          <t>Street address or PO box</t>
        </is>
      </c>
      <c r="K41" s="13" t="inlineStr">
        <is>
          <t>Confirmed</t>
        </is>
      </c>
      <c r="L41" s="15" t="inlineStr"/>
      <c r="M41" s="13" t="inlineStr">
        <is>
          <t>2752:1896834; 15192:2652081; 15192:2784661; 15192:2853284; 15192:3021279</t>
        </is>
      </c>
      <c r="N41" s="13" t="inlineStr">
        <is>
          <t>17629:5778130; 23295:5704060; 21206:5554984; 21206:4853068; 21206:4530522</t>
        </is>
      </c>
    </row>
    <row r="42">
      <c r="A42" s="13" t="inlineStr">
        <is>
          <t>H038</t>
        </is>
      </c>
      <c r="B42" s="15" t="inlineStr">
        <is>
          <t>Olivia Clark</t>
        </is>
      </c>
      <c r="C42" s="13" t="n">
        <v>1</v>
      </c>
      <c r="D42" s="13" t="inlineStr">
        <is>
          <t>No</t>
        </is>
      </c>
      <c r="E42" s="15" t="inlineStr">
        <is>
          <t>Bruce Starr for State Senate Committee</t>
        </is>
      </c>
      <c r="F42" s="13" t="n">
        <v>2014</v>
      </c>
      <c r="G42" s="13" t="n">
        <v>2014</v>
      </c>
      <c r="H42" s="13" t="n">
        <v>1</v>
      </c>
      <c r="I42" s="13" t="n">
        <v>250</v>
      </c>
      <c r="J42" s="13" t="inlineStr">
        <is>
          <t>Street address or PO box</t>
        </is>
      </c>
      <c r="K42" s="13" t="inlineStr">
        <is>
          <t>Confirmed</t>
        </is>
      </c>
      <c r="L42" s="15" t="inlineStr"/>
      <c r="M42" s="13" t="inlineStr">
        <is>
          <t>2752:1909054</t>
        </is>
      </c>
      <c r="N42" s="13" t="inlineStr">
        <is>
          <t>23199:4778888</t>
        </is>
      </c>
    </row>
    <row r="43">
      <c r="A43" s="13" t="inlineStr">
        <is>
          <t>H039</t>
        </is>
      </c>
      <c r="B43" s="15" t="inlineStr">
        <is>
          <t>Steve Novick</t>
        </is>
      </c>
      <c r="C43" s="13" t="n">
        <v>1</v>
      </c>
      <c r="D43" s="13" t="inlineStr">
        <is>
          <t>No</t>
        </is>
      </c>
      <c r="E43" s="15" t="inlineStr">
        <is>
          <t>Buehler For a United Oregon; Knute for Governor</t>
        </is>
      </c>
      <c r="F43" s="13" t="n">
        <v>2015</v>
      </c>
      <c r="G43" s="13" t="n">
        <v>2017</v>
      </c>
      <c r="H43" s="13" t="n">
        <v>9</v>
      </c>
      <c r="I43" s="13" t="n">
        <v>2000</v>
      </c>
      <c r="J43" s="13" t="inlineStr">
        <is>
          <t>Street address or PO box</t>
        </is>
      </c>
      <c r="K43" s="13" t="inlineStr">
        <is>
          <t>Confirmed</t>
        </is>
      </c>
      <c r="L43" s="15" t="inlineStr"/>
      <c r="M43" s="13" t="inlineStr">
        <is>
          <t>15192:2050275; 15192:2439372; 15192:2469224; 15192:2478470; 15192:2606110; 15192:2623651; 15192:2647182; 15192:2674053; 15192:2703283</t>
        </is>
      </c>
      <c r="N43" s="13" t="inlineStr">
        <is>
          <t>15109:5717564</t>
        </is>
      </c>
    </row>
    <row r="44">
      <c r="A44" s="13" t="inlineStr">
        <is>
          <t>H040</t>
        </is>
      </c>
      <c r="B44" s="15" t="inlineStr">
        <is>
          <t>Kellie Torres, Steve Novick, Olivia Clark, Eric Zimmerman</t>
        </is>
      </c>
      <c r="C44" s="13" t="n">
        <v>4</v>
      </c>
      <c r="D44" s="13" t="inlineStr">
        <is>
          <t>No</t>
        </is>
      </c>
      <c r="E44" s="15" t="inlineStr">
        <is>
          <t>Buehler For a United Oregon; Citizens to Elect Dennis Richardson; Friends of Courtney Bangs</t>
        </is>
      </c>
      <c r="F44" s="13" t="n">
        <v>2015</v>
      </c>
      <c r="G44" s="13" t="n">
        <v>2020</v>
      </c>
      <c r="H44" s="13" t="n">
        <v>3</v>
      </c>
      <c r="I44" s="13" t="n">
        <v>2000</v>
      </c>
      <c r="J44" s="13" t="inlineStr">
        <is>
          <t>Street address or PO box</t>
        </is>
      </c>
      <c r="K44" s="13" t="inlineStr">
        <is>
          <t>Confirmed</t>
        </is>
      </c>
      <c r="L44" s="15" t="inlineStr"/>
      <c r="M44" s="13" t="inlineStr">
        <is>
          <t>15192:2101867; 4155:2265543; 20246:3426791</t>
        </is>
      </c>
      <c r="N44" s="13" t="inlineStr">
        <is>
          <t>24897:5850025; 15109:5830477; 23199:5844270; 17629:5828875</t>
        </is>
      </c>
    </row>
    <row r="45">
      <c r="A45" s="13" t="inlineStr">
        <is>
          <t>H041</t>
        </is>
      </c>
      <c r="B45" s="15" t="inlineStr">
        <is>
          <t>Julia Brim-Edwards</t>
        </is>
      </c>
      <c r="C45" s="13" t="n">
        <v>1</v>
      </c>
      <c r="D45" s="13" t="inlineStr">
        <is>
          <t>No</t>
        </is>
      </c>
      <c r="E45" s="15" t="inlineStr">
        <is>
          <t>Friends of Allen Alley</t>
        </is>
      </c>
      <c r="F45" s="13" t="n">
        <v>2016</v>
      </c>
      <c r="G45" s="13" t="n">
        <v>2016</v>
      </c>
      <c r="H45" s="13" t="n">
        <v>1</v>
      </c>
      <c r="I45" s="13" t="n">
        <v>250</v>
      </c>
      <c r="J45" s="13" t="inlineStr">
        <is>
          <t>Street address or PO box</t>
        </is>
      </c>
      <c r="K45" s="13" t="inlineStr">
        <is>
          <t>Confirmed</t>
        </is>
      </c>
      <c r="L45" s="15" t="inlineStr"/>
      <c r="M45" s="13" t="inlineStr">
        <is>
          <t>12878:2228615</t>
        </is>
      </c>
      <c r="N45" s="13" t="inlineStr">
        <is>
          <t>21206:4909928; 21206:4853149; 21206:4551199</t>
        </is>
      </c>
    </row>
    <row r="46">
      <c r="A46" s="13" t="inlineStr">
        <is>
          <t>H042</t>
        </is>
      </c>
      <c r="B46" s="15" t="inlineStr">
        <is>
          <t>Julia Brim-Edwards</t>
        </is>
      </c>
      <c r="C46" s="13" t="n">
        <v>1</v>
      </c>
      <c r="D46" s="13" t="inlineStr">
        <is>
          <t>No</t>
        </is>
      </c>
      <c r="E46" s="15" t="inlineStr">
        <is>
          <t>Citizens to Elect Dennis Richardson; Friends of Allen Alley; Knute for Governor</t>
        </is>
      </c>
      <c r="F46" s="13" t="n">
        <v>2016</v>
      </c>
      <c r="G46" s="13" t="n">
        <v>2018</v>
      </c>
      <c r="H46" s="13" t="n">
        <v>5</v>
      </c>
      <c r="I46" s="13" t="n">
        <v>5000</v>
      </c>
      <c r="J46" s="13" t="inlineStr">
        <is>
          <t>Street address or PO box</t>
        </is>
      </c>
      <c r="K46" s="13" t="inlineStr">
        <is>
          <t>Confirmed</t>
        </is>
      </c>
      <c r="L46" s="15" t="inlineStr"/>
      <c r="M46" s="13" t="inlineStr">
        <is>
          <t>12878:2235689; 4155:2400857; 15192:2636276; 15192:2712241; 15192:3004434</t>
        </is>
      </c>
      <c r="N46" s="13" t="inlineStr">
        <is>
          <t>21206:5678169</t>
        </is>
      </c>
    </row>
    <row r="47">
      <c r="A47" s="13" t="inlineStr">
        <is>
          <t>H043</t>
        </is>
      </c>
      <c r="B47" s="15" t="inlineStr">
        <is>
          <t>Kellie Torres, Steve Novick, Eric Zimmerman, Eli Arnold, Julia Brim-Edwards</t>
        </is>
      </c>
      <c r="C47" s="13" t="n">
        <v>5</v>
      </c>
      <c r="D47" s="13" t="inlineStr">
        <is>
          <t>No</t>
        </is>
      </c>
      <c r="E47" s="15" t="inlineStr">
        <is>
          <t>Friends of Allen Alley; Friends of Will Lathrop</t>
        </is>
      </c>
      <c r="F47" s="13" t="n">
        <v>2016</v>
      </c>
      <c r="G47" s="13" t="n">
        <v>2024</v>
      </c>
      <c r="H47" s="13" t="n">
        <v>2</v>
      </c>
      <c r="I47" s="13" t="n">
        <v>2000</v>
      </c>
      <c r="J47" s="13" t="inlineStr">
        <is>
          <t>Street address or PO box</t>
        </is>
      </c>
      <c r="K47" s="13" t="inlineStr">
        <is>
          <t>Confirmed</t>
        </is>
      </c>
      <c r="L47" s="15" t="inlineStr"/>
      <c r="M47" s="13" t="inlineStr">
        <is>
          <t>12878:2235669; 21896:5123848</t>
        </is>
      </c>
      <c r="N47" s="13" t="inlineStr">
        <is>
          <t>24897:5733633; 15109:5830533; 15109:5021873; 17629:5828801; 23295:5820948; 23295:4943195; 23295:4926096; 21206:5555057; 21206:4572194</t>
        </is>
      </c>
    </row>
    <row r="48">
      <c r="A48" s="13" t="inlineStr">
        <is>
          <t>H044</t>
        </is>
      </c>
      <c r="B48" s="15" t="inlineStr">
        <is>
          <t>Steve Novick</t>
        </is>
      </c>
      <c r="C48" s="13" t="n">
        <v>1</v>
      </c>
      <c r="D48" s="13" t="inlineStr">
        <is>
          <t>No</t>
        </is>
      </c>
      <c r="E48" s="15" t="inlineStr">
        <is>
          <t>Citizens to Elect Dennis Richardson; Knute for Governor</t>
        </is>
      </c>
      <c r="F48" s="13" t="n">
        <v>2016</v>
      </c>
      <c r="G48" s="13" t="n">
        <v>2018</v>
      </c>
      <c r="H48" s="13" t="n">
        <v>4</v>
      </c>
      <c r="I48" s="13" t="n">
        <v>1000</v>
      </c>
      <c r="J48" s="13" t="inlineStr">
        <is>
          <t>Street address or PO box</t>
        </is>
      </c>
      <c r="K48" s="13" t="inlineStr">
        <is>
          <t>Confirmed</t>
        </is>
      </c>
      <c r="L48" s="15" t="inlineStr"/>
      <c r="M48" s="13" t="inlineStr">
        <is>
          <t>4155:2300689; 15192:2816873; 15192:2923654; 15192:2958374</t>
        </is>
      </c>
      <c r="N48" s="13" t="inlineStr">
        <is>
          <t>15109:5760170; 15109:5022052</t>
        </is>
      </c>
    </row>
    <row r="49">
      <c r="A49" s="13" t="inlineStr">
        <is>
          <t>H045</t>
        </is>
      </c>
      <c r="B49" s="15" t="inlineStr">
        <is>
          <t>Olivia Clark</t>
        </is>
      </c>
      <c r="C49" s="13" t="n">
        <v>1</v>
      </c>
      <c r="D49" s="13" t="inlineStr">
        <is>
          <t>No</t>
        </is>
      </c>
      <c r="E49" s="15" t="inlineStr">
        <is>
          <t>Bud Pierce for a Better Oregon</t>
        </is>
      </c>
      <c r="F49" s="13" t="n">
        <v>2016</v>
      </c>
      <c r="G49" s="13" t="n">
        <v>2016</v>
      </c>
      <c r="H49" s="13" t="n">
        <v>1</v>
      </c>
      <c r="I49" s="13" t="n">
        <v>250</v>
      </c>
      <c r="J49" s="13" t="inlineStr">
        <is>
          <t>Street address or PO box</t>
        </is>
      </c>
      <c r="K49" s="13" t="inlineStr">
        <is>
          <t>Confirmed</t>
        </is>
      </c>
      <c r="L49" s="15" t="inlineStr"/>
      <c r="M49" s="13" t="inlineStr">
        <is>
          <t>17397:2311460</t>
        </is>
      </c>
      <c r="N49" s="13" t="inlineStr">
        <is>
          <t>23199:5685641; 23199:4712048</t>
        </is>
      </c>
    </row>
    <row r="50">
      <c r="A50" s="13" t="inlineStr">
        <is>
          <t>H046</t>
        </is>
      </c>
      <c r="B50" s="15" t="inlineStr">
        <is>
          <t>Eric Zimmerman</t>
        </is>
      </c>
      <c r="C50" s="13" t="n">
        <v>1</v>
      </c>
      <c r="D50" s="13" t="inlineStr">
        <is>
          <t>No</t>
        </is>
      </c>
      <c r="E50" s="15" t="inlineStr">
        <is>
          <t>Buehler For a United Oregon</t>
        </is>
      </c>
      <c r="F50" s="13" t="n">
        <v>2016</v>
      </c>
      <c r="G50" s="13" t="n">
        <v>2016</v>
      </c>
      <c r="H50" s="13" t="n">
        <v>5</v>
      </c>
      <c r="I50" s="13" t="n">
        <v>250</v>
      </c>
      <c r="J50" s="13" t="inlineStr">
        <is>
          <t>Street address or PO box</t>
        </is>
      </c>
      <c r="K50" s="13" t="inlineStr">
        <is>
          <t>Confirmed</t>
        </is>
      </c>
      <c r="L50" s="15" t="inlineStr"/>
      <c r="M50" s="13" t="inlineStr">
        <is>
          <t>15192:2372574; 15192:2385463; 15192:2439363; 15192:2469214; 15192:2478440</t>
        </is>
      </c>
      <c r="N50" s="13" t="inlineStr">
        <is>
          <t>17629:5813942; 17629:5778116; 17629:4993338; 17629:4928139</t>
        </is>
      </c>
    </row>
    <row r="51">
      <c r="A51" s="13" t="inlineStr">
        <is>
          <t>H047</t>
        </is>
      </c>
      <c r="B51" s="15" t="inlineStr">
        <is>
          <t>Julia Brim-Edwards</t>
        </is>
      </c>
      <c r="C51" s="13" t="n">
        <v>1</v>
      </c>
      <c r="D51" s="13" t="inlineStr">
        <is>
          <t>No</t>
        </is>
      </c>
      <c r="E51" s="15" t="inlineStr">
        <is>
          <t>Buehler For a United Oregon; Knute for Governor</t>
        </is>
      </c>
      <c r="F51" s="13" t="n">
        <v>2016</v>
      </c>
      <c r="G51" s="13" t="n">
        <v>2018</v>
      </c>
      <c r="H51" s="13" t="n">
        <v>4</v>
      </c>
      <c r="I51" s="13" t="n">
        <v>12000</v>
      </c>
      <c r="J51" s="13" t="inlineStr">
        <is>
          <t>Street address or PO box</t>
        </is>
      </c>
      <c r="K51" s="13" t="inlineStr">
        <is>
          <t>Confirmed</t>
        </is>
      </c>
      <c r="L51" s="15" t="inlineStr"/>
      <c r="M51" s="13" t="inlineStr">
        <is>
          <t>15192:2377910; 15192:2888479; 15192:3043318; 15192:3065142</t>
        </is>
      </c>
      <c r="N51" s="13" t="inlineStr">
        <is>
          <t>21206:5567236; 21206:4909921; 21206:4591203; 21206:4536311</t>
        </is>
      </c>
    </row>
    <row r="52">
      <c r="A52" s="13" t="inlineStr">
        <is>
          <t>H048</t>
        </is>
      </c>
      <c r="B52" s="15" t="inlineStr">
        <is>
          <t>Eli Arnold</t>
        </is>
      </c>
      <c r="C52" s="13" t="n">
        <v>1</v>
      </c>
      <c r="D52" s="13" t="inlineStr">
        <is>
          <t>No</t>
        </is>
      </c>
      <c r="E52" s="15" t="inlineStr">
        <is>
          <t>Bud Pierce for a Better Oregon</t>
        </is>
      </c>
      <c r="F52" s="13" t="n">
        <v>2016</v>
      </c>
      <c r="G52" s="13" t="n">
        <v>2016</v>
      </c>
      <c r="H52" s="13" t="n">
        <v>1</v>
      </c>
      <c r="I52" s="13" t="n">
        <v>1000</v>
      </c>
      <c r="J52" s="13" t="inlineStr">
        <is>
          <t>Street address or PO box</t>
        </is>
      </c>
      <c r="K52" s="13" t="inlineStr">
        <is>
          <t>Confirmed</t>
        </is>
      </c>
      <c r="L52" s="15" t="inlineStr"/>
      <c r="M52" s="13" t="inlineStr">
        <is>
          <t>17397:2347630</t>
        </is>
      </c>
      <c r="N52" s="13" t="inlineStr">
        <is>
          <t>23295:4926099</t>
        </is>
      </c>
    </row>
    <row r="53">
      <c r="A53" s="13" t="inlineStr">
        <is>
          <t>H049</t>
        </is>
      </c>
      <c r="B53" s="15" t="inlineStr">
        <is>
          <t>Kellie Torres, Steve Novick</t>
        </is>
      </c>
      <c r="C53" s="13" t="n">
        <v>2</v>
      </c>
      <c r="D53" s="13" t="inlineStr">
        <is>
          <t>No</t>
        </is>
      </c>
      <c r="E53" s="15" t="inlineStr">
        <is>
          <t>Bud Pierce for a Better Oregon; Knute for Governor</t>
        </is>
      </c>
      <c r="F53" s="13" t="n">
        <v>2016</v>
      </c>
      <c r="G53" s="13" t="n">
        <v>2018</v>
      </c>
      <c r="H53" s="13" t="n">
        <v>4</v>
      </c>
      <c r="I53" s="13" t="n">
        <v>3000</v>
      </c>
      <c r="J53" s="13" t="inlineStr">
        <is>
          <t>Street address or PO box</t>
        </is>
      </c>
      <c r="K53" s="13" t="inlineStr">
        <is>
          <t>Confirmed</t>
        </is>
      </c>
      <c r="L53" s="15" t="inlineStr"/>
      <c r="M53" s="13" t="inlineStr">
        <is>
          <t>17397:2428778; 15192:2598132; 15192:2897641; 15192:3061372</t>
        </is>
      </c>
      <c r="N53" s="13" t="inlineStr">
        <is>
          <t>24897:5873463; 15109:5845072</t>
        </is>
      </c>
    </row>
    <row r="54">
      <c r="A54" s="13" t="inlineStr">
        <is>
          <t>H050</t>
        </is>
      </c>
      <c r="B54" s="15" t="inlineStr">
        <is>
          <t>Julia Brim-Edwards</t>
        </is>
      </c>
      <c r="C54" s="13" t="n">
        <v>1</v>
      </c>
      <c r="D54" s="13" t="inlineStr">
        <is>
          <t>No</t>
        </is>
      </c>
      <c r="E54" s="15" t="inlineStr">
        <is>
          <t>Buehler For a United Oregon; The Leadership Fund</t>
        </is>
      </c>
      <c r="F54" s="13" t="n">
        <v>2016</v>
      </c>
      <c r="G54" s="13" t="n">
        <v>2016</v>
      </c>
      <c r="H54" s="13" t="n">
        <v>2</v>
      </c>
      <c r="I54" s="13" t="n">
        <v>1000</v>
      </c>
      <c r="J54" s="13" t="inlineStr">
        <is>
          <t>Street address or PO box</t>
        </is>
      </c>
      <c r="K54" s="13" t="inlineStr">
        <is>
          <t>Confirmed</t>
        </is>
      </c>
      <c r="L54" s="15" t="inlineStr"/>
      <c r="M54" s="13" t="inlineStr">
        <is>
          <t>15192:2446180; 2690:2441264</t>
        </is>
      </c>
      <c r="N54" s="13" t="inlineStr">
        <is>
          <t>21206:4921371</t>
        </is>
      </c>
    </row>
    <row r="55">
      <c r="A55" s="13" t="inlineStr">
        <is>
          <t>H051</t>
        </is>
      </c>
      <c r="B55" s="15" t="inlineStr">
        <is>
          <t>Olivia Clark, Eric Zimmerman, Julia Brim-Edwards</t>
        </is>
      </c>
      <c r="C55" s="13" t="n">
        <v>3</v>
      </c>
      <c r="D55" s="13" t="inlineStr">
        <is>
          <t>No</t>
        </is>
      </c>
      <c r="E55" s="15" t="inlineStr">
        <is>
          <t>Knute for Governor</t>
        </is>
      </c>
      <c r="F55" s="13" t="n">
        <v>2017</v>
      </c>
      <c r="G55" s="13" t="n">
        <v>2018</v>
      </c>
      <c r="H55" s="13" t="n">
        <v>4</v>
      </c>
      <c r="I55" s="13" t="n">
        <v>1000</v>
      </c>
      <c r="J55" s="13" t="inlineStr">
        <is>
          <t>Street address or PO box</t>
        </is>
      </c>
      <c r="K55" s="13" t="inlineStr">
        <is>
          <t>Confirmed</t>
        </is>
      </c>
      <c r="L55" s="15" t="inlineStr"/>
      <c r="M55" s="13" t="inlineStr">
        <is>
          <t>15192:2598126; 15192:2631877; 15192:2732002; 15192:2965588</t>
        </is>
      </c>
      <c r="N55" s="13" t="inlineStr">
        <is>
          <t>23199:5844241; 17629:5813995; 21206:5567230</t>
        </is>
      </c>
    </row>
    <row r="56">
      <c r="A56" s="13" t="inlineStr">
        <is>
          <t>H052</t>
        </is>
      </c>
      <c r="B56" s="15" t="inlineStr">
        <is>
          <t>Olivia Clark</t>
        </is>
      </c>
      <c r="C56" s="13" t="n">
        <v>1</v>
      </c>
      <c r="D56" s="13" t="inlineStr">
        <is>
          <t>No</t>
        </is>
      </c>
      <c r="E56" s="15" t="inlineStr">
        <is>
          <t>Knute for Governor</t>
        </is>
      </c>
      <c r="F56" s="13" t="n">
        <v>2017</v>
      </c>
      <c r="G56" s="13" t="n">
        <v>2017</v>
      </c>
      <c r="H56" s="13" t="n">
        <v>2</v>
      </c>
      <c r="I56" s="13" t="n">
        <v>250</v>
      </c>
      <c r="J56" s="13" t="inlineStr">
        <is>
          <t>Street address or PO box</t>
        </is>
      </c>
      <c r="K56" s="13" t="inlineStr">
        <is>
          <t>Confirmed</t>
        </is>
      </c>
      <c r="L56" s="15" t="inlineStr"/>
      <c r="M56" s="13" t="inlineStr">
        <is>
          <t>15192:2607747; 15192:2631507</t>
        </is>
      </c>
      <c r="N56" s="13" t="inlineStr">
        <is>
          <t>23199:5868475</t>
        </is>
      </c>
    </row>
    <row r="57">
      <c r="A57" s="13" t="inlineStr">
        <is>
          <t>H053</t>
        </is>
      </c>
      <c r="B57" s="15" t="inlineStr">
        <is>
          <t>Kellie Torres</t>
        </is>
      </c>
      <c r="C57" s="13" t="n">
        <v>1</v>
      </c>
      <c r="D57" s="13" t="inlineStr">
        <is>
          <t>No</t>
        </is>
      </c>
      <c r="E57" s="15" t="inlineStr">
        <is>
          <t>Knute for Governor</t>
        </is>
      </c>
      <c r="F57" s="13" t="n">
        <v>2017</v>
      </c>
      <c r="G57" s="13" t="n">
        <v>2018</v>
      </c>
      <c r="H57" s="13" t="n">
        <v>2</v>
      </c>
      <c r="I57" s="13" t="n">
        <v>500</v>
      </c>
      <c r="J57" s="13" t="inlineStr">
        <is>
          <t>Street address or PO box</t>
        </is>
      </c>
      <c r="K57" s="13" t="inlineStr">
        <is>
          <t>Confirmed</t>
        </is>
      </c>
      <c r="L57" s="15" t="inlineStr"/>
      <c r="M57" s="13" t="inlineStr">
        <is>
          <t>15192:2622423; 15192:2948048</t>
        </is>
      </c>
      <c r="N57" s="13" t="inlineStr">
        <is>
          <t>24897:5873390</t>
        </is>
      </c>
    </row>
    <row r="58">
      <c r="A58" s="13" t="inlineStr">
        <is>
          <t>H054</t>
        </is>
      </c>
      <c r="B58" s="15" t="inlineStr">
        <is>
          <t>Kellie Torres</t>
        </is>
      </c>
      <c r="C58" s="13" t="n">
        <v>1</v>
      </c>
      <c r="D58" s="13" t="inlineStr">
        <is>
          <t>No</t>
        </is>
      </c>
      <c r="E58" s="15" t="inlineStr">
        <is>
          <t>Knute for Governor</t>
        </is>
      </c>
      <c r="F58" s="13" t="n">
        <v>2017</v>
      </c>
      <c r="G58" s="13" t="n">
        <v>2017</v>
      </c>
      <c r="H58" s="13" t="n">
        <v>1</v>
      </c>
      <c r="I58" s="13" t="n">
        <v>5000</v>
      </c>
      <c r="J58" s="13" t="inlineStr">
        <is>
          <t>Street address or PO box</t>
        </is>
      </c>
      <c r="K58" s="13" t="inlineStr">
        <is>
          <t>Confirmed</t>
        </is>
      </c>
      <c r="L58" s="15" t="inlineStr"/>
      <c r="M58" s="13" t="inlineStr">
        <is>
          <t>15192:2626751</t>
        </is>
      </c>
      <c r="N58" s="13" t="inlineStr">
        <is>
          <t>24897:5780403</t>
        </is>
      </c>
    </row>
    <row r="59">
      <c r="A59" s="13" t="inlineStr">
        <is>
          <t>H055</t>
        </is>
      </c>
      <c r="B59" s="15" t="inlineStr">
        <is>
          <t>Steve Novick, Olivia Clark, Eric Zimmerman, Eli Arnold, Julia Brim-Edwards</t>
        </is>
      </c>
      <c r="C59" s="13" t="n">
        <v>5</v>
      </c>
      <c r="D59" s="13" t="inlineStr">
        <is>
          <t>No</t>
        </is>
      </c>
      <c r="E59" s="15" t="inlineStr">
        <is>
          <t>Knute for Governor</t>
        </is>
      </c>
      <c r="F59" s="13" t="n">
        <v>2017</v>
      </c>
      <c r="G59" s="13" t="n">
        <v>2018</v>
      </c>
      <c r="H59" s="13" t="n">
        <v>4</v>
      </c>
      <c r="I59" s="13" t="n">
        <v>15000</v>
      </c>
      <c r="J59" s="13" t="inlineStr">
        <is>
          <t>Street address or PO box</t>
        </is>
      </c>
      <c r="K59" s="13" t="inlineStr">
        <is>
          <t>Confirmed</t>
        </is>
      </c>
      <c r="L59" s="15" t="inlineStr"/>
      <c r="M59" s="13" t="inlineStr">
        <is>
          <t>15192:2670230; 15192:2804186; 15192:2880177; 15192:3053028</t>
        </is>
      </c>
      <c r="N59" s="13" t="inlineStr">
        <is>
          <t>15109:5793318; 15109:4772833; 23199:5375098; 23199:5005001; 17629:4993430; 23295:4993300; 21206:5555005; 21206:4853064; 21206:4530510</t>
        </is>
      </c>
    </row>
    <row r="60">
      <c r="A60" s="13" t="inlineStr">
        <is>
          <t>H056</t>
        </is>
      </c>
      <c r="B60" s="15" t="inlineStr">
        <is>
          <t>Julia Brim-Edwards</t>
        </is>
      </c>
      <c r="C60" s="13" t="n">
        <v>1</v>
      </c>
      <c r="D60" s="13" t="inlineStr">
        <is>
          <t>No</t>
        </is>
      </c>
      <c r="E60" s="15" t="inlineStr">
        <is>
          <t>Knute for Governor</t>
        </is>
      </c>
      <c r="F60" s="13" t="n">
        <v>2017</v>
      </c>
      <c r="G60" s="13" t="n">
        <v>2018</v>
      </c>
      <c r="H60" s="13" t="n">
        <v>2</v>
      </c>
      <c r="I60" s="13" t="n">
        <v>13000</v>
      </c>
      <c r="J60" s="13" t="inlineStr">
        <is>
          <t>Street address or PO box</t>
        </is>
      </c>
      <c r="K60" s="13" t="inlineStr">
        <is>
          <t>Confirmed</t>
        </is>
      </c>
      <c r="L60" s="15" t="inlineStr"/>
      <c r="M60" s="13" t="inlineStr">
        <is>
          <t>15192:2652082; 15192:3043256</t>
        </is>
      </c>
      <c r="N60" s="13" t="inlineStr">
        <is>
          <t>21206:4572213</t>
        </is>
      </c>
    </row>
    <row r="61">
      <c r="A61" s="13" t="inlineStr">
        <is>
          <t>H057</t>
        </is>
      </c>
      <c r="B61" s="15" t="inlineStr">
        <is>
          <t>Kellie Torres</t>
        </is>
      </c>
      <c r="C61" s="13" t="n">
        <v>1</v>
      </c>
      <c r="D61" s="13" t="inlineStr">
        <is>
          <t>No</t>
        </is>
      </c>
      <c r="E61" s="15" t="inlineStr">
        <is>
          <t>Knute for Governor</t>
        </is>
      </c>
      <c r="F61" s="13" t="n">
        <v>2017</v>
      </c>
      <c r="G61" s="13" t="n">
        <v>2018</v>
      </c>
      <c r="H61" s="13" t="n">
        <v>2</v>
      </c>
      <c r="I61" s="13" t="n">
        <v>15000</v>
      </c>
      <c r="J61" s="13" t="inlineStr">
        <is>
          <t>Street address or PO box</t>
        </is>
      </c>
      <c r="K61" s="13" t="inlineStr">
        <is>
          <t>Confirmed</t>
        </is>
      </c>
      <c r="L61" s="15" t="inlineStr"/>
      <c r="M61" s="13" t="inlineStr">
        <is>
          <t>15192:2662894; 15192:2982743</t>
        </is>
      </c>
      <c r="N61" s="13" t="inlineStr">
        <is>
          <t>24897:5780404</t>
        </is>
      </c>
    </row>
    <row r="62">
      <c r="A62" s="13" t="inlineStr">
        <is>
          <t>H058</t>
        </is>
      </c>
      <c r="B62" s="15" t="inlineStr">
        <is>
          <t>Julia Brim-Edwards</t>
        </is>
      </c>
      <c r="C62" s="13" t="n">
        <v>1</v>
      </c>
      <c r="D62" s="13" t="inlineStr">
        <is>
          <t>Yes</t>
        </is>
      </c>
      <c r="E62" s="15" t="inlineStr">
        <is>
          <t>Friends of Christine Drazan; Knute for Governor</t>
        </is>
      </c>
      <c r="F62" s="13" t="n">
        <v>2018</v>
      </c>
      <c r="G62" s="13" t="n">
        <v>2020</v>
      </c>
      <c r="H62" s="13" t="n">
        <v>3</v>
      </c>
      <c r="I62" s="13" t="n">
        <v>35000</v>
      </c>
      <c r="J62" s="13" t="inlineStr">
        <is>
          <t>Street address or PO box</t>
        </is>
      </c>
      <c r="K62" s="13" t="inlineStr">
        <is>
          <t>Confirmed</t>
        </is>
      </c>
      <c r="L62" s="15" t="inlineStr"/>
      <c r="M62" s="13" t="inlineStr">
        <is>
          <t>15192:2715613; 15192:3040502; 19050:3637386</t>
        </is>
      </c>
      <c r="N62" s="13" t="inlineStr">
        <is>
          <t>21206:4572224</t>
        </is>
      </c>
    </row>
    <row r="63">
      <c r="A63" s="13" t="inlineStr">
        <is>
          <t>H059</t>
        </is>
      </c>
      <c r="B63" s="15" t="inlineStr">
        <is>
          <t>Kellie Torres, Julia Brim-Edwards</t>
        </is>
      </c>
      <c r="C63" s="13" t="n">
        <v>2</v>
      </c>
      <c r="D63" s="13" t="inlineStr">
        <is>
          <t>No</t>
        </is>
      </c>
      <c r="E63" s="15" t="inlineStr">
        <is>
          <t>Knute for Governor</t>
        </is>
      </c>
      <c r="F63" s="13" t="n">
        <v>2018</v>
      </c>
      <c r="G63" s="13" t="n">
        <v>2018</v>
      </c>
      <c r="H63" s="13" t="n">
        <v>1</v>
      </c>
      <c r="I63" s="13" t="n">
        <v>500</v>
      </c>
      <c r="J63" s="13" t="inlineStr">
        <is>
          <t>Street address or PO box</t>
        </is>
      </c>
      <c r="K63" s="13" t="inlineStr">
        <is>
          <t>Confirmed</t>
        </is>
      </c>
      <c r="L63" s="15" t="inlineStr"/>
      <c r="M63" s="13" t="inlineStr">
        <is>
          <t>15192:2777491</t>
        </is>
      </c>
      <c r="N63" s="13" t="inlineStr">
        <is>
          <t>24897:5760893; 21206:4530521</t>
        </is>
      </c>
    </row>
    <row r="64">
      <c r="A64" s="13" t="inlineStr">
        <is>
          <t>H060</t>
        </is>
      </c>
      <c r="B64" s="15" t="inlineStr">
        <is>
          <t>Julia Brim-Edwards</t>
        </is>
      </c>
      <c r="C64" s="13" t="n">
        <v>1</v>
      </c>
      <c r="D64" s="13" t="inlineStr">
        <is>
          <t>No</t>
        </is>
      </c>
      <c r="E64" s="15" t="inlineStr">
        <is>
          <t>Knute for Governor</t>
        </is>
      </c>
      <c r="F64" s="13" t="n">
        <v>2018</v>
      </c>
      <c r="G64" s="13" t="n">
        <v>2018</v>
      </c>
      <c r="H64" s="13" t="n">
        <v>10</v>
      </c>
      <c r="I64" s="13" t="n">
        <v>3000</v>
      </c>
      <c r="J64" s="13" t="inlineStr">
        <is>
          <t>Street address or PO box</t>
        </is>
      </c>
      <c r="K64" s="13" t="inlineStr">
        <is>
          <t>Confirmed</t>
        </is>
      </c>
      <c r="L64" s="15" t="inlineStr"/>
      <c r="M64" s="13" t="inlineStr">
        <is>
          <t>15192:2787825; 15192:2825696; 15192:2832027; 15192:2836617; 15192:2843858; 15192:2888765; 15192:2888766; 15192:2897524; 15192:2904500; 15192:2997866</t>
        </is>
      </c>
      <c r="N64" s="13" t="inlineStr">
        <is>
          <t>21206:5704169</t>
        </is>
      </c>
    </row>
    <row r="65">
      <c r="A65" s="13" t="inlineStr">
        <is>
          <t>H061</t>
        </is>
      </c>
      <c r="B65" s="15" t="inlineStr">
        <is>
          <t>Steve Novick</t>
        </is>
      </c>
      <c r="C65" s="13" t="n">
        <v>1</v>
      </c>
      <c r="D65" s="13" t="inlineStr">
        <is>
          <t>No</t>
        </is>
      </c>
      <c r="E65" s="15" t="inlineStr">
        <is>
          <t>Knute for Governor</t>
        </is>
      </c>
      <c r="F65" s="13" t="n">
        <v>2018</v>
      </c>
      <c r="G65" s="13" t="n">
        <v>2018</v>
      </c>
      <c r="H65" s="13" t="n">
        <v>1</v>
      </c>
      <c r="I65" s="13" t="n">
        <v>1000</v>
      </c>
      <c r="J65" s="13" t="inlineStr">
        <is>
          <t>ZIP + employer</t>
        </is>
      </c>
      <c r="K65" s="13" t="inlineStr">
        <is>
          <t>Confirmed</t>
        </is>
      </c>
      <c r="L65" s="15" t="inlineStr"/>
      <c r="M65" s="13" t="inlineStr">
        <is>
          <t>15192:2804184</t>
        </is>
      </c>
      <c r="N65" s="13" t="inlineStr">
        <is>
          <t>15109:4813762</t>
        </is>
      </c>
    </row>
    <row r="66">
      <c r="A66" s="13" t="inlineStr">
        <is>
          <t>H062</t>
        </is>
      </c>
      <c r="B66" s="15" t="inlineStr">
        <is>
          <t>Eric Zimmerman, Julia Brim-Edwards</t>
        </is>
      </c>
      <c r="C66" s="13" t="n">
        <v>2</v>
      </c>
      <c r="D66" s="13" t="inlineStr">
        <is>
          <t>No</t>
        </is>
      </c>
      <c r="E66" s="15" t="inlineStr">
        <is>
          <t>Bring Balance to Salem PAC; Knute for Governor</t>
        </is>
      </c>
      <c r="F66" s="13" t="n">
        <v>2018</v>
      </c>
      <c r="G66" s="13" t="n">
        <v>2026</v>
      </c>
      <c r="H66" s="13" t="n">
        <v>2</v>
      </c>
      <c r="I66" s="13" t="n">
        <v>3000</v>
      </c>
      <c r="J66" s="13" t="inlineStr">
        <is>
          <t>Street address or PO box</t>
        </is>
      </c>
      <c r="K66" s="13" t="inlineStr">
        <is>
          <t>Confirmed</t>
        </is>
      </c>
      <c r="L66" s="15" t="inlineStr"/>
      <c r="M66" s="13" t="inlineStr">
        <is>
          <t>15192:2804189; 21717:5666459</t>
        </is>
      </c>
      <c r="N66" s="13" t="inlineStr">
        <is>
          <t>17629:5778159; 21206:5555100; 21206:4530518</t>
        </is>
      </c>
    </row>
    <row r="67">
      <c r="A67" s="13" t="inlineStr">
        <is>
          <t>H063</t>
        </is>
      </c>
      <c r="B67" s="15" t="inlineStr">
        <is>
          <t>Eric Zimmerman, Eli Arnold</t>
        </is>
      </c>
      <c r="C67" s="13" t="n">
        <v>2</v>
      </c>
      <c r="D67" s="13" t="inlineStr">
        <is>
          <t>Yes</t>
        </is>
      </c>
      <c r="E67" s="15" t="inlineStr">
        <is>
          <t>Friends of Christine Drazan; Friends of Jeff Helfrich; Friends of Will Lathrop; Knute for Governor; Multnomah County Republican Central Committee</t>
        </is>
      </c>
      <c r="F67" s="13" t="n">
        <v>2018</v>
      </c>
      <c r="G67" s="13" t="n">
        <v>2026</v>
      </c>
      <c r="H67" s="13" t="n">
        <v>18</v>
      </c>
      <c r="I67" s="13" t="n">
        <v>10000</v>
      </c>
      <c r="J67" s="13" t="inlineStr">
        <is>
          <t>Street address or PO box</t>
        </is>
      </c>
      <c r="K67" s="13" t="inlineStr">
        <is>
          <t>Confirmed</t>
        </is>
      </c>
      <c r="L67" s="15" t="inlineStr"/>
      <c r="M67" s="13" t="inlineStr">
        <is>
          <t>15192:2832855; 15192:2895015; 15192:2924330; 15192:3018676; 15192:3073436; 19050:4268959; 19050:4389026; 21896:4741334; 21896:5046509; 21896:5123745; 21896:5123947; 21896:5134203; 21896:5134312; 15984:5197923; 15984:5516634; 21594:5548325; 19050:5813334; 19050:5866669</t>
        </is>
      </c>
      <c r="N67" s="13" t="inlineStr">
        <is>
          <t>17629:5704596; 17629:5704561; 23295:5459859</t>
        </is>
      </c>
    </row>
    <row r="68">
      <c r="A68" s="13" t="inlineStr">
        <is>
          <t>H064</t>
        </is>
      </c>
      <c r="B68" s="15" t="inlineStr">
        <is>
          <t>Olivia Clark</t>
        </is>
      </c>
      <c r="C68" s="13" t="n">
        <v>1</v>
      </c>
      <c r="D68" s="13" t="inlineStr">
        <is>
          <t>No</t>
        </is>
      </c>
      <c r="E68" s="15" t="inlineStr">
        <is>
          <t>Knute for Governor</t>
        </is>
      </c>
      <c r="F68" s="13" t="n">
        <v>2018</v>
      </c>
      <c r="G68" s="13" t="n">
        <v>2018</v>
      </c>
      <c r="H68" s="13" t="n">
        <v>2</v>
      </c>
      <c r="I68" s="13" t="n">
        <v>2000</v>
      </c>
      <c r="J68" s="13" t="inlineStr">
        <is>
          <t>Street address or PO box</t>
        </is>
      </c>
      <c r="K68" s="13" t="inlineStr">
        <is>
          <t>Confirmed</t>
        </is>
      </c>
      <c r="L68" s="15" t="inlineStr"/>
      <c r="M68" s="13" t="inlineStr">
        <is>
          <t>15192:2843482; 15192:3050136</t>
        </is>
      </c>
      <c r="N68" s="13" t="inlineStr">
        <is>
          <t>23199:5397308</t>
        </is>
      </c>
    </row>
    <row r="69">
      <c r="A69" s="13" t="inlineStr">
        <is>
          <t>H065</t>
        </is>
      </c>
      <c r="B69" s="15" t="inlineStr">
        <is>
          <t>Kellie Torres, Julia Brim-Edwards</t>
        </is>
      </c>
      <c r="C69" s="13" t="n">
        <v>2</v>
      </c>
      <c r="D69" s="13" t="inlineStr">
        <is>
          <t>No</t>
        </is>
      </c>
      <c r="E69" s="15" t="inlineStr">
        <is>
          <t>Knute for Governor</t>
        </is>
      </c>
      <c r="F69" s="13" t="n">
        <v>2018</v>
      </c>
      <c r="G69" s="13" t="n">
        <v>2018</v>
      </c>
      <c r="H69" s="13" t="n">
        <v>1</v>
      </c>
      <c r="I69" s="13" t="n">
        <v>3000</v>
      </c>
      <c r="J69" s="13" t="inlineStr">
        <is>
          <t>Street address or PO box</t>
        </is>
      </c>
      <c r="K69" s="13" t="inlineStr">
        <is>
          <t>Confirmed</t>
        </is>
      </c>
      <c r="L69" s="15" t="inlineStr"/>
      <c r="M69" s="13" t="inlineStr">
        <is>
          <t>15192:2904945</t>
        </is>
      </c>
      <c r="N69" s="13" t="inlineStr">
        <is>
          <t>24897:5780412; 21206:4867891; 21206:4551192</t>
        </is>
      </c>
    </row>
    <row r="70">
      <c r="A70" s="13" t="inlineStr">
        <is>
          <t>H066</t>
        </is>
      </c>
      <c r="B70" s="15" t="inlineStr">
        <is>
          <t>Eric Zimmerman, Eli Arnold</t>
        </is>
      </c>
      <c r="C70" s="13" t="n">
        <v>2</v>
      </c>
      <c r="D70" s="13" t="inlineStr">
        <is>
          <t>No</t>
        </is>
      </c>
      <c r="E70" s="15" t="inlineStr">
        <is>
          <t>Knute for Governor</t>
        </is>
      </c>
      <c r="F70" s="13" t="n">
        <v>2018</v>
      </c>
      <c r="G70" s="13" t="n">
        <v>2018</v>
      </c>
      <c r="H70" s="13" t="n">
        <v>2</v>
      </c>
      <c r="I70" s="13" t="n">
        <v>250</v>
      </c>
      <c r="J70" s="13" t="inlineStr">
        <is>
          <t>Street address or PO box</t>
        </is>
      </c>
      <c r="K70" s="13" t="inlineStr">
        <is>
          <t>Confirmed</t>
        </is>
      </c>
      <c r="L70" s="15" t="inlineStr"/>
      <c r="M70" s="13" t="inlineStr">
        <is>
          <t>15192:2906820; 15192:3003976</t>
        </is>
      </c>
      <c r="N70" s="13" t="inlineStr">
        <is>
          <t>17629:5858311; 17629:5813946; 17629:5813878; 17629:5778065; 17629:5747532; 17629:5704592; 17629:5679863; 23295:5865526; 23295:5820959; 23295:5820960; 23295:5786029; 23295:5747078; 23295:5704091; 23295:5686478; 23295:4967797</t>
        </is>
      </c>
    </row>
    <row r="71">
      <c r="A71" s="13" t="inlineStr">
        <is>
          <t>H067</t>
        </is>
      </c>
      <c r="B71" s="15" t="inlineStr">
        <is>
          <t>Olivia Clark, Eric Zimmerman</t>
        </is>
      </c>
      <c r="C71" s="13" t="n">
        <v>2</v>
      </c>
      <c r="D71" s="13" t="inlineStr">
        <is>
          <t>No</t>
        </is>
      </c>
      <c r="E71" s="15" t="inlineStr">
        <is>
          <t>Knute for Governor</t>
        </is>
      </c>
      <c r="F71" s="13" t="n">
        <v>2018</v>
      </c>
      <c r="G71" s="13" t="n">
        <v>2018</v>
      </c>
      <c r="H71" s="13" t="n">
        <v>2</v>
      </c>
      <c r="I71" s="13" t="n">
        <v>2000</v>
      </c>
      <c r="J71" s="13" t="inlineStr">
        <is>
          <t>Street address or PO box</t>
        </is>
      </c>
      <c r="K71" s="13" t="inlineStr">
        <is>
          <t>Confirmed</t>
        </is>
      </c>
      <c r="L71" s="15" t="inlineStr"/>
      <c r="M71" s="13" t="inlineStr">
        <is>
          <t>15192:2923951; 15192:2987847</t>
        </is>
      </c>
      <c r="N71" s="13" t="inlineStr">
        <is>
          <t>23199:5844288; 17629:5778150</t>
        </is>
      </c>
    </row>
    <row r="72">
      <c r="A72" s="13" t="inlineStr">
        <is>
          <t>H068</t>
        </is>
      </c>
      <c r="B72" s="15" t="inlineStr">
        <is>
          <t>Kellie Torres, Olivia Clark, Eric Zimmerman, Julia Brim-Edwards</t>
        </is>
      </c>
      <c r="C72" s="13" t="n">
        <v>4</v>
      </c>
      <c r="D72" s="13" t="inlineStr">
        <is>
          <t>No</t>
        </is>
      </c>
      <c r="E72" s="15" t="inlineStr">
        <is>
          <t>Knute for Governor</t>
        </is>
      </c>
      <c r="F72" s="13" t="n">
        <v>2018</v>
      </c>
      <c r="G72" s="13" t="n">
        <v>2018</v>
      </c>
      <c r="H72" s="13" t="n">
        <v>1</v>
      </c>
      <c r="I72" s="13" t="n">
        <v>250</v>
      </c>
      <c r="J72" s="13" t="inlineStr">
        <is>
          <t>Street address or PO box</t>
        </is>
      </c>
      <c r="K72" s="13" t="inlineStr">
        <is>
          <t>Confirmed</t>
        </is>
      </c>
      <c r="L72" s="15" t="inlineStr"/>
      <c r="M72" s="13" t="inlineStr">
        <is>
          <t>15192:2930610</t>
        </is>
      </c>
      <c r="N72" s="13" t="inlineStr">
        <is>
          <t>24897:5850084; 23199:5844264; 17629:5828869; 21206:5704183; 21206:5578348; 21206:4557176</t>
        </is>
      </c>
    </row>
    <row r="73">
      <c r="A73" s="13" t="inlineStr">
        <is>
          <t>H069</t>
        </is>
      </c>
      <c r="B73" s="15" t="inlineStr">
        <is>
          <t>Olivia Clark, Eric Zimmerman</t>
        </is>
      </c>
      <c r="C73" s="13" t="n">
        <v>2</v>
      </c>
      <c r="D73" s="13" t="inlineStr">
        <is>
          <t>Yes</t>
        </is>
      </c>
      <c r="E73" s="15" t="inlineStr">
        <is>
          <t>Friends of Christine Drazan; Friends of Jeff Helfrich; Knute for Governor</t>
        </is>
      </c>
      <c r="F73" s="13" t="n">
        <v>2018</v>
      </c>
      <c r="G73" s="13" t="n">
        <v>2024</v>
      </c>
      <c r="H73" s="13" t="n">
        <v>4</v>
      </c>
      <c r="I73" s="13" t="n">
        <v>4000</v>
      </c>
      <c r="J73" s="13" t="inlineStr">
        <is>
          <t>ZIP + employer</t>
        </is>
      </c>
      <c r="K73" s="13" t="inlineStr">
        <is>
          <t>Confirmed</t>
        </is>
      </c>
      <c r="L73" s="15" t="inlineStr"/>
      <c r="M73" s="13" t="inlineStr">
        <is>
          <t>15192:2937348; 15192:3043200; 19050:4374820; 15984:4938828</t>
        </is>
      </c>
      <c r="N73" s="13" t="inlineStr">
        <is>
          <t>23199:5850415; 17629:5852823</t>
        </is>
      </c>
    </row>
    <row r="74">
      <c r="A74" s="13" t="inlineStr">
        <is>
          <t>H070</t>
        </is>
      </c>
      <c r="B74" s="15" t="inlineStr">
        <is>
          <t>Olivia Clark, Eric Zimmerman, Eli Arnold, Julia Brim-Edwards</t>
        </is>
      </c>
      <c r="C74" s="13" t="n">
        <v>4</v>
      </c>
      <c r="D74" s="13" t="inlineStr">
        <is>
          <t>Yes</t>
        </is>
      </c>
      <c r="E74" s="15" t="inlineStr">
        <is>
          <t>Friends of Christine Drazan; Knute for Governor</t>
        </is>
      </c>
      <c r="F74" s="13" t="n">
        <v>2018</v>
      </c>
      <c r="G74" s="13" t="n">
        <v>2024</v>
      </c>
      <c r="H74" s="13" t="n">
        <v>3</v>
      </c>
      <c r="I74" s="13" t="n">
        <v>4000</v>
      </c>
      <c r="J74" s="13" t="inlineStr">
        <is>
          <t>Street address or PO box</t>
        </is>
      </c>
      <c r="K74" s="13" t="inlineStr">
        <is>
          <t>Confirmed</t>
        </is>
      </c>
      <c r="L74" s="15" t="inlineStr"/>
      <c r="M74" s="13" t="inlineStr">
        <is>
          <t>15192:2958365; 19050:4309117; 19050:4877571</t>
        </is>
      </c>
      <c r="N74" s="13" t="inlineStr">
        <is>
          <t>23199:5098690; 17629:5051375; 23295:5098332; 21206:5584304</t>
        </is>
      </c>
    </row>
    <row r="75">
      <c r="A75" s="13" t="inlineStr">
        <is>
          <t>H071</t>
        </is>
      </c>
      <c r="B75" s="15" t="inlineStr">
        <is>
          <t>Julia Brim-Edwards</t>
        </is>
      </c>
      <c r="C75" s="13" t="n">
        <v>1</v>
      </c>
      <c r="D75" s="13" t="inlineStr">
        <is>
          <t>Yes</t>
        </is>
      </c>
      <c r="E75" s="15" t="inlineStr">
        <is>
          <t>Dudley for Oregon; Friends of Christine Drazan; Friends of Jeff Helfrich; Knute for Governor</t>
        </is>
      </c>
      <c r="F75" s="13" t="n">
        <v>2018</v>
      </c>
      <c r="G75" s="13" t="n">
        <v>2026</v>
      </c>
      <c r="H75" s="13" t="n">
        <v>16</v>
      </c>
      <c r="I75" s="13" t="n">
        <v>3000</v>
      </c>
      <c r="J75" s="13" t="inlineStr">
        <is>
          <t>Street address or PO box</t>
        </is>
      </c>
      <c r="K75" s="13" t="inlineStr">
        <is>
          <t>Confirmed</t>
        </is>
      </c>
      <c r="L75" s="15" t="inlineStr"/>
      <c r="M75" s="13" t="inlineStr">
        <is>
          <t>15192:2958381; 15192:2961054; 15192:2997848; 15192:3011700; 15192:3021339; 15192:3034413; 15192:3046113; 15192:3059099; 15192:3068749; 15192:3071834; 15984:4948163; 15984:5136698; 15984:5197917; 24693:5577062; 19050:5700997; 19050:5770870</t>
        </is>
      </c>
      <c r="N75" s="13" t="inlineStr">
        <is>
          <t>21206:5704173</t>
        </is>
      </c>
    </row>
    <row r="76">
      <c r="A76" s="13" t="inlineStr">
        <is>
          <t>H072</t>
        </is>
      </c>
      <c r="B76" s="15" t="inlineStr">
        <is>
          <t>Julia Brim-Edwards</t>
        </is>
      </c>
      <c r="C76" s="13" t="n">
        <v>1</v>
      </c>
      <c r="D76" s="13" t="inlineStr">
        <is>
          <t>No</t>
        </is>
      </c>
      <c r="E76" s="15" t="inlineStr">
        <is>
          <t>Knute for Governor</t>
        </is>
      </c>
      <c r="F76" s="13" t="n">
        <v>2018</v>
      </c>
      <c r="G76" s="13" t="n">
        <v>2018</v>
      </c>
      <c r="H76" s="13" t="n">
        <v>1</v>
      </c>
      <c r="I76" s="13" t="n">
        <v>1000</v>
      </c>
      <c r="J76" s="13" t="inlineStr">
        <is>
          <t>Street address or PO box</t>
        </is>
      </c>
      <c r="K76" s="13" t="inlineStr">
        <is>
          <t>Confirmed</t>
        </is>
      </c>
      <c r="L76" s="15" t="inlineStr"/>
      <c r="M76" s="13" t="inlineStr">
        <is>
          <t>15192:2957088</t>
        </is>
      </c>
      <c r="N76" s="13" t="inlineStr">
        <is>
          <t>21206:5567226</t>
        </is>
      </c>
    </row>
    <row r="77">
      <c r="A77" s="13" t="inlineStr">
        <is>
          <t>H073</t>
        </is>
      </c>
      <c r="B77" s="15" t="inlineStr">
        <is>
          <t>Olivia Clark, Julia Brim-Edwards</t>
        </is>
      </c>
      <c r="C77" s="13" t="n">
        <v>2</v>
      </c>
      <c r="D77" s="13" t="inlineStr">
        <is>
          <t>No</t>
        </is>
      </c>
      <c r="E77" s="15" t="inlineStr">
        <is>
          <t>Knute for Governor</t>
        </is>
      </c>
      <c r="F77" s="13" t="n">
        <v>2018</v>
      </c>
      <c r="G77" s="13" t="n">
        <v>2018</v>
      </c>
      <c r="H77" s="13" t="n">
        <v>1</v>
      </c>
      <c r="I77" s="13" t="n">
        <v>500</v>
      </c>
      <c r="J77" s="13" t="inlineStr">
        <is>
          <t>Street address or PO box</t>
        </is>
      </c>
      <c r="K77" s="13" t="inlineStr">
        <is>
          <t>Confirmed</t>
        </is>
      </c>
      <c r="L77" s="15" t="inlineStr"/>
      <c r="M77" s="13" t="inlineStr">
        <is>
          <t>15192:2969341</t>
        </is>
      </c>
      <c r="N77" s="13" t="inlineStr">
        <is>
          <t>23199:4966473; 21206:4536327</t>
        </is>
      </c>
    </row>
    <row r="78">
      <c r="A78" s="13" t="inlineStr">
        <is>
          <t>H074</t>
        </is>
      </c>
      <c r="B78" s="15" t="inlineStr">
        <is>
          <t>Steve Novick, Julia Brim-Edwards</t>
        </is>
      </c>
      <c r="C78" s="13" t="n">
        <v>2</v>
      </c>
      <c r="D78" s="13" t="inlineStr">
        <is>
          <t>Yes</t>
        </is>
      </c>
      <c r="E78" s="15" t="inlineStr">
        <is>
          <t>Friends of Christine Drazan</t>
        </is>
      </c>
      <c r="F78" s="13" t="n">
        <v>2018</v>
      </c>
      <c r="G78" s="13" t="n">
        <v>2018</v>
      </c>
      <c r="H78" s="13" t="n">
        <v>1</v>
      </c>
      <c r="I78" s="13" t="n">
        <v>250</v>
      </c>
      <c r="J78" s="13" t="inlineStr">
        <is>
          <t>Street address or PO box</t>
        </is>
      </c>
      <c r="K78" s="13" t="inlineStr">
        <is>
          <t>Confirmed</t>
        </is>
      </c>
      <c r="L78" s="15" t="inlineStr"/>
      <c r="M78" s="13" t="inlineStr">
        <is>
          <t>19050:2971143</t>
        </is>
      </c>
      <c r="N78" s="13" t="inlineStr">
        <is>
          <t>15109:4725830; 21206:5704147; 21206:4554403</t>
        </is>
      </c>
    </row>
    <row r="79">
      <c r="A79" s="13" t="inlineStr">
        <is>
          <t>H075</t>
        </is>
      </c>
      <c r="B79" s="15" t="inlineStr">
        <is>
          <t>Kellie Torres, Olivia Clark, Eric Zimmerman, Julia Brim-Edwards</t>
        </is>
      </c>
      <c r="C79" s="13" t="n">
        <v>4</v>
      </c>
      <c r="D79" s="13" t="inlineStr">
        <is>
          <t>No</t>
        </is>
      </c>
      <c r="E79" s="15" t="inlineStr">
        <is>
          <t>Knute for Governor</t>
        </is>
      </c>
      <c r="F79" s="13" t="n">
        <v>2018</v>
      </c>
      <c r="G79" s="13" t="n">
        <v>2018</v>
      </c>
      <c r="H79" s="13" t="n">
        <v>3</v>
      </c>
      <c r="I79" s="13" t="n">
        <v>2000</v>
      </c>
      <c r="J79" s="13" t="inlineStr">
        <is>
          <t>Street address or PO box</t>
        </is>
      </c>
      <c r="K79" s="13" t="inlineStr">
        <is>
          <t>Confirmed</t>
        </is>
      </c>
      <c r="L79" s="15" t="inlineStr"/>
      <c r="M79" s="13" t="inlineStr">
        <is>
          <t>15192:2982931; 15192:3054852; 15192:3069502</t>
        </is>
      </c>
      <c r="N79" s="13" t="inlineStr">
        <is>
          <t>24897:5846623; 23199:5844219; 17629:5813957; 17629:4993456; 21206:4853109; 21206:4551179</t>
        </is>
      </c>
    </row>
    <row r="80">
      <c r="A80" s="13" t="inlineStr">
        <is>
          <t>H076</t>
        </is>
      </c>
      <c r="B80" s="15" t="inlineStr">
        <is>
          <t>Kellie Torres, Steve Novick, Olivia Clark, Eric Zimmerman, Julia Brim-Edwards</t>
        </is>
      </c>
      <c r="C80" s="13" t="n">
        <v>5</v>
      </c>
      <c r="D80" s="13" t="inlineStr">
        <is>
          <t>No</t>
        </is>
      </c>
      <c r="E80" s="15" t="inlineStr">
        <is>
          <t>Knute for Governor</t>
        </is>
      </c>
      <c r="F80" s="13" t="n">
        <v>2018</v>
      </c>
      <c r="G80" s="13" t="n">
        <v>2018</v>
      </c>
      <c r="H80" s="13" t="n">
        <v>1</v>
      </c>
      <c r="I80" s="13" t="n">
        <v>1000</v>
      </c>
      <c r="J80" s="13" t="inlineStr">
        <is>
          <t>Hand review</t>
        </is>
      </c>
      <c r="K80" s="13" t="inlineStr">
        <is>
          <t>Likely</t>
        </is>
      </c>
      <c r="L80" s="15" t="inlineStr">
        <is>
          <t>The two gifts list the same firm under two versions of its name, one from a home address and one from the office. Other filings tie both addresses to that firm.</t>
        </is>
      </c>
      <c r="M80" s="13" t="inlineStr">
        <is>
          <t>15192:2977979</t>
        </is>
      </c>
      <c r="N80" s="13" t="inlineStr">
        <is>
          <t>24897:5873378; 15109:5845070; 17629:5598564; 21206:5578340; 21206:4536323; 23199:5868467</t>
        </is>
      </c>
    </row>
    <row r="81">
      <c r="A81" s="13" t="inlineStr">
        <is>
          <t>H077</t>
        </is>
      </c>
      <c r="B81" s="15" t="inlineStr">
        <is>
          <t>Eli Arnold, Julia Brim-Edwards</t>
        </is>
      </c>
      <c r="C81" s="13" t="n">
        <v>2</v>
      </c>
      <c r="D81" s="13" t="inlineStr">
        <is>
          <t>No</t>
        </is>
      </c>
      <c r="E81" s="15" t="inlineStr">
        <is>
          <t>Knute for Governor</t>
        </is>
      </c>
      <c r="F81" s="13" t="n">
        <v>2018</v>
      </c>
      <c r="G81" s="13" t="n">
        <v>2018</v>
      </c>
      <c r="H81" s="13" t="n">
        <v>1</v>
      </c>
      <c r="I81" s="13" t="n">
        <v>1000</v>
      </c>
      <c r="J81" s="13" t="inlineStr">
        <is>
          <t>Street address or PO box</t>
        </is>
      </c>
      <c r="K81" s="13" t="inlineStr">
        <is>
          <t>Confirmed</t>
        </is>
      </c>
      <c r="L81" s="15" t="inlineStr"/>
      <c r="M81" s="13" t="inlineStr">
        <is>
          <t>15192:3011754</t>
        </is>
      </c>
      <c r="N81" s="13" t="inlineStr">
        <is>
          <t>23295:5032662; 21206:4572228</t>
        </is>
      </c>
    </row>
    <row r="82">
      <c r="A82" s="13" t="inlineStr">
        <is>
          <t>H078</t>
        </is>
      </c>
      <c r="B82" s="15" t="inlineStr">
        <is>
          <t>Julia Brim-Edwards</t>
        </is>
      </c>
      <c r="C82" s="13" t="n">
        <v>1</v>
      </c>
      <c r="D82" s="13" t="inlineStr">
        <is>
          <t>No</t>
        </is>
      </c>
      <c r="E82" s="15" t="inlineStr">
        <is>
          <t>Knute for Governor</t>
        </is>
      </c>
      <c r="F82" s="13" t="n">
        <v>2018</v>
      </c>
      <c r="G82" s="13" t="n">
        <v>2018</v>
      </c>
      <c r="H82" s="13" t="n">
        <v>2</v>
      </c>
      <c r="I82" s="13" t="n">
        <v>500</v>
      </c>
      <c r="J82" s="13" t="inlineStr">
        <is>
          <t>Street address or PO box</t>
        </is>
      </c>
      <c r="K82" s="13" t="inlineStr">
        <is>
          <t>Confirmed</t>
        </is>
      </c>
      <c r="L82" s="15" t="inlineStr"/>
      <c r="M82" s="13" t="inlineStr">
        <is>
          <t>15192:3026413; 15192:3037360</t>
        </is>
      </c>
      <c r="N82" s="13" t="inlineStr">
        <is>
          <t>21206:5627317</t>
        </is>
      </c>
    </row>
    <row r="83">
      <c r="A83" s="13" t="inlineStr">
        <is>
          <t>H079</t>
        </is>
      </c>
      <c r="B83" s="15" t="inlineStr">
        <is>
          <t>Eric Zimmerman</t>
        </is>
      </c>
      <c r="C83" s="13" t="n">
        <v>1</v>
      </c>
      <c r="D83" s="13" t="inlineStr">
        <is>
          <t>No</t>
        </is>
      </c>
      <c r="E83" s="15" t="inlineStr">
        <is>
          <t>Knute for Governor</t>
        </is>
      </c>
      <c r="F83" s="13" t="n">
        <v>2018</v>
      </c>
      <c r="G83" s="13" t="n">
        <v>2018</v>
      </c>
      <c r="H83" s="13" t="n">
        <v>4</v>
      </c>
      <c r="I83" s="13" t="n">
        <v>250</v>
      </c>
      <c r="J83" s="13" t="inlineStr">
        <is>
          <t>Street address or PO box</t>
        </is>
      </c>
      <c r="K83" s="13" t="inlineStr">
        <is>
          <t>Confirmed</t>
        </is>
      </c>
      <c r="L83" s="15" t="inlineStr"/>
      <c r="M83" s="13" t="inlineStr">
        <is>
          <t>15192:3028353; 15192:3043061; 15192:3058304; 15192:3065292</t>
        </is>
      </c>
      <c r="N83" s="13" t="inlineStr">
        <is>
          <t>17629:4993366</t>
        </is>
      </c>
    </row>
    <row r="84">
      <c r="A84" s="13" t="inlineStr">
        <is>
          <t>H080</t>
        </is>
      </c>
      <c r="B84" s="15" t="inlineStr">
        <is>
          <t>Eli Arnold</t>
        </is>
      </c>
      <c r="C84" s="13" t="n">
        <v>1</v>
      </c>
      <c r="D84" s="13" t="inlineStr">
        <is>
          <t>No</t>
        </is>
      </c>
      <c r="E84" s="15" t="inlineStr">
        <is>
          <t>Knute for Governor</t>
        </is>
      </c>
      <c r="F84" s="13" t="n">
        <v>2018</v>
      </c>
      <c r="G84" s="13" t="n">
        <v>2018</v>
      </c>
      <c r="H84" s="13" t="n">
        <v>1</v>
      </c>
      <c r="I84" s="13" t="n">
        <v>250</v>
      </c>
      <c r="J84" s="13" t="inlineStr">
        <is>
          <t>Street address or PO box</t>
        </is>
      </c>
      <c r="K84" s="13" t="inlineStr">
        <is>
          <t>Confirmed</t>
        </is>
      </c>
      <c r="L84" s="15" t="inlineStr"/>
      <c r="M84" s="13" t="inlineStr">
        <is>
          <t>15192:3040524</t>
        </is>
      </c>
      <c r="N84" s="13" t="inlineStr">
        <is>
          <t>23295:5820930</t>
        </is>
      </c>
    </row>
    <row r="85">
      <c r="A85" s="13" t="inlineStr">
        <is>
          <t>H081</t>
        </is>
      </c>
      <c r="B85" s="15" t="inlineStr">
        <is>
          <t>Olivia Clark, Julia Brim-Edwards</t>
        </is>
      </c>
      <c r="C85" s="13" t="n">
        <v>2</v>
      </c>
      <c r="D85" s="13" t="inlineStr">
        <is>
          <t>No</t>
        </is>
      </c>
      <c r="E85" s="15" t="inlineStr">
        <is>
          <t>Knute for Governor</t>
        </is>
      </c>
      <c r="F85" s="13" t="n">
        <v>2018</v>
      </c>
      <c r="G85" s="13" t="n">
        <v>2018</v>
      </c>
      <c r="H85" s="13" t="n">
        <v>1</v>
      </c>
      <c r="I85" s="13" t="n">
        <v>25000</v>
      </c>
      <c r="J85" s="13" t="inlineStr">
        <is>
          <t>Street address or PO box</t>
        </is>
      </c>
      <c r="K85" s="13" t="inlineStr">
        <is>
          <t>Confirmed</t>
        </is>
      </c>
      <c r="L85" s="15" t="inlineStr"/>
      <c r="M85" s="13" t="inlineStr">
        <is>
          <t>15192:3043250</t>
        </is>
      </c>
      <c r="N85" s="13" t="inlineStr">
        <is>
          <t>23199:5868498; 21206:5555099; 21206:4572220</t>
        </is>
      </c>
    </row>
    <row r="86">
      <c r="A86" s="13" t="inlineStr">
        <is>
          <t>H082</t>
        </is>
      </c>
      <c r="B86" s="15" t="inlineStr">
        <is>
          <t>Kellie Torres, Steve Novick, Olivia Clark, Eric Zimmerman, Eli Arnold, Julia Brim-Edwards</t>
        </is>
      </c>
      <c r="C86" s="13" t="n">
        <v>6</v>
      </c>
      <c r="D86" s="13" t="inlineStr">
        <is>
          <t>No</t>
        </is>
      </c>
      <c r="E86" s="15" t="inlineStr">
        <is>
          <t>Knute for Governor</t>
        </is>
      </c>
      <c r="F86" s="13" t="n">
        <v>2018</v>
      </c>
      <c r="G86" s="13" t="n">
        <v>2018</v>
      </c>
      <c r="H86" s="13" t="n">
        <v>1</v>
      </c>
      <c r="I86" s="13" t="n">
        <v>3000</v>
      </c>
      <c r="J86" s="13" t="inlineStr">
        <is>
          <t>Street address or PO box</t>
        </is>
      </c>
      <c r="K86" s="13" t="inlineStr">
        <is>
          <t>Confirmed</t>
        </is>
      </c>
      <c r="L86" s="15" t="inlineStr"/>
      <c r="M86" s="13" t="inlineStr">
        <is>
          <t>15192:3053040</t>
        </is>
      </c>
      <c r="N86" s="13" t="inlineStr">
        <is>
          <t>24897:5760900; 15109:5022124; 23199:5005047; 17629:5778125; 17629:5005275; 23295:5032641; 21206:5555053; 21206:4536325</t>
        </is>
      </c>
    </row>
    <row r="87">
      <c r="A87" s="13" t="inlineStr">
        <is>
          <t>H083</t>
        </is>
      </c>
      <c r="B87" s="15" t="inlineStr">
        <is>
          <t>Kellie Torres, Eric Zimmerman, Julia Brim-Edwards</t>
        </is>
      </c>
      <c r="C87" s="13" t="n">
        <v>3</v>
      </c>
      <c r="D87" s="13" t="inlineStr">
        <is>
          <t>No</t>
        </is>
      </c>
      <c r="E87" s="15" t="inlineStr">
        <is>
          <t>Knute for Governor</t>
        </is>
      </c>
      <c r="F87" s="13" t="n">
        <v>2018</v>
      </c>
      <c r="G87" s="13" t="n">
        <v>2018</v>
      </c>
      <c r="H87" s="13" t="n">
        <v>1</v>
      </c>
      <c r="I87" s="13" t="n">
        <v>1000</v>
      </c>
      <c r="J87" s="13" t="inlineStr">
        <is>
          <t>Street address or PO box</t>
        </is>
      </c>
      <c r="K87" s="13" t="inlineStr">
        <is>
          <t>Confirmed</t>
        </is>
      </c>
      <c r="L87" s="15" t="inlineStr"/>
      <c r="M87" s="13" t="inlineStr">
        <is>
          <t>15192:3066973</t>
        </is>
      </c>
      <c r="N87" s="13" t="inlineStr">
        <is>
          <t>24897:5761015; 21206:5647922; 21206:4861356; 21206:4572232; 17629:5778143</t>
        </is>
      </c>
    </row>
    <row r="88">
      <c r="A88" s="13" t="inlineStr">
        <is>
          <t>H084</t>
        </is>
      </c>
      <c r="B88" s="15" t="inlineStr">
        <is>
          <t>Eli Arnold</t>
        </is>
      </c>
      <c r="C88" s="13" t="n">
        <v>1</v>
      </c>
      <c r="D88" s="13" t="inlineStr">
        <is>
          <t>No</t>
        </is>
      </c>
      <c r="E88" s="15" t="inlineStr">
        <is>
          <t>Knute for Governor</t>
        </is>
      </c>
      <c r="F88" s="13" t="n">
        <v>2018</v>
      </c>
      <c r="G88" s="13" t="n">
        <v>2018</v>
      </c>
      <c r="H88" s="13" t="n">
        <v>1</v>
      </c>
      <c r="I88" s="13" t="n">
        <v>500</v>
      </c>
      <c r="J88" s="13" t="inlineStr">
        <is>
          <t>Street address or PO box</t>
        </is>
      </c>
      <c r="K88" s="13" t="inlineStr">
        <is>
          <t>Confirmed</t>
        </is>
      </c>
      <c r="L88" s="15" t="inlineStr"/>
      <c r="M88" s="13" t="inlineStr">
        <is>
          <t>15192:3068827</t>
        </is>
      </c>
      <c r="N88" s="13" t="inlineStr">
        <is>
          <t>23295:4808154</t>
        </is>
      </c>
    </row>
    <row r="89">
      <c r="A89" s="13" t="inlineStr">
        <is>
          <t>H085</t>
        </is>
      </c>
      <c r="B89" s="15" t="inlineStr">
        <is>
          <t>Steve Novick, Julia Brim-Edwards</t>
        </is>
      </c>
      <c r="C89" s="13" t="n">
        <v>2</v>
      </c>
      <c r="D89" s="13" t="inlineStr">
        <is>
          <t>No</t>
        </is>
      </c>
      <c r="E89" s="15" t="inlineStr">
        <is>
          <t>Knute for Governor</t>
        </is>
      </c>
      <c r="F89" s="13" t="n">
        <v>2018</v>
      </c>
      <c r="G89" s="13" t="n">
        <v>2018</v>
      </c>
      <c r="H89" s="13" t="n">
        <v>1</v>
      </c>
      <c r="I89" s="13" t="n">
        <v>5000</v>
      </c>
      <c r="J89" s="13" t="inlineStr">
        <is>
          <t>Hand review</t>
        </is>
      </c>
      <c r="K89" s="13" t="inlineStr">
        <is>
          <t>Confirmed</t>
        </is>
      </c>
      <c r="L89" s="15" t="inlineStr">
        <is>
          <t>A 2022 Drazan gift comes from the same home address as the candidate gift. Federal (FEC) filings tie that home to the office address on the Republican gift. Supporting filings (Tran Id): 4358312.</t>
        </is>
      </c>
      <c r="M89" s="13" t="inlineStr">
        <is>
          <t>15192:3075371</t>
        </is>
      </c>
      <c r="N89" s="13" t="inlineStr">
        <is>
          <t>15109:5685080; 21206:4572236</t>
        </is>
      </c>
    </row>
    <row r="90">
      <c r="A90" s="13" t="inlineStr">
        <is>
          <t>H086</t>
        </is>
      </c>
      <c r="B90" s="15" t="inlineStr">
        <is>
          <t>Julia Brim-Edwards</t>
        </is>
      </c>
      <c r="C90" s="13" t="n">
        <v>1</v>
      </c>
      <c r="D90" s="13" t="inlineStr">
        <is>
          <t>Yes</t>
        </is>
      </c>
      <c r="E90" s="15" t="inlineStr">
        <is>
          <t>Friends of Christine Drazan; Friends of Kim Thatcher</t>
        </is>
      </c>
      <c r="F90" s="13" t="n">
        <v>2020</v>
      </c>
      <c r="G90" s="13" t="n">
        <v>2026</v>
      </c>
      <c r="H90" s="13" t="n">
        <v>3</v>
      </c>
      <c r="I90" s="13" t="n">
        <v>16000</v>
      </c>
      <c r="J90" s="13" t="inlineStr">
        <is>
          <t>Street address or PO box</t>
        </is>
      </c>
      <c r="K90" s="13" t="inlineStr">
        <is>
          <t>Confirmed</t>
        </is>
      </c>
      <c r="L90" s="15" t="inlineStr"/>
      <c r="M90" s="13" t="inlineStr">
        <is>
          <t>4871:3519484; 19050:5438241; 19050:5851026</t>
        </is>
      </c>
      <c r="N90" s="13" t="inlineStr">
        <is>
          <t>21206:5647916</t>
        </is>
      </c>
    </row>
    <row r="91">
      <c r="A91" s="13" t="inlineStr">
        <is>
          <t>H087</t>
        </is>
      </c>
      <c r="B91" s="15" t="inlineStr">
        <is>
          <t>Olivia Clark</t>
        </is>
      </c>
      <c r="C91" s="13" t="n">
        <v>1</v>
      </c>
      <c r="D91" s="13" t="inlineStr">
        <is>
          <t>No</t>
        </is>
      </c>
      <c r="E91" s="15" t="inlineStr">
        <is>
          <t>Tim Knopp for State Senate</t>
        </is>
      </c>
      <c r="F91" s="13" t="n">
        <v>2020</v>
      </c>
      <c r="G91" s="13" t="n">
        <v>2020</v>
      </c>
      <c r="H91" s="13" t="n">
        <v>1</v>
      </c>
      <c r="I91" s="13" t="n">
        <v>500</v>
      </c>
      <c r="J91" s="13" t="inlineStr">
        <is>
          <t>Street address or PO box</t>
        </is>
      </c>
      <c r="K91" s="13" t="inlineStr">
        <is>
          <t>Confirmed</t>
        </is>
      </c>
      <c r="L91" s="15" t="inlineStr"/>
      <c r="M91" s="13" t="inlineStr">
        <is>
          <t>15627:3604571</t>
        </is>
      </c>
      <c r="N91" s="13" t="inlineStr">
        <is>
          <t>23199:5850413; 23199:5047884</t>
        </is>
      </c>
    </row>
    <row r="92">
      <c r="A92" s="13" t="inlineStr">
        <is>
          <t>H088</t>
        </is>
      </c>
      <c r="B92" s="15" t="inlineStr">
        <is>
          <t>Olivia Clark</t>
        </is>
      </c>
      <c r="C92" s="13" t="n">
        <v>1</v>
      </c>
      <c r="D92" s="13" t="inlineStr">
        <is>
          <t>Yes</t>
        </is>
      </c>
      <c r="E92" s="15" t="inlineStr">
        <is>
          <t>Friends of Christine Drazan; Friends of Kim Thatcher</t>
        </is>
      </c>
      <c r="F92" s="13" t="n">
        <v>2020</v>
      </c>
      <c r="G92" s="13" t="n">
        <v>2026</v>
      </c>
      <c r="H92" s="13" t="n">
        <v>2</v>
      </c>
      <c r="I92" s="13" t="n">
        <v>3000</v>
      </c>
      <c r="J92" s="13" t="inlineStr">
        <is>
          <t>Street address or PO box</t>
        </is>
      </c>
      <c r="K92" s="13" t="inlineStr">
        <is>
          <t>Confirmed</t>
        </is>
      </c>
      <c r="L92" s="15" t="inlineStr"/>
      <c r="M92" s="13" t="inlineStr">
        <is>
          <t>4871:3648909; 19050:5771117</t>
        </is>
      </c>
      <c r="N92" s="13" t="inlineStr">
        <is>
          <t>23199:5868499</t>
        </is>
      </c>
    </row>
    <row r="93">
      <c r="A93" s="13" t="inlineStr">
        <is>
          <t>H089</t>
        </is>
      </c>
      <c r="B93" s="15" t="inlineStr">
        <is>
          <t>Eli Arnold, Julia Brim-Edwards</t>
        </is>
      </c>
      <c r="C93" s="13" t="n">
        <v>2</v>
      </c>
      <c r="D93" s="13" t="inlineStr">
        <is>
          <t>Yes</t>
        </is>
      </c>
      <c r="E93" s="15" t="inlineStr">
        <is>
          <t>Friends of Christine Drazan</t>
        </is>
      </c>
      <c r="F93" s="13" t="n">
        <v>2022</v>
      </c>
      <c r="G93" s="13" t="n">
        <v>2022</v>
      </c>
      <c r="H93" s="13" t="n">
        <v>2</v>
      </c>
      <c r="I93" s="13" t="n">
        <v>500</v>
      </c>
      <c r="J93" s="13" t="inlineStr">
        <is>
          <t>Street address or PO box</t>
        </is>
      </c>
      <c r="K93" s="13" t="inlineStr">
        <is>
          <t>Confirmed</t>
        </is>
      </c>
      <c r="L93" s="15" t="inlineStr"/>
      <c r="M93" s="13" t="inlineStr">
        <is>
          <t>19050:3990333; 19050:3990334</t>
        </is>
      </c>
      <c r="N93" s="13" t="inlineStr">
        <is>
          <t>23295:5064945; 21206:5747274; 21206:5647956; 21206:4563017</t>
        </is>
      </c>
    </row>
    <row r="94">
      <c r="A94" s="13" t="inlineStr">
        <is>
          <t>H090</t>
        </is>
      </c>
      <c r="B94" s="15" t="inlineStr">
        <is>
          <t>Julia Brim-Edwards</t>
        </is>
      </c>
      <c r="C94" s="13" t="n">
        <v>1</v>
      </c>
      <c r="D94" s="13" t="inlineStr">
        <is>
          <t>Yes</t>
        </is>
      </c>
      <c r="E94" s="15" t="inlineStr">
        <is>
          <t>Friends of Christine Drazan</t>
        </is>
      </c>
      <c r="F94" s="13" t="n">
        <v>2022</v>
      </c>
      <c r="G94" s="13" t="n">
        <v>2026</v>
      </c>
      <c r="H94" s="13" t="n">
        <v>12</v>
      </c>
      <c r="I94" s="13" t="n">
        <v>5000</v>
      </c>
      <c r="J94" s="13" t="inlineStr">
        <is>
          <t>Street address or PO box</t>
        </is>
      </c>
      <c r="K94" s="13" t="inlineStr">
        <is>
          <t>Confirmed</t>
        </is>
      </c>
      <c r="L94" s="15" t="inlineStr"/>
      <c r="M94" s="13" t="inlineStr">
        <is>
          <t>19050:4020650; 19050:4111500; 19050:4111499; 19050:4174973; 19050:4201000; 19050:4326395; 19050:5335680; 19050:5400944; 19050:5500849; 19050:5622672; 19050:5753118; 19050:5829352</t>
        </is>
      </c>
      <c r="N94" s="13" t="inlineStr">
        <is>
          <t>21206:5627297</t>
        </is>
      </c>
    </row>
    <row r="95">
      <c r="A95" s="13" t="inlineStr">
        <is>
          <t>H091</t>
        </is>
      </c>
      <c r="B95" s="15" t="inlineStr">
        <is>
          <t>Julia Brim-Edwards</t>
        </is>
      </c>
      <c r="C95" s="13" t="n">
        <v>1</v>
      </c>
      <c r="D95" s="13" t="inlineStr">
        <is>
          <t>Yes</t>
        </is>
      </c>
      <c r="E95" s="15" t="inlineStr">
        <is>
          <t>Friends of Christine Drazan</t>
        </is>
      </c>
      <c r="F95" s="13" t="n">
        <v>2022</v>
      </c>
      <c r="G95" s="13" t="n">
        <v>2026</v>
      </c>
      <c r="H95" s="13" t="n">
        <v>5</v>
      </c>
      <c r="I95" s="13" t="n">
        <v>1000</v>
      </c>
      <c r="J95" s="13" t="inlineStr">
        <is>
          <t>Street address or PO box</t>
        </is>
      </c>
      <c r="K95" s="13" t="inlineStr">
        <is>
          <t>Confirmed</t>
        </is>
      </c>
      <c r="L95" s="15" t="inlineStr"/>
      <c r="M95" s="13" t="inlineStr">
        <is>
          <t>19050:4090915; 19050:4912748; 19050:5187525; 19050:5532125; 19050:5662581</t>
        </is>
      </c>
      <c r="N95" s="13" t="inlineStr">
        <is>
          <t>21206:5704191</t>
        </is>
      </c>
    </row>
    <row r="96">
      <c r="A96" s="13" t="inlineStr">
        <is>
          <t>H092</t>
        </is>
      </c>
      <c r="B96" s="15" t="inlineStr">
        <is>
          <t>Olivia Clark, Eric Zimmerman, Julia Brim-Edwards</t>
        </is>
      </c>
      <c r="C96" s="13" t="n">
        <v>3</v>
      </c>
      <c r="D96" s="13" t="inlineStr">
        <is>
          <t>Yes</t>
        </is>
      </c>
      <c r="E96" s="15" t="inlineStr">
        <is>
          <t>Dudley for Oregon; Friends of Christine Drazan</t>
        </is>
      </c>
      <c r="F96" s="13" t="n">
        <v>2022</v>
      </c>
      <c r="G96" s="13" t="n">
        <v>2026</v>
      </c>
      <c r="H96" s="13" t="n">
        <v>3</v>
      </c>
      <c r="I96" s="13" t="n">
        <v>6000</v>
      </c>
      <c r="J96" s="13" t="inlineStr">
        <is>
          <t>Street address or PO box, ZIP + employer</t>
        </is>
      </c>
      <c r="K96" s="13" t="inlineStr">
        <is>
          <t>Confirmed</t>
        </is>
      </c>
      <c r="L96" s="15" t="inlineStr"/>
      <c r="M96" s="13" t="inlineStr">
        <is>
          <t>19050:4331006; 24693:5528888; 19050:5755553</t>
        </is>
      </c>
      <c r="N96" s="13" t="inlineStr">
        <is>
          <t>23199:5850412; 17629:5813973; 21206:5747279</t>
        </is>
      </c>
    </row>
    <row r="97">
      <c r="A97" s="13" t="inlineStr">
        <is>
          <t>H093</t>
        </is>
      </c>
      <c r="B97" s="15" t="inlineStr">
        <is>
          <t>Julia Brim-Edwards</t>
        </is>
      </c>
      <c r="C97" s="13" t="n">
        <v>1</v>
      </c>
      <c r="D97" s="13" t="inlineStr">
        <is>
          <t>Yes</t>
        </is>
      </c>
      <c r="E97" s="15" t="inlineStr">
        <is>
          <t>Friends of Christine Drazan</t>
        </is>
      </c>
      <c r="F97" s="13" t="n">
        <v>2022</v>
      </c>
      <c r="G97" s="13" t="n">
        <v>2022</v>
      </c>
      <c r="H97" s="13" t="n">
        <v>1</v>
      </c>
      <c r="I97" s="13" t="n">
        <v>500</v>
      </c>
      <c r="J97" s="13" t="inlineStr">
        <is>
          <t>Street address or PO box</t>
        </is>
      </c>
      <c r="K97" s="13" t="inlineStr">
        <is>
          <t>Confirmed</t>
        </is>
      </c>
      <c r="L97" s="15" t="inlineStr"/>
      <c r="M97" s="13" t="inlineStr">
        <is>
          <t>19050:4371959</t>
        </is>
      </c>
      <c r="N97" s="13" t="inlineStr">
        <is>
          <t>21206:4536320</t>
        </is>
      </c>
    </row>
    <row r="98">
      <c r="A98" s="13" t="inlineStr">
        <is>
          <t>H094</t>
        </is>
      </c>
      <c r="B98" s="15" t="inlineStr">
        <is>
          <t>Julia Brim-Edwards</t>
        </is>
      </c>
      <c r="C98" s="13" t="n">
        <v>1</v>
      </c>
      <c r="D98" s="13" t="inlineStr">
        <is>
          <t>Yes</t>
        </is>
      </c>
      <c r="E98" s="15" t="inlineStr">
        <is>
          <t>Friends of Christine Drazan</t>
        </is>
      </c>
      <c r="F98" s="13" t="n">
        <v>2022</v>
      </c>
      <c r="G98" s="13" t="n">
        <v>2022</v>
      </c>
      <c r="H98" s="13" t="n">
        <v>1</v>
      </c>
      <c r="I98" s="13" t="n">
        <v>500</v>
      </c>
      <c r="J98" s="13" t="inlineStr">
        <is>
          <t>ZIP + employer</t>
        </is>
      </c>
      <c r="K98" s="13" t="inlineStr">
        <is>
          <t>Confirmed</t>
        </is>
      </c>
      <c r="L98" s="15" t="inlineStr"/>
      <c r="M98" s="13" t="inlineStr">
        <is>
          <t>19050:4402717</t>
        </is>
      </c>
      <c r="N98" s="13" t="inlineStr">
        <is>
          <t>21206:4876639</t>
        </is>
      </c>
    </row>
    <row r="99">
      <c r="A99" s="13" t="inlineStr">
        <is>
          <t>H095</t>
        </is>
      </c>
      <c r="B99" s="15" t="inlineStr">
        <is>
          <t>Eli Arnold</t>
        </is>
      </c>
      <c r="C99" s="13" t="n">
        <v>1</v>
      </c>
      <c r="D99" s="13" t="inlineStr">
        <is>
          <t>No</t>
        </is>
      </c>
      <c r="E99" s="15" t="inlineStr">
        <is>
          <t>Friends of Will Lathrop</t>
        </is>
      </c>
      <c r="F99" s="13" t="n">
        <v>2024</v>
      </c>
      <c r="G99" s="13" t="n">
        <v>2024</v>
      </c>
      <c r="H99" s="13" t="n">
        <v>1</v>
      </c>
      <c r="I99" s="13" t="n">
        <v>500</v>
      </c>
      <c r="J99" s="13" t="inlineStr">
        <is>
          <t>Street address or PO box</t>
        </is>
      </c>
      <c r="K99" s="13" t="inlineStr">
        <is>
          <t>Confirmed</t>
        </is>
      </c>
      <c r="L99" s="15" t="inlineStr"/>
      <c r="M99" s="13" t="inlineStr">
        <is>
          <t>21896:4775468</t>
        </is>
      </c>
      <c r="N99" s="13" t="inlineStr">
        <is>
          <t>23295:4733917</t>
        </is>
      </c>
    </row>
    <row r="100">
      <c r="A100" s="13" t="inlineStr">
        <is>
          <t>H096</t>
        </is>
      </c>
      <c r="B100" s="15" t="inlineStr">
        <is>
          <t>Eli Arnold</t>
        </is>
      </c>
      <c r="C100" s="13" t="n">
        <v>1</v>
      </c>
      <c r="D100" s="13" t="inlineStr">
        <is>
          <t>No</t>
        </is>
      </c>
      <c r="E100" s="15" t="inlineStr">
        <is>
          <t>Friends of Will Lathrop</t>
        </is>
      </c>
      <c r="F100" s="13" t="n">
        <v>2024</v>
      </c>
      <c r="G100" s="13" t="n">
        <v>2024</v>
      </c>
      <c r="H100" s="13" t="n">
        <v>2</v>
      </c>
      <c r="I100" s="13" t="n">
        <v>1000</v>
      </c>
      <c r="J100" s="13" t="inlineStr">
        <is>
          <t>Street address or PO box</t>
        </is>
      </c>
      <c r="K100" s="13" t="inlineStr">
        <is>
          <t>Confirmed</t>
        </is>
      </c>
      <c r="L100" s="15" t="inlineStr"/>
      <c r="M100" s="13" t="inlineStr">
        <is>
          <t>21896:4819609; 21896:4981370</t>
        </is>
      </c>
      <c r="N100" s="13" t="inlineStr">
        <is>
          <t>23295:4943182; 23295:4808136</t>
        </is>
      </c>
    </row>
    <row r="101">
      <c r="A101" s="13" t="inlineStr">
        <is>
          <t>H097</t>
        </is>
      </c>
      <c r="B101" s="15" t="inlineStr">
        <is>
          <t>Kellie Torres</t>
        </is>
      </c>
      <c r="C101" s="13" t="n">
        <v>1</v>
      </c>
      <c r="D101" s="13" t="inlineStr">
        <is>
          <t>Yes</t>
        </is>
      </c>
      <c r="E101" s="15" t="inlineStr">
        <is>
          <t>Friends of Christine Drazan</t>
        </is>
      </c>
      <c r="F101" s="13" t="n">
        <v>2024</v>
      </c>
      <c r="G101" s="13" t="n">
        <v>2026</v>
      </c>
      <c r="H101" s="13" t="n">
        <v>2</v>
      </c>
      <c r="I101" s="13" t="n">
        <v>10000</v>
      </c>
      <c r="J101" s="13" t="inlineStr">
        <is>
          <t>ZIP + employer</t>
        </is>
      </c>
      <c r="K101" s="13" t="inlineStr">
        <is>
          <t>Confirmed</t>
        </is>
      </c>
      <c r="L101" s="15" t="inlineStr"/>
      <c r="M101" s="13" t="inlineStr">
        <is>
          <t>19050:4839586; 19050:5850513</t>
        </is>
      </c>
      <c r="N101" s="13" t="inlineStr">
        <is>
          <t>24897:5760957</t>
        </is>
      </c>
    </row>
    <row r="102">
      <c r="A102" s="13" t="inlineStr">
        <is>
          <t>H098</t>
        </is>
      </c>
      <c r="B102" s="15" t="inlineStr">
        <is>
          <t>Eric Zimmerman, Eli Arnold, Julia Brim-Edwards</t>
        </is>
      </c>
      <c r="C102" s="13" t="n">
        <v>3</v>
      </c>
      <c r="D102" s="13" t="inlineStr">
        <is>
          <t>No</t>
        </is>
      </c>
      <c r="E102" s="15" t="inlineStr">
        <is>
          <t>Committee to Elect Dennis Linthicum</t>
        </is>
      </c>
      <c r="F102" s="13" t="n">
        <v>2024</v>
      </c>
      <c r="G102" s="13" t="n">
        <v>2024</v>
      </c>
      <c r="H102" s="13" t="n">
        <v>1</v>
      </c>
      <c r="I102" s="13" t="n">
        <v>250</v>
      </c>
      <c r="J102" s="13" t="inlineStr">
        <is>
          <t>Street address or PO box</t>
        </is>
      </c>
      <c r="K102" s="13" t="inlineStr">
        <is>
          <t>Confirmed</t>
        </is>
      </c>
      <c r="L102" s="15" t="inlineStr"/>
      <c r="M102" s="13" t="inlineStr">
        <is>
          <t>17895:4958938</t>
        </is>
      </c>
      <c r="N102" s="13" t="inlineStr">
        <is>
          <t>17629:5704579; 23295:5747140; 21206:5852754</t>
        </is>
      </c>
    </row>
    <row r="103">
      <c r="A103" s="13" t="inlineStr">
        <is>
          <t>H099</t>
        </is>
      </c>
      <c r="B103" s="15" t="inlineStr">
        <is>
          <t>Julia Brim-Edwards</t>
        </is>
      </c>
      <c r="C103" s="13" t="n">
        <v>1</v>
      </c>
      <c r="D103" s="13" t="inlineStr">
        <is>
          <t>No</t>
        </is>
      </c>
      <c r="E103" s="15" t="inlineStr">
        <is>
          <t>Friends of Will Lathrop</t>
        </is>
      </c>
      <c r="F103" s="13" t="n">
        <v>2024</v>
      </c>
      <c r="G103" s="13" t="n">
        <v>2024</v>
      </c>
      <c r="H103" s="13" t="n">
        <v>1</v>
      </c>
      <c r="I103" s="13" t="n">
        <v>250</v>
      </c>
      <c r="J103" s="13" t="inlineStr">
        <is>
          <t>Street address or PO box</t>
        </is>
      </c>
      <c r="K103" s="13" t="inlineStr">
        <is>
          <t>Confirmed</t>
        </is>
      </c>
      <c r="L103" s="15" t="inlineStr"/>
      <c r="M103" s="13" t="inlineStr">
        <is>
          <t>21896:4987581</t>
        </is>
      </c>
      <c r="N103" s="13" t="inlineStr">
        <is>
          <t>21206:5567167</t>
        </is>
      </c>
    </row>
    <row r="104">
      <c r="A104" s="13" t="inlineStr">
        <is>
          <t>H100</t>
        </is>
      </c>
      <c r="B104" s="15" t="inlineStr">
        <is>
          <t>Eli Arnold</t>
        </is>
      </c>
      <c r="C104" s="13" t="n">
        <v>1</v>
      </c>
      <c r="D104" s="13" t="inlineStr">
        <is>
          <t>No</t>
        </is>
      </c>
      <c r="E104" s="15" t="inlineStr">
        <is>
          <t>Friends of Will Lathrop</t>
        </is>
      </c>
      <c r="F104" s="13" t="n">
        <v>2024</v>
      </c>
      <c r="G104" s="13" t="n">
        <v>2024</v>
      </c>
      <c r="H104" s="13" t="n">
        <v>2</v>
      </c>
      <c r="I104" s="13" t="n">
        <v>500</v>
      </c>
      <c r="J104" s="13" t="inlineStr">
        <is>
          <t>Street address or PO box</t>
        </is>
      </c>
      <c r="K104" s="13" t="inlineStr">
        <is>
          <t>Confirmed</t>
        </is>
      </c>
      <c r="L104" s="15" t="inlineStr"/>
      <c r="M104" s="13" t="inlineStr">
        <is>
          <t>21896:5006100; 21896:5086847</t>
        </is>
      </c>
      <c r="N104" s="13" t="inlineStr">
        <is>
          <t>23295:5122831</t>
        </is>
      </c>
    </row>
    <row r="105">
      <c r="A105" s="13" t="inlineStr">
        <is>
          <t>H101</t>
        </is>
      </c>
      <c r="B105" s="15" t="inlineStr">
        <is>
          <t>Eli Arnold</t>
        </is>
      </c>
      <c r="C105" s="13" t="n">
        <v>1</v>
      </c>
      <c r="D105" s="13" t="inlineStr">
        <is>
          <t>Yes</t>
        </is>
      </c>
      <c r="E105" s="15" t="inlineStr">
        <is>
          <t>Friends of Christine Drazan; Friends of Will Lathrop</t>
        </is>
      </c>
      <c r="F105" s="13" t="n">
        <v>2024</v>
      </c>
      <c r="G105" s="13" t="n">
        <v>2026</v>
      </c>
      <c r="H105" s="13" t="n">
        <v>2</v>
      </c>
      <c r="I105" s="13" t="n">
        <v>1000</v>
      </c>
      <c r="J105" s="13" t="inlineStr">
        <is>
          <t>Street address or PO box, ZIP + employer</t>
        </is>
      </c>
      <c r="K105" s="13" t="inlineStr">
        <is>
          <t>Confirmed</t>
        </is>
      </c>
      <c r="L105" s="15" t="inlineStr"/>
      <c r="M105" s="13" t="inlineStr">
        <is>
          <t>21896:5006138; 19050:5726700</t>
        </is>
      </c>
      <c r="N105" s="13" t="inlineStr">
        <is>
          <t>23295:5820974; 23295:5132595</t>
        </is>
      </c>
    </row>
    <row r="106">
      <c r="A106" s="13" t="inlineStr">
        <is>
          <t>H102</t>
        </is>
      </c>
      <c r="B106" s="15" t="inlineStr">
        <is>
          <t>Kellie Torres, Steve Novick, Eric Zimmerman, Julia Brim-Edwards</t>
        </is>
      </c>
      <c r="C106" s="13" t="n">
        <v>4</v>
      </c>
      <c r="D106" s="13" t="inlineStr">
        <is>
          <t>Yes</t>
        </is>
      </c>
      <c r="E106" s="15" t="inlineStr">
        <is>
          <t>Bring Balance to Salem PAC; Dudley for Oregon; Friends of Christine Drazan; Friends of Will Lathrop</t>
        </is>
      </c>
      <c r="F106" s="13" t="n">
        <v>2024</v>
      </c>
      <c r="G106" s="13" t="n">
        <v>2026</v>
      </c>
      <c r="H106" s="13" t="n">
        <v>4</v>
      </c>
      <c r="I106" s="13" t="n">
        <v>19000</v>
      </c>
      <c r="J106" s="13" t="inlineStr">
        <is>
          <t>Street address or PO box, ZIP + employer</t>
        </is>
      </c>
      <c r="K106" s="13" t="inlineStr">
        <is>
          <t>Confirmed</t>
        </is>
      </c>
      <c r="L106" s="15" t="inlineStr"/>
      <c r="M106" s="13" t="inlineStr">
        <is>
          <t>21896:5031388; 21717:5116455; 24693:5600244; 19050:5780437</t>
        </is>
      </c>
      <c r="N106" s="13" t="inlineStr">
        <is>
          <t>24897:5888824; 24897:5760925; 15109:5889564; 17629:5876489; 21206:5555072; 21206:4913051; 21206:4530537</t>
        </is>
      </c>
    </row>
    <row r="107">
      <c r="A107" s="13" t="inlineStr">
        <is>
          <t>H103</t>
        </is>
      </c>
      <c r="B107" s="15" t="inlineStr">
        <is>
          <t>Steve Novick, Eric Zimmerman</t>
        </is>
      </c>
      <c r="C107" s="13" t="n">
        <v>2</v>
      </c>
      <c r="D107" s="13" t="inlineStr">
        <is>
          <t>No</t>
        </is>
      </c>
      <c r="E107" s="15" t="inlineStr">
        <is>
          <t>Bring Balance to Salem PAC; Friends of Will Lathrop</t>
        </is>
      </c>
      <c r="F107" s="13" t="n">
        <v>2024</v>
      </c>
      <c r="G107" s="13" t="n">
        <v>2024</v>
      </c>
      <c r="H107" s="13" t="n">
        <v>2</v>
      </c>
      <c r="I107" s="13" t="n">
        <v>13000</v>
      </c>
      <c r="J107" s="13" t="inlineStr">
        <is>
          <t>Street address or PO box</t>
        </is>
      </c>
      <c r="K107" s="13" t="inlineStr">
        <is>
          <t>Confirmed</t>
        </is>
      </c>
      <c r="L107" s="15" t="inlineStr"/>
      <c r="M107" s="13" t="inlineStr">
        <is>
          <t>21896:5046603; 21717:5116453</t>
        </is>
      </c>
      <c r="N107" s="13" t="inlineStr">
        <is>
          <t>15109:5889571; 17629:5887697</t>
        </is>
      </c>
    </row>
    <row r="108">
      <c r="A108" s="13" t="inlineStr">
        <is>
          <t>H104</t>
        </is>
      </c>
      <c r="B108" s="15" t="inlineStr">
        <is>
          <t>Kellie Torres, Olivia Clark, Julia Brim-Edwards</t>
        </is>
      </c>
      <c r="C108" s="13" t="n">
        <v>3</v>
      </c>
      <c r="D108" s="13" t="inlineStr">
        <is>
          <t>No</t>
        </is>
      </c>
      <c r="E108" s="15" t="inlineStr">
        <is>
          <t>Courtney Bangs PAC; Friends of Anna Scharf; Friends of Jeff Helfrich; Friends of Will Lathrop; Hicks for Senate</t>
        </is>
      </c>
      <c r="F108" s="13" t="n">
        <v>2024</v>
      </c>
      <c r="G108" s="13" t="n">
        <v>2026</v>
      </c>
      <c r="H108" s="13" t="n">
        <v>5</v>
      </c>
      <c r="I108" s="13" t="n">
        <v>65000</v>
      </c>
      <c r="J108" s="13" t="inlineStr">
        <is>
          <t>Street address or PO box</t>
        </is>
      </c>
      <c r="K108" s="13" t="inlineStr">
        <is>
          <t>Confirmed</t>
        </is>
      </c>
      <c r="L108" s="15" t="inlineStr"/>
      <c r="M108" s="13" t="inlineStr">
        <is>
          <t>21896:5099537; 20246:5452339; 24485:5735739; 21575:5793914; 15984:5831641</t>
        </is>
      </c>
      <c r="N108" s="13" t="inlineStr">
        <is>
          <t>24897:5873386; 23199:5850411; 21206:5555045</t>
        </is>
      </c>
    </row>
    <row r="109">
      <c r="A109" s="13" t="inlineStr">
        <is>
          <t>H105</t>
        </is>
      </c>
      <c r="B109" s="15" t="inlineStr">
        <is>
          <t>Eli Arnold</t>
        </is>
      </c>
      <c r="C109" s="13" t="n">
        <v>1</v>
      </c>
      <c r="D109" s="13" t="inlineStr">
        <is>
          <t>No</t>
        </is>
      </c>
      <c r="E109" s="15" t="inlineStr">
        <is>
          <t>Friends of Will Lathrop</t>
        </is>
      </c>
      <c r="F109" s="13" t="n">
        <v>2024</v>
      </c>
      <c r="G109" s="13" t="n">
        <v>2024</v>
      </c>
      <c r="H109" s="13" t="n">
        <v>1</v>
      </c>
      <c r="I109" s="13" t="n">
        <v>500</v>
      </c>
      <c r="J109" s="13" t="inlineStr">
        <is>
          <t>Street address or PO box</t>
        </is>
      </c>
      <c r="K109" s="13" t="inlineStr">
        <is>
          <t>Confirmed</t>
        </is>
      </c>
      <c r="L109" s="15" t="inlineStr"/>
      <c r="M109" s="13" t="inlineStr">
        <is>
          <t>21896:5135204</t>
        </is>
      </c>
      <c r="N109" s="13" t="inlineStr">
        <is>
          <t>23295:5704042; 23295:5674969; 23295:5573077</t>
        </is>
      </c>
    </row>
    <row r="110">
      <c r="A110" s="13" t="inlineStr">
        <is>
          <t>H106</t>
        </is>
      </c>
      <c r="B110" s="15" t="inlineStr">
        <is>
          <t>Eli Arnold</t>
        </is>
      </c>
      <c r="C110" s="13" t="n">
        <v>1</v>
      </c>
      <c r="D110" s="13" t="inlineStr">
        <is>
          <t>No</t>
        </is>
      </c>
      <c r="E110" s="15" t="inlineStr">
        <is>
          <t>Oregon Republican Party</t>
        </is>
      </c>
      <c r="F110" s="13" t="n">
        <v>2025</v>
      </c>
      <c r="G110" s="13" t="n">
        <v>2025</v>
      </c>
      <c r="H110" s="13" t="n">
        <v>1</v>
      </c>
      <c r="I110" s="13" t="n">
        <v>250</v>
      </c>
      <c r="J110" s="13" t="inlineStr">
        <is>
          <t>Street address or PO box</t>
        </is>
      </c>
      <c r="K110" s="13" t="inlineStr">
        <is>
          <t>Confirmed</t>
        </is>
      </c>
      <c r="L110" s="15" t="inlineStr"/>
      <c r="M110" s="13" t="inlineStr">
        <is>
          <t>379:5421680</t>
        </is>
      </c>
      <c r="N110" s="13" t="inlineStr">
        <is>
          <t>23295:5844627; 23295:5820951; 23295:5820950</t>
        </is>
      </c>
    </row>
    <row r="111">
      <c r="A111" s="13" t="inlineStr">
        <is>
          <t>H107</t>
        </is>
      </c>
      <c r="B111" s="15" t="inlineStr">
        <is>
          <t>Julia Brim-Edwards</t>
        </is>
      </c>
      <c r="C111" s="13" t="n">
        <v>1</v>
      </c>
      <c r="D111" s="13" t="inlineStr">
        <is>
          <t>No</t>
        </is>
      </c>
      <c r="E111" s="15" t="inlineStr">
        <is>
          <t>Dudley for Oregon</t>
        </is>
      </c>
      <c r="F111" s="13" t="n">
        <v>2026</v>
      </c>
      <c r="G111" s="13" t="n">
        <v>2026</v>
      </c>
      <c r="H111" s="13" t="n">
        <v>1</v>
      </c>
      <c r="I111" s="13" t="n">
        <v>10000</v>
      </c>
      <c r="J111" s="13" t="inlineStr">
        <is>
          <t>Street address or PO box</t>
        </is>
      </c>
      <c r="K111" s="13" t="inlineStr">
        <is>
          <t>Confirmed</t>
        </is>
      </c>
      <c r="L111" s="15" t="inlineStr"/>
      <c r="M111" s="13" t="inlineStr">
        <is>
          <t>24693:5535926</t>
        </is>
      </c>
      <c r="N111" s="13" t="inlineStr">
        <is>
          <t>21206:5647953; 21206:4572249</t>
        </is>
      </c>
    </row>
    <row r="112">
      <c r="A112" s="13" t="inlineStr">
        <is>
          <t>H108</t>
        </is>
      </c>
      <c r="B112" s="15" t="inlineStr">
        <is>
          <t>Julia Brim-Edwards</t>
        </is>
      </c>
      <c r="C112" s="13" t="n">
        <v>1</v>
      </c>
      <c r="D112" s="13" t="inlineStr">
        <is>
          <t>No</t>
        </is>
      </c>
      <c r="E112" s="15" t="inlineStr">
        <is>
          <t>Dudley for Oregon</t>
        </is>
      </c>
      <c r="F112" s="13" t="n">
        <v>2026</v>
      </c>
      <c r="G112" s="13" t="n">
        <v>2026</v>
      </c>
      <c r="H112" s="13" t="n">
        <v>2</v>
      </c>
      <c r="I112" s="13" t="n">
        <v>2000</v>
      </c>
      <c r="J112" s="13" t="inlineStr">
        <is>
          <t>Street address or PO box</t>
        </is>
      </c>
      <c r="K112" s="13" t="inlineStr">
        <is>
          <t>Confirmed</t>
        </is>
      </c>
      <c r="L112" s="15" t="inlineStr"/>
      <c r="M112" s="13" t="inlineStr">
        <is>
          <t>24693:5537128; 24693:5601852</t>
        </is>
      </c>
      <c r="N112" s="13" t="inlineStr">
        <is>
          <t>21206:5678189</t>
        </is>
      </c>
    </row>
    <row r="113">
      <c r="A113" s="13" t="inlineStr">
        <is>
          <t>H109</t>
        </is>
      </c>
      <c r="B113" s="15" t="inlineStr">
        <is>
          <t>Eli Arnold, Julia Brim-Edwards</t>
        </is>
      </c>
      <c r="C113" s="13" t="n">
        <v>2</v>
      </c>
      <c r="D113" s="13" t="inlineStr">
        <is>
          <t>No</t>
        </is>
      </c>
      <c r="E113" s="15" t="inlineStr">
        <is>
          <t>Dudley for Oregon</t>
        </is>
      </c>
      <c r="F113" s="13" t="n">
        <v>2026</v>
      </c>
      <c r="G113" s="13" t="n">
        <v>2026</v>
      </c>
      <c r="H113" s="13" t="n">
        <v>1</v>
      </c>
      <c r="I113" s="13" t="n">
        <v>5000</v>
      </c>
      <c r="J113" s="13" t="inlineStr">
        <is>
          <t>ZIP + employer</t>
        </is>
      </c>
      <c r="K113" s="13" t="inlineStr">
        <is>
          <t>Confirmed</t>
        </is>
      </c>
      <c r="L113" s="15" t="inlineStr"/>
      <c r="M113" s="13" t="inlineStr">
        <is>
          <t>24693:5594723</t>
        </is>
      </c>
      <c r="N113" s="13" t="inlineStr">
        <is>
          <t>23295:5459961; 21206:4536303</t>
        </is>
      </c>
    </row>
    <row r="114">
      <c r="A114" s="13" t="inlineStr">
        <is>
          <t>H110</t>
        </is>
      </c>
      <c r="B114" s="15" t="inlineStr">
        <is>
          <t>Kellie Torres</t>
        </is>
      </c>
      <c r="C114" s="13" t="n">
        <v>1</v>
      </c>
      <c r="D114" s="13" t="inlineStr">
        <is>
          <t>No</t>
        </is>
      </c>
      <c r="E114" s="15" t="inlineStr">
        <is>
          <t>Dudley for Oregon</t>
        </is>
      </c>
      <c r="F114" s="13" t="n">
        <v>2026</v>
      </c>
      <c r="G114" s="13" t="n">
        <v>2026</v>
      </c>
      <c r="H114" s="13" t="n">
        <v>1</v>
      </c>
      <c r="I114" s="13" t="n">
        <v>5000</v>
      </c>
      <c r="J114" s="13" t="inlineStr">
        <is>
          <t>Hand review</t>
        </is>
      </c>
      <c r="K114" s="13" t="inlineStr">
        <is>
          <t>Likely</t>
        </is>
      </c>
      <c r="L114" s="15" t="inlineStr">
        <is>
          <t>Same employer under two versions of its name, at the business's address.</t>
        </is>
      </c>
      <c r="M114" s="13" t="inlineStr">
        <is>
          <t>24693:5645585</t>
        </is>
      </c>
      <c r="N114" s="13" t="inlineStr">
        <is>
          <t>24897:5760909</t>
        </is>
      </c>
    </row>
    <row r="115">
      <c r="A115" s="13" t="inlineStr">
        <is>
          <t>H111</t>
        </is>
      </c>
      <c r="B115" s="15" t="inlineStr">
        <is>
          <t>Julia Brim-Edwards</t>
        </is>
      </c>
      <c r="C115" s="13" t="n">
        <v>1</v>
      </c>
      <c r="D115" s="13" t="inlineStr">
        <is>
          <t>No</t>
        </is>
      </c>
      <c r="E115" s="15" t="inlineStr">
        <is>
          <t>Dudley for Oregon</t>
        </is>
      </c>
      <c r="F115" s="13" t="n">
        <v>2026</v>
      </c>
      <c r="G115" s="13" t="n">
        <v>2026</v>
      </c>
      <c r="H115" s="13" t="n">
        <v>1</v>
      </c>
      <c r="I115" s="13" t="n">
        <v>10000</v>
      </c>
      <c r="J115" s="13" t="inlineStr">
        <is>
          <t>Street address or PO box</t>
        </is>
      </c>
      <c r="K115" s="13" t="inlineStr">
        <is>
          <t>Confirmed</t>
        </is>
      </c>
      <c r="L115" s="15" t="inlineStr"/>
      <c r="M115" s="13" t="inlineStr">
        <is>
          <t>24693:5645593</t>
        </is>
      </c>
      <c r="N115" s="13" t="inlineStr">
        <is>
          <t>21206:5555068</t>
        </is>
      </c>
    </row>
    <row r="116">
      <c r="A116" s="13" t="inlineStr">
        <is>
          <t>H112</t>
        </is>
      </c>
      <c r="B116" s="15" t="inlineStr">
        <is>
          <t>Eli Arnold</t>
        </is>
      </c>
      <c r="C116" s="13" t="n">
        <v>1</v>
      </c>
      <c r="D116" s="13" t="inlineStr">
        <is>
          <t>Yes</t>
        </is>
      </c>
      <c r="E116" s="15" t="inlineStr">
        <is>
          <t>Friends of Christine Drazan; Oregon Republican Party</t>
        </is>
      </c>
      <c r="F116" s="13" t="n">
        <v>2026</v>
      </c>
      <c r="G116" s="13" t="n">
        <v>2026</v>
      </c>
      <c r="H116" s="13" t="n">
        <v>8</v>
      </c>
      <c r="I116" s="13" t="n">
        <v>750</v>
      </c>
      <c r="J116" s="13" t="inlineStr">
        <is>
          <t>Street address or PO box</t>
        </is>
      </c>
      <c r="K116" s="13" t="inlineStr">
        <is>
          <t>Confirmed</t>
        </is>
      </c>
      <c r="L116" s="15" t="inlineStr"/>
      <c r="M116" s="13" t="inlineStr">
        <is>
          <t>19050:5651368; 19050:5681257; 19050:5708362; 19050:5752787; 19050:5784672; 19050:5790035; 379:5828447; 19050:5856480</t>
        </is>
      </c>
      <c r="N116" s="13" t="inlineStr">
        <is>
          <t>23295:5821046</t>
        </is>
      </c>
    </row>
    <row r="117">
      <c r="A117" s="13" t="inlineStr">
        <is>
          <t>H113</t>
        </is>
      </c>
      <c r="B117" s="15" t="inlineStr">
        <is>
          <t>Kellie Torres, Eric Zimmerman, Julia Brim-Edwards</t>
        </is>
      </c>
      <c r="C117" s="13" t="n">
        <v>3</v>
      </c>
      <c r="D117" s="13" t="inlineStr">
        <is>
          <t>No</t>
        </is>
      </c>
      <c r="E117" s="15" t="inlineStr">
        <is>
          <t>Hicks for Senate</t>
        </is>
      </c>
      <c r="F117" s="13" t="n">
        <v>2026</v>
      </c>
      <c r="G117" s="13" t="n">
        <v>2026</v>
      </c>
      <c r="H117" s="13" t="n">
        <v>1</v>
      </c>
      <c r="I117" s="13" t="n">
        <v>3000</v>
      </c>
      <c r="J117" s="13" t="inlineStr">
        <is>
          <t>Street address or PO box</t>
        </is>
      </c>
      <c r="K117" s="13" t="inlineStr">
        <is>
          <t>Confirmed</t>
        </is>
      </c>
      <c r="L117" s="15" t="inlineStr"/>
      <c r="M117" s="13" t="inlineStr">
        <is>
          <t>24485:5711476</t>
        </is>
      </c>
      <c r="N117" s="13" t="inlineStr">
        <is>
          <t>24897:5873439; 17629:5858347; 21206:5857113</t>
        </is>
      </c>
    </row>
    <row r="118">
      <c r="A118" s="13" t="inlineStr">
        <is>
          <t>H114</t>
        </is>
      </c>
      <c r="B118" s="15" t="inlineStr">
        <is>
          <t>Eli Arnold</t>
        </is>
      </c>
      <c r="C118" s="13" t="n">
        <v>1</v>
      </c>
      <c r="D118" s="13" t="inlineStr">
        <is>
          <t>Yes</t>
        </is>
      </c>
      <c r="E118" s="15" t="inlineStr">
        <is>
          <t>Friends of Christine Drazan</t>
        </is>
      </c>
      <c r="F118" s="13" t="n">
        <v>2026</v>
      </c>
      <c r="G118" s="13" t="n">
        <v>2026</v>
      </c>
      <c r="H118" s="13" t="n">
        <v>3</v>
      </c>
      <c r="I118" s="13" t="n">
        <v>250</v>
      </c>
      <c r="J118" s="13" t="inlineStr">
        <is>
          <t>Street address or PO box</t>
        </is>
      </c>
      <c r="K118" s="13" t="inlineStr">
        <is>
          <t>Confirmed</t>
        </is>
      </c>
      <c r="L118" s="15" t="inlineStr"/>
      <c r="M118" s="13" t="inlineStr">
        <is>
          <t>19050:5752033; 19050:5814580; 19050:5866191</t>
        </is>
      </c>
      <c r="N118" s="13" t="inlineStr">
        <is>
          <t>23295:5844733; 23295:5786166; 23295:5747157; 23295:5704093; 23295:5674962</t>
        </is>
      </c>
    </row>
    <row r="119">
      <c r="A119" s="13" t="inlineStr">
        <is>
          <t>H115</t>
        </is>
      </c>
      <c r="B119" s="15" t="inlineStr">
        <is>
          <t>Julia Brim-Edwards</t>
        </is>
      </c>
      <c r="C119" s="13" t="n">
        <v>1</v>
      </c>
      <c r="D119" s="13" t="inlineStr">
        <is>
          <t>Yes</t>
        </is>
      </c>
      <c r="E119" s="15" t="inlineStr">
        <is>
          <t>Friends of Christine Drazan</t>
        </is>
      </c>
      <c r="F119" s="13" t="n">
        <v>2026</v>
      </c>
      <c r="G119" s="13" t="n">
        <v>2026</v>
      </c>
      <c r="H119" s="13" t="n">
        <v>2</v>
      </c>
      <c r="I119" s="13" t="n">
        <v>250</v>
      </c>
      <c r="J119" s="13" t="inlineStr">
        <is>
          <t>Street address or PO box</t>
        </is>
      </c>
      <c r="K119" s="13" t="inlineStr">
        <is>
          <t>Confirmed</t>
        </is>
      </c>
      <c r="L119" s="15" t="inlineStr"/>
      <c r="M119" s="13" t="inlineStr">
        <is>
          <t>19050:5761396; 19050:5888130</t>
        </is>
      </c>
      <c r="N119" s="13" t="inlineStr">
        <is>
          <t>21206:5852756</t>
        </is>
      </c>
    </row>
    <row r="120">
      <c r="A120" s="13" t="inlineStr">
        <is>
          <t>H116</t>
        </is>
      </c>
      <c r="B120" s="15" t="inlineStr">
        <is>
          <t>Olivia Clark</t>
        </is>
      </c>
      <c r="C120" s="13" t="n">
        <v>1</v>
      </c>
      <c r="D120" s="13" t="inlineStr">
        <is>
          <t>Yes</t>
        </is>
      </c>
      <c r="E120" s="15" t="inlineStr">
        <is>
          <t>Friends of Christine Drazan</t>
        </is>
      </c>
      <c r="F120" s="13" t="n">
        <v>2026</v>
      </c>
      <c r="G120" s="13" t="n">
        <v>2026</v>
      </c>
      <c r="H120" s="13" t="n">
        <v>1</v>
      </c>
      <c r="I120" s="13" t="n">
        <v>3000</v>
      </c>
      <c r="J120" s="13" t="inlineStr">
        <is>
          <t>Street address or PO box</t>
        </is>
      </c>
      <c r="K120" s="13" t="inlineStr">
        <is>
          <t>Confirmed</t>
        </is>
      </c>
      <c r="L120" s="15" t="inlineStr"/>
      <c r="M120" s="13" t="inlineStr">
        <is>
          <t>19050:5771118</t>
        </is>
      </c>
      <c r="N120" s="13" t="inlineStr">
        <is>
          <t>23199:5878457; 23199:5717899; 23199:4745090</t>
        </is>
      </c>
    </row>
    <row r="121">
      <c r="A121" s="13" t="inlineStr">
        <is>
          <t>H117</t>
        </is>
      </c>
      <c r="B121" s="15" t="inlineStr">
        <is>
          <t>Olivia Clark, Eric Zimmerman, Eli Arnold</t>
        </is>
      </c>
      <c r="C121" s="13" t="n">
        <v>3</v>
      </c>
      <c r="D121" s="13" t="inlineStr">
        <is>
          <t>Yes</t>
        </is>
      </c>
      <c r="E121" s="15" t="inlineStr">
        <is>
          <t>Friends of Christine Drazan</t>
        </is>
      </c>
      <c r="F121" s="13" t="n">
        <v>2026</v>
      </c>
      <c r="G121" s="13" t="n">
        <v>2026</v>
      </c>
      <c r="H121" s="13" t="n">
        <v>1</v>
      </c>
      <c r="I121" s="13" t="n">
        <v>250</v>
      </c>
      <c r="J121" s="13" t="inlineStr">
        <is>
          <t>Street address or PO box</t>
        </is>
      </c>
      <c r="K121" s="13" t="inlineStr">
        <is>
          <t>Confirmed</t>
        </is>
      </c>
      <c r="L121" s="15" t="inlineStr"/>
      <c r="M121" s="13" t="inlineStr">
        <is>
          <t>19050:5780447</t>
        </is>
      </c>
      <c r="N121" s="13" t="inlineStr">
        <is>
          <t>23199:5844160; 17629:5813886; 23295:5573046</t>
        </is>
      </c>
    </row>
    <row r="122">
      <c r="A122" s="13" t="inlineStr">
        <is>
          <t>H118</t>
        </is>
      </c>
      <c r="B122" s="15" t="inlineStr">
        <is>
          <t>Eli Arnold</t>
        </is>
      </c>
      <c r="C122" s="13" t="n">
        <v>1</v>
      </c>
      <c r="D122" s="13" t="inlineStr">
        <is>
          <t>Yes</t>
        </is>
      </c>
      <c r="E122" s="15" t="inlineStr">
        <is>
          <t>Friends of Christine Drazan</t>
        </is>
      </c>
      <c r="F122" s="13" t="n">
        <v>2026</v>
      </c>
      <c r="G122" s="13" t="n">
        <v>2026</v>
      </c>
      <c r="H122" s="13" t="n">
        <v>2</v>
      </c>
      <c r="I122" s="13" t="n">
        <v>250</v>
      </c>
      <c r="J122" s="13" t="inlineStr">
        <is>
          <t>Street address or PO box</t>
        </is>
      </c>
      <c r="K122" s="13" t="inlineStr">
        <is>
          <t>Confirmed</t>
        </is>
      </c>
      <c r="L122" s="15" t="inlineStr"/>
      <c r="M122" s="13" t="inlineStr">
        <is>
          <t>19050:5788216; 19050:5819478</t>
        </is>
      </c>
      <c r="N122" s="13" t="inlineStr">
        <is>
          <t>23295:5821026; 23295:5032672</t>
        </is>
      </c>
    </row>
    <row r="123">
      <c r="A123" s="13" t="inlineStr">
        <is>
          <t>H119</t>
        </is>
      </c>
      <c r="B123" s="15" t="inlineStr">
        <is>
          <t>Kellie Torres, Julia Brim-Edwards</t>
        </is>
      </c>
      <c r="C123" s="13" t="n">
        <v>2</v>
      </c>
      <c r="D123" s="13" t="inlineStr">
        <is>
          <t>Yes</t>
        </is>
      </c>
      <c r="E123" s="15" t="inlineStr">
        <is>
          <t>Friends of Christine Drazan</t>
        </is>
      </c>
      <c r="F123" s="13" t="n">
        <v>2026</v>
      </c>
      <c r="G123" s="13" t="n">
        <v>2026</v>
      </c>
      <c r="H123" s="13" t="n">
        <v>1</v>
      </c>
      <c r="I123" s="13" t="n">
        <v>250</v>
      </c>
      <c r="J123" s="13" t="inlineStr">
        <is>
          <t>Street address or PO box</t>
        </is>
      </c>
      <c r="K123" s="13" t="inlineStr">
        <is>
          <t>Confirmed</t>
        </is>
      </c>
      <c r="L123" s="15" t="inlineStr"/>
      <c r="M123" s="13" t="inlineStr">
        <is>
          <t>19050:5812344</t>
        </is>
      </c>
      <c r="N123" s="13" t="inlineStr">
        <is>
          <t>24897:5780402; 21206:4530520</t>
        </is>
      </c>
    </row>
    <row r="124">
      <c r="A124" s="13" t="inlineStr">
        <is>
          <t>H120</t>
        </is>
      </c>
      <c r="B124" s="15" t="inlineStr">
        <is>
          <t>Julia Brim-Edwards</t>
        </is>
      </c>
      <c r="C124" s="13" t="n">
        <v>1</v>
      </c>
      <c r="D124" s="13" t="inlineStr">
        <is>
          <t>Yes</t>
        </is>
      </c>
      <c r="E124" s="15" t="inlineStr">
        <is>
          <t>Friends of Christine Drazan</t>
        </is>
      </c>
      <c r="F124" s="13" t="n">
        <v>2026</v>
      </c>
      <c r="G124" s="13" t="n">
        <v>2026</v>
      </c>
      <c r="H124" s="13" t="n">
        <v>1</v>
      </c>
      <c r="I124" s="13" t="n">
        <v>250</v>
      </c>
      <c r="J124" s="13" t="inlineStr">
        <is>
          <t>Street address or PO box</t>
        </is>
      </c>
      <c r="K124" s="13" t="inlineStr">
        <is>
          <t>Confirmed</t>
        </is>
      </c>
      <c r="L124" s="15" t="inlineStr"/>
      <c r="M124" s="13" t="inlineStr">
        <is>
          <t>19050:5818021</t>
        </is>
      </c>
      <c r="N124" s="13" t="inlineStr">
        <is>
          <t>21206:5555081</t>
        </is>
      </c>
    </row>
    <row r="125">
      <c r="A125" s="13" t="inlineStr">
        <is>
          <t>H121</t>
        </is>
      </c>
      <c r="B125" s="15" t="inlineStr">
        <is>
          <t>Olivia Clark, Eric Zimmerman, Eli Arnold</t>
        </is>
      </c>
      <c r="C125" s="13" t="n">
        <v>3</v>
      </c>
      <c r="D125" s="13" t="inlineStr">
        <is>
          <t>Yes</t>
        </is>
      </c>
      <c r="E125" s="15" t="inlineStr">
        <is>
          <t>Friends of Christine Drazan</t>
        </is>
      </c>
      <c r="F125" s="13" t="n">
        <v>2026</v>
      </c>
      <c r="G125" s="13" t="n">
        <v>2026</v>
      </c>
      <c r="H125" s="13" t="n">
        <v>1</v>
      </c>
      <c r="I125" s="13" t="n">
        <v>250</v>
      </c>
      <c r="J125" s="13" t="inlineStr">
        <is>
          <t>Street address or PO box</t>
        </is>
      </c>
      <c r="K125" s="13" t="inlineStr">
        <is>
          <t>Confirmed</t>
        </is>
      </c>
      <c r="L125" s="15" t="inlineStr"/>
      <c r="M125" s="13" t="inlineStr">
        <is>
          <t>19050:5829381</t>
        </is>
      </c>
      <c r="N125" s="13" t="inlineStr">
        <is>
          <t>23199:5586577; 17629:5562822; 23295:5459908; 23295:5032635; 23295:4993243; 23295:4967778; 23295:4926098</t>
        </is>
      </c>
    </row>
    <row r="126">
      <c r="A126" s="13" t="inlineStr">
        <is>
          <t>H122</t>
        </is>
      </c>
      <c r="B126" s="15" t="inlineStr">
        <is>
          <t>Eli Arnold</t>
        </is>
      </c>
      <c r="C126" s="13" t="n">
        <v>1</v>
      </c>
      <c r="D126" s="13" t="inlineStr">
        <is>
          <t>Yes</t>
        </is>
      </c>
      <c r="E126" s="15" t="inlineStr">
        <is>
          <t>Friends of Christine Drazan</t>
        </is>
      </c>
      <c r="F126" s="13" t="n">
        <v>2026</v>
      </c>
      <c r="G126" s="13" t="n">
        <v>2026</v>
      </c>
      <c r="H126" s="13" t="n">
        <v>2</v>
      </c>
      <c r="I126" s="13" t="n">
        <v>250</v>
      </c>
      <c r="J126" s="13" t="inlineStr">
        <is>
          <t>Street address or PO box</t>
        </is>
      </c>
      <c r="K126" s="13" t="inlineStr">
        <is>
          <t>Confirmed</t>
        </is>
      </c>
      <c r="L126" s="15" t="inlineStr"/>
      <c r="M126" s="13" t="inlineStr">
        <is>
          <t>19050:5848283; 19050:5886615</t>
        </is>
      </c>
      <c r="N126" s="13" t="inlineStr">
        <is>
          <t>23295:5844731; 23295:5820890; 23295:5786173; 23295:5786107; 23295:5747156; 23295:5704092; 23295:5674960; 23295:5640860; 23295:5634477; 23295:5634478</t>
        </is>
      </c>
    </row>
    <row r="127">
      <c r="A127" s="13" t="inlineStr">
        <is>
          <t>H123</t>
        </is>
      </c>
      <c r="B127" s="15" t="inlineStr">
        <is>
          <t>Julia Brim-Edwards</t>
        </is>
      </c>
      <c r="C127" s="13" t="n">
        <v>1</v>
      </c>
      <c r="D127" s="13" t="inlineStr">
        <is>
          <t>Yes</t>
        </is>
      </c>
      <c r="E127" s="15" t="inlineStr">
        <is>
          <t>Friends of Christine Drazan</t>
        </is>
      </c>
      <c r="F127" s="13" t="n">
        <v>2026</v>
      </c>
      <c r="G127" s="13" t="n">
        <v>2026</v>
      </c>
      <c r="H127" s="13" t="n">
        <v>1</v>
      </c>
      <c r="I127" s="13" t="n">
        <v>500</v>
      </c>
      <c r="J127" s="13" t="inlineStr">
        <is>
          <t>Street address or PO box</t>
        </is>
      </c>
      <c r="K127" s="13" t="inlineStr">
        <is>
          <t>Confirmed</t>
        </is>
      </c>
      <c r="L127" s="15" t="inlineStr"/>
      <c r="M127" s="13" t="inlineStr">
        <is>
          <t>19050:5854542</t>
        </is>
      </c>
      <c r="N127" s="13" t="inlineStr">
        <is>
          <t>21206:5627302; 21206:4574707</t>
        </is>
      </c>
    </row>
    <row r="128">
      <c r="A128" s="13" t="inlineStr">
        <is>
          <t>H124</t>
        </is>
      </c>
      <c r="B128" s="15" t="inlineStr">
        <is>
          <t>Olivia Clark, Eli Arnold</t>
        </is>
      </c>
      <c r="C128" s="13" t="n">
        <v>2</v>
      </c>
      <c r="D128" s="13" t="inlineStr">
        <is>
          <t>Yes</t>
        </is>
      </c>
      <c r="E128" s="15" t="inlineStr">
        <is>
          <t>Friends of Christine Drazan</t>
        </is>
      </c>
      <c r="F128" s="13" t="n">
        <v>2026</v>
      </c>
      <c r="G128" s="13" t="n">
        <v>2026</v>
      </c>
      <c r="H128" s="13" t="n">
        <v>1</v>
      </c>
      <c r="I128" s="13" t="n">
        <v>250</v>
      </c>
      <c r="J128" s="13" t="inlineStr">
        <is>
          <t>Street address or PO box</t>
        </is>
      </c>
      <c r="K128" s="13" t="inlineStr">
        <is>
          <t>Confirmed</t>
        </is>
      </c>
      <c r="L128" s="15" t="inlineStr"/>
      <c r="M128" s="13" t="inlineStr">
        <is>
          <t>19050:5861924</t>
        </is>
      </c>
      <c r="N128" s="13" t="inlineStr">
        <is>
          <t>23199:5868461; 23295:5122815; 23295:5083355</t>
        </is>
      </c>
    </row>
    <row r="129">
      <c r="A129" s="13" t="inlineStr">
        <is>
          <t>H125</t>
        </is>
      </c>
      <c r="B129" s="15" t="inlineStr">
        <is>
          <t>Julia Brim-Edwards</t>
        </is>
      </c>
      <c r="C129" s="13" t="n">
        <v>1</v>
      </c>
      <c r="D129" s="13" t="inlineStr">
        <is>
          <t>Yes</t>
        </is>
      </c>
      <c r="E129" s="15" t="inlineStr">
        <is>
          <t>Friends of Christine Drazan</t>
        </is>
      </c>
      <c r="F129" s="13" t="n">
        <v>2026</v>
      </c>
      <c r="G129" s="13" t="n">
        <v>2026</v>
      </c>
      <c r="H129" s="13" t="n">
        <v>1</v>
      </c>
      <c r="I129" s="13" t="n">
        <v>250</v>
      </c>
      <c r="J129" s="13" t="inlineStr">
        <is>
          <t>Street address or PO box</t>
        </is>
      </c>
      <c r="K129" s="13" t="inlineStr">
        <is>
          <t>Confirmed</t>
        </is>
      </c>
      <c r="L129" s="15" t="inlineStr"/>
      <c r="M129" s="13" t="inlineStr">
        <is>
          <t>19050:5878886</t>
        </is>
      </c>
      <c r="N129" s="13" t="inlineStr">
        <is>
          <t>21206:5627308</t>
        </is>
      </c>
    </row>
  </sheetData>
  <mergeCells count="1">
    <mergeCell ref="A1:H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8.xml><?xml version="1.0" encoding="utf-8"?>
<worksheet xmlns="http://schemas.openxmlformats.org/spreadsheetml/2006/main">
  <sheetPr>
    <tabColor rgb="008A8F99"/>
    <outlinePr summaryBelow="1" summaryRight="1"/>
    <pageSetUpPr/>
  </sheetPr>
  <dimension ref="A1:F26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50" customWidth="1" min="4" max="4"/>
    <col width="22" customWidth="1" min="5" max="5"/>
    <col width="10" customWidth="1" min="6" max="6"/>
  </cols>
  <sheetData>
    <row r="1" ht="42" customHeight="1">
      <c r="A1" s="5" t="inlineStr">
        <is>
          <t>One row per household that gave to at least one of the six and to a Portland conservative campaign, but to no Republican campaign we could match. Donor codes link to the Candidate PC matches tab, which has each gift's Transaction ID.</t>
        </is>
      </c>
    </row>
    <row r="2">
      <c r="A2" s="11" t="inlineStr">
        <is>
          <t>← Back to Start here</t>
        </is>
      </c>
    </row>
    <row r="4" ht="34" customHeight="1">
      <c r="A4" s="12" t="inlineStr">
        <is>
          <t>Household</t>
        </is>
      </c>
      <c r="B4" s="12" t="inlineStr">
        <is>
          <t>Slate candidates given to</t>
        </is>
      </c>
      <c r="C4" s="12" t="inlineStr">
        <is>
          <t>No. of slate candidates</t>
        </is>
      </c>
      <c r="D4" s="12" t="inlineStr">
        <is>
          <t>Portland conservative campaigns</t>
        </is>
      </c>
      <c r="E4" s="12" t="inlineStr">
        <is>
          <t>Donor codes in this household</t>
        </is>
      </c>
      <c r="F4" s="12" t="inlineStr">
        <is>
          <t>No. of donors</t>
        </is>
      </c>
    </row>
    <row r="5">
      <c r="A5" s="13" t="inlineStr">
        <is>
          <t>P001</t>
        </is>
      </c>
      <c r="B5" s="15" t="inlineStr">
        <is>
          <t>Steve Novick, Olivia Clark, Eric Zimmerman, Eli Arnold, Julia Brim-Edwards</t>
        </is>
      </c>
      <c r="C5" s="13" t="n">
        <v>5</v>
      </c>
      <c r="D5" s="15" t="inlineStr">
        <is>
          <t>Friends of Sam Adams; Friends of Vadim; Portland Accountability PAC; Rene For Portland; Rene for Portland</t>
        </is>
      </c>
      <c r="E5" s="13" t="inlineStr">
        <is>
          <t>C218</t>
        </is>
      </c>
      <c r="F5" s="13" t="n">
        <v>1</v>
      </c>
    </row>
    <row r="6">
      <c r="A6" s="13" t="inlineStr">
        <is>
          <t>P002</t>
        </is>
      </c>
      <c r="B6" s="15" t="inlineStr">
        <is>
          <t>Steve Novick, Julia Brim-Edwards</t>
        </is>
      </c>
      <c r="C6" s="13" t="n">
        <v>2</v>
      </c>
      <c r="D6" s="15" t="inlineStr">
        <is>
          <t>Friends of Sam Adams</t>
        </is>
      </c>
      <c r="E6" s="13" t="inlineStr">
        <is>
          <t>C058</t>
        </is>
      </c>
      <c r="F6" s="13" t="n">
        <v>1</v>
      </c>
    </row>
    <row r="7">
      <c r="A7" s="13" t="inlineStr">
        <is>
          <t>P003</t>
        </is>
      </c>
      <c r="B7" s="15" t="inlineStr">
        <is>
          <t>Steve Novick</t>
        </is>
      </c>
      <c r="C7" s="13" t="n">
        <v>1</v>
      </c>
      <c r="D7" s="15" t="inlineStr">
        <is>
          <t>Friends of Sam Adams</t>
        </is>
      </c>
      <c r="E7" s="13" t="inlineStr">
        <is>
          <t>C061</t>
        </is>
      </c>
      <c r="F7" s="13" t="n">
        <v>1</v>
      </c>
    </row>
    <row r="8">
      <c r="A8" s="13" t="inlineStr">
        <is>
          <t>P004</t>
        </is>
      </c>
      <c r="B8" s="15" t="inlineStr">
        <is>
          <t>Steve Novick, Olivia Clark</t>
        </is>
      </c>
      <c r="C8" s="13" t="n">
        <v>2</v>
      </c>
      <c r="D8" s="15" t="inlineStr">
        <is>
          <t>Rene For Portland; Rene for Portland</t>
        </is>
      </c>
      <c r="E8" s="13" t="inlineStr">
        <is>
          <t>C079, C172</t>
        </is>
      </c>
      <c r="F8" s="13" t="n">
        <v>2</v>
      </c>
    </row>
    <row r="9">
      <c r="A9" s="13" t="inlineStr">
        <is>
          <t>P005</t>
        </is>
      </c>
      <c r="B9" s="15" t="inlineStr">
        <is>
          <t>Steve Novick, Olivia Clark, Eric Zimmerman, Eli Arnold</t>
        </is>
      </c>
      <c r="C9" s="13" t="n">
        <v>4</v>
      </c>
      <c r="D9" s="15" t="inlineStr">
        <is>
          <t>Vote Vasquez</t>
        </is>
      </c>
      <c r="E9" s="13" t="inlineStr">
        <is>
          <t>C308</t>
        </is>
      </c>
      <c r="F9" s="13" t="n">
        <v>1</v>
      </c>
    </row>
    <row r="10">
      <c r="A10" s="13" t="inlineStr">
        <is>
          <t>P006</t>
        </is>
      </c>
      <c r="B10" s="15" t="inlineStr">
        <is>
          <t>Steve Novick, Julia Brim-Edwards</t>
        </is>
      </c>
      <c r="C10" s="13" t="n">
        <v>2</v>
      </c>
      <c r="D10" s="15" t="inlineStr">
        <is>
          <t>Friends of Sam Adams</t>
        </is>
      </c>
      <c r="E10" s="13" t="inlineStr">
        <is>
          <t>C048</t>
        </is>
      </c>
      <c r="F10" s="13" t="n">
        <v>1</v>
      </c>
    </row>
    <row r="11">
      <c r="A11" s="13" t="inlineStr">
        <is>
          <t>P007</t>
        </is>
      </c>
      <c r="B11" s="15" t="inlineStr">
        <is>
          <t>Steve Novick</t>
        </is>
      </c>
      <c r="C11" s="13" t="n">
        <v>1</v>
      </c>
      <c r="D11" s="15" t="inlineStr">
        <is>
          <t>Rene For Portland</t>
        </is>
      </c>
      <c r="E11" s="13" t="inlineStr">
        <is>
          <t>C089</t>
        </is>
      </c>
      <c r="F11" s="13" t="n">
        <v>1</v>
      </c>
    </row>
    <row r="12">
      <c r="A12" s="13" t="inlineStr">
        <is>
          <t>P008</t>
        </is>
      </c>
      <c r="B12" s="15" t="inlineStr">
        <is>
          <t>Steve Novick</t>
        </is>
      </c>
      <c r="C12" s="13" t="n">
        <v>1</v>
      </c>
      <c r="D12" s="15" t="inlineStr">
        <is>
          <t>Vote Vasquez</t>
        </is>
      </c>
      <c r="E12" s="13" t="inlineStr">
        <is>
          <t>C303</t>
        </is>
      </c>
      <c r="F12" s="13" t="n">
        <v>1</v>
      </c>
    </row>
    <row r="13">
      <c r="A13" s="13" t="inlineStr">
        <is>
          <t>P009</t>
        </is>
      </c>
      <c r="B13" s="15" t="inlineStr">
        <is>
          <t>Steve Novick, Olivia Clark</t>
        </is>
      </c>
      <c r="C13" s="13" t="n">
        <v>2</v>
      </c>
      <c r="D13" s="15" t="inlineStr">
        <is>
          <t>Friends of Vadim</t>
        </is>
      </c>
      <c r="E13" s="13" t="inlineStr">
        <is>
          <t>C233</t>
        </is>
      </c>
      <c r="F13" s="13" t="n">
        <v>1</v>
      </c>
    </row>
    <row r="14">
      <c r="A14" s="13" t="inlineStr">
        <is>
          <t>P010</t>
        </is>
      </c>
      <c r="B14" s="15" t="inlineStr">
        <is>
          <t>Steve Novick, Olivia Clark</t>
        </is>
      </c>
      <c r="C14" s="13" t="n">
        <v>2</v>
      </c>
      <c r="D14" s="15" t="inlineStr">
        <is>
          <t>Friends of Vadim; Rene For Portland; Rene for Portland</t>
        </is>
      </c>
      <c r="E14" s="13" t="inlineStr">
        <is>
          <t>C080</t>
        </is>
      </c>
      <c r="F14" s="13" t="n">
        <v>1</v>
      </c>
    </row>
    <row r="15">
      <c r="A15" s="13" t="inlineStr">
        <is>
          <t>P011</t>
        </is>
      </c>
      <c r="B15" s="15" t="inlineStr">
        <is>
          <t>Steve Novick</t>
        </is>
      </c>
      <c r="C15" s="13" t="n">
        <v>1</v>
      </c>
      <c r="D15" s="15" t="inlineStr">
        <is>
          <t>Friends of Sam Adams</t>
        </is>
      </c>
      <c r="E15" s="13" t="inlineStr">
        <is>
          <t>C059</t>
        </is>
      </c>
      <c r="F15" s="13" t="n">
        <v>1</v>
      </c>
    </row>
    <row r="16">
      <c r="A16" s="13" t="inlineStr">
        <is>
          <t>P012</t>
        </is>
      </c>
      <c r="B16" s="15" t="inlineStr">
        <is>
          <t>Steve Novick, Olivia Clark, Julia Brim-Edwards</t>
        </is>
      </c>
      <c r="C16" s="13" t="n">
        <v>3</v>
      </c>
      <c r="D16" s="15" t="inlineStr">
        <is>
          <t>Friends of Sam Adams</t>
        </is>
      </c>
      <c r="E16" s="13" t="inlineStr">
        <is>
          <t>C030</t>
        </is>
      </c>
      <c r="F16" s="13" t="n">
        <v>1</v>
      </c>
    </row>
    <row r="17">
      <c r="A17" s="13" t="inlineStr">
        <is>
          <t>P013</t>
        </is>
      </c>
      <c r="B17" s="15" t="inlineStr">
        <is>
          <t>Steve Novick</t>
        </is>
      </c>
      <c r="C17" s="13" t="n">
        <v>1</v>
      </c>
      <c r="D17" s="15" t="inlineStr">
        <is>
          <t>Friends of Sam Adams; Vote Vasquez</t>
        </is>
      </c>
      <c r="E17" s="13" t="inlineStr">
        <is>
          <t>C028</t>
        </is>
      </c>
      <c r="F17" s="13" t="n">
        <v>1</v>
      </c>
    </row>
    <row r="18">
      <c r="A18" s="13" t="inlineStr">
        <is>
          <t>P014</t>
        </is>
      </c>
      <c r="B18" s="15" t="inlineStr">
        <is>
          <t>Steve Novick</t>
        </is>
      </c>
      <c r="C18" s="13" t="n">
        <v>1</v>
      </c>
      <c r="D18" s="15" t="inlineStr">
        <is>
          <t>Friends of Pam Treece</t>
        </is>
      </c>
      <c r="E18" s="13" t="inlineStr">
        <is>
          <t>C014</t>
        </is>
      </c>
      <c r="F18" s="13" t="n">
        <v>1</v>
      </c>
    </row>
    <row r="19">
      <c r="A19" s="13" t="inlineStr">
        <is>
          <t>P015</t>
        </is>
      </c>
      <c r="B19" s="15" t="inlineStr">
        <is>
          <t>Steve Novick, Julia Brim-Edwards</t>
        </is>
      </c>
      <c r="C19" s="13" t="n">
        <v>2</v>
      </c>
      <c r="D19" s="15" t="inlineStr">
        <is>
          <t>Friends of Pam Treece; Friends of Sam Adams</t>
        </is>
      </c>
      <c r="E19" s="13" t="inlineStr">
        <is>
          <t>C010, C041</t>
        </is>
      </c>
      <c r="F19" s="13" t="n">
        <v>2</v>
      </c>
    </row>
    <row r="20">
      <c r="A20" s="13" t="inlineStr">
        <is>
          <t>P016</t>
        </is>
      </c>
      <c r="B20" s="15" t="inlineStr">
        <is>
          <t>Kellie Torres, Steve Novick, Olivia Clark, Eric Zimmerman, Julia Brim-Edwards</t>
        </is>
      </c>
      <c r="C20" s="13" t="n">
        <v>5</v>
      </c>
      <c r="D20" s="15" t="inlineStr">
        <is>
          <t>Friends of Pam Treece; Friends of Sam Adams; Friends of Vadim; Rene For Portland; Rene for Portland</t>
        </is>
      </c>
      <c r="E20" s="13" t="inlineStr">
        <is>
          <t>C003, C012</t>
        </is>
      </c>
      <c r="F20" s="13" t="n">
        <v>2</v>
      </c>
    </row>
    <row r="21">
      <c r="A21" s="13" t="inlineStr">
        <is>
          <t>P017</t>
        </is>
      </c>
      <c r="B21" s="15" t="inlineStr">
        <is>
          <t>Steve Novick, Eli Arnold</t>
        </is>
      </c>
      <c r="C21" s="13" t="n">
        <v>2</v>
      </c>
      <c r="D21" s="15" t="inlineStr">
        <is>
          <t>Friends of Vadim</t>
        </is>
      </c>
      <c r="E21" s="13" t="inlineStr">
        <is>
          <t>C235</t>
        </is>
      </c>
      <c r="F21" s="13" t="n">
        <v>1</v>
      </c>
    </row>
    <row r="22">
      <c r="A22" s="13" t="inlineStr">
        <is>
          <t>P018</t>
        </is>
      </c>
      <c r="B22" s="15" t="inlineStr">
        <is>
          <t>Steve Novick, Olivia Clark, Julia Brim-Edwards</t>
        </is>
      </c>
      <c r="C22" s="13" t="n">
        <v>3</v>
      </c>
      <c r="D22" s="15" t="inlineStr">
        <is>
          <t>Friends of Pam Treece; Friends of Vadim</t>
        </is>
      </c>
      <c r="E22" s="13" t="inlineStr">
        <is>
          <t>C002</t>
        </is>
      </c>
      <c r="F22" s="13" t="n">
        <v>1</v>
      </c>
    </row>
    <row r="23">
      <c r="A23" s="13" t="inlineStr">
        <is>
          <t>P019</t>
        </is>
      </c>
      <c r="B23" s="15" t="inlineStr">
        <is>
          <t>Steve Novick</t>
        </is>
      </c>
      <c r="C23" s="13" t="n">
        <v>1</v>
      </c>
      <c r="D23" s="15" t="inlineStr">
        <is>
          <t>Friends of Sam Adams</t>
        </is>
      </c>
      <c r="E23" s="13" t="inlineStr">
        <is>
          <t>C071</t>
        </is>
      </c>
      <c r="F23" s="13" t="n">
        <v>1</v>
      </c>
    </row>
    <row r="24">
      <c r="A24" s="13" t="inlineStr">
        <is>
          <t>P020</t>
        </is>
      </c>
      <c r="B24" s="15" t="inlineStr">
        <is>
          <t>Steve Novick, Julia Brim-Edwards</t>
        </is>
      </c>
      <c r="C24" s="13" t="n">
        <v>2</v>
      </c>
      <c r="D24" s="15" t="inlineStr">
        <is>
          <t>Friends of Vadim; Rene for Portland; Vote Vasquez</t>
        </is>
      </c>
      <c r="E24" s="13" t="inlineStr">
        <is>
          <t>C293</t>
        </is>
      </c>
      <c r="F24" s="13" t="n">
        <v>1</v>
      </c>
    </row>
    <row r="25">
      <c r="A25" s="13" t="inlineStr">
        <is>
          <t>P021</t>
        </is>
      </c>
      <c r="B25" s="15" t="inlineStr">
        <is>
          <t>Steve Novick, Olivia Clark, Julia Brim-Edwards</t>
        </is>
      </c>
      <c r="C25" s="13" t="n">
        <v>3</v>
      </c>
      <c r="D25" s="15" t="inlineStr">
        <is>
          <t>Friends of Sam Adams</t>
        </is>
      </c>
      <c r="E25" s="13" t="inlineStr">
        <is>
          <t>C031</t>
        </is>
      </c>
      <c r="F25" s="13" t="n">
        <v>1</v>
      </c>
    </row>
    <row r="26">
      <c r="A26" s="13" t="inlineStr">
        <is>
          <t>P022</t>
        </is>
      </c>
      <c r="B26" s="15" t="inlineStr">
        <is>
          <t>Steve Novick, Olivia Clark, Julia Brim-Edwards</t>
        </is>
      </c>
      <c r="C26" s="13" t="n">
        <v>3</v>
      </c>
      <c r="D26" s="15" t="inlineStr">
        <is>
          <t>Friends of Pam Treece; Friends of Sam Adams</t>
        </is>
      </c>
      <c r="E26" s="13" t="inlineStr">
        <is>
          <t>C047</t>
        </is>
      </c>
      <c r="F26" s="13" t="n">
        <v>1</v>
      </c>
    </row>
    <row r="27">
      <c r="A27" s="13" t="inlineStr">
        <is>
          <t>P023</t>
        </is>
      </c>
      <c r="B27" s="15" t="inlineStr">
        <is>
          <t>Kellie Torres, Steve Novick, Olivia Clark, Eric Zimmerman, Eli Arnold, Julia Brim-Edwards</t>
        </is>
      </c>
      <c r="C27" s="13" t="n">
        <v>6</v>
      </c>
      <c r="D27" s="15" t="inlineStr">
        <is>
          <t>Friends of Vadim; Rene For Portland; Rene for Portland</t>
        </is>
      </c>
      <c r="E27" s="13" t="inlineStr">
        <is>
          <t>C084</t>
        </is>
      </c>
      <c r="F27" s="13" t="n">
        <v>1</v>
      </c>
    </row>
    <row r="28">
      <c r="A28" s="13" t="inlineStr">
        <is>
          <t>P024</t>
        </is>
      </c>
      <c r="B28" s="15" t="inlineStr">
        <is>
          <t>Steve Novick</t>
        </is>
      </c>
      <c r="C28" s="13" t="n">
        <v>1</v>
      </c>
      <c r="D28" s="15" t="inlineStr">
        <is>
          <t>Friends of Sam Adams</t>
        </is>
      </c>
      <c r="E28" s="13" t="inlineStr">
        <is>
          <t>C073</t>
        </is>
      </c>
      <c r="F28" s="13" t="n">
        <v>1</v>
      </c>
    </row>
    <row r="29">
      <c r="A29" s="13" t="inlineStr">
        <is>
          <t>P025</t>
        </is>
      </c>
      <c r="B29" s="15" t="inlineStr">
        <is>
          <t>Steve Novick, Olivia Clark, Eric Zimmerman, Eli Arnold, Julia Brim-Edwards</t>
        </is>
      </c>
      <c r="C29" s="13" t="n">
        <v>5</v>
      </c>
      <c r="D29" s="15" t="inlineStr">
        <is>
          <t>Friends of Sam Adams; Friends of Vadim; Rene For Portland</t>
        </is>
      </c>
      <c r="E29" s="13" t="inlineStr">
        <is>
          <t>C193</t>
        </is>
      </c>
      <c r="F29" s="13" t="n">
        <v>1</v>
      </c>
    </row>
    <row r="30">
      <c r="A30" s="13" t="inlineStr">
        <is>
          <t>P026</t>
        </is>
      </c>
      <c r="B30" s="15" t="inlineStr">
        <is>
          <t>Steve Novick</t>
        </is>
      </c>
      <c r="C30" s="13" t="n">
        <v>1</v>
      </c>
      <c r="D30" s="15" t="inlineStr">
        <is>
          <t>Rene For Portland</t>
        </is>
      </c>
      <c r="E30" s="13" t="inlineStr">
        <is>
          <t>C146</t>
        </is>
      </c>
      <c r="F30" s="13" t="n">
        <v>1</v>
      </c>
    </row>
    <row r="31">
      <c r="A31" s="13" t="inlineStr">
        <is>
          <t>P027</t>
        </is>
      </c>
      <c r="B31" s="15" t="inlineStr">
        <is>
          <t>Steve Novick, Julia Brim-Edwards</t>
        </is>
      </c>
      <c r="C31" s="13" t="n">
        <v>2</v>
      </c>
      <c r="D31" s="15" t="inlineStr">
        <is>
          <t>Rene For Portland; Vote Vasquez</t>
        </is>
      </c>
      <c r="E31" s="13" t="inlineStr">
        <is>
          <t>C101, C292</t>
        </is>
      </c>
      <c r="F31" s="13" t="n">
        <v>2</v>
      </c>
    </row>
    <row r="32">
      <c r="A32" s="13" t="inlineStr">
        <is>
          <t>P028</t>
        </is>
      </c>
      <c r="B32" s="15" t="inlineStr">
        <is>
          <t>Steve Novick</t>
        </is>
      </c>
      <c r="C32" s="13" t="n">
        <v>1</v>
      </c>
      <c r="D32" s="15" t="inlineStr">
        <is>
          <t>Friends of Vadim</t>
        </is>
      </c>
      <c r="E32" s="13" t="inlineStr">
        <is>
          <t>C237</t>
        </is>
      </c>
      <c r="F32" s="13" t="n">
        <v>1</v>
      </c>
    </row>
    <row r="33">
      <c r="A33" s="13" t="inlineStr">
        <is>
          <t>P029</t>
        </is>
      </c>
      <c r="B33" s="15" t="inlineStr">
        <is>
          <t>Steve Novick, Julia Brim-Edwards</t>
        </is>
      </c>
      <c r="C33" s="13" t="n">
        <v>2</v>
      </c>
      <c r="D33" s="15" t="inlineStr">
        <is>
          <t>Friends of Vadim; Portland Accountability PAC</t>
        </is>
      </c>
      <c r="E33" s="13" t="inlineStr">
        <is>
          <t>C215</t>
        </is>
      </c>
      <c r="F33" s="13" t="n">
        <v>1</v>
      </c>
    </row>
    <row r="34">
      <c r="A34" s="13" t="inlineStr">
        <is>
          <t>P030</t>
        </is>
      </c>
      <c r="B34" s="15" t="inlineStr">
        <is>
          <t>Kellie Torres, Steve Novick, Julia Brim-Edwards</t>
        </is>
      </c>
      <c r="C34" s="13" t="n">
        <v>3</v>
      </c>
      <c r="D34" s="15" t="inlineStr">
        <is>
          <t>Friends of Vadim; Rene For Portland; Rene for Portland</t>
        </is>
      </c>
      <c r="E34" s="13" t="inlineStr">
        <is>
          <t>C212</t>
        </is>
      </c>
      <c r="F34" s="13" t="n">
        <v>1</v>
      </c>
    </row>
    <row r="35">
      <c r="A35" s="13" t="inlineStr">
        <is>
          <t>P031</t>
        </is>
      </c>
      <c r="B35" s="15" t="inlineStr">
        <is>
          <t>Steve Novick</t>
        </is>
      </c>
      <c r="C35" s="13" t="n">
        <v>1</v>
      </c>
      <c r="D35" s="15" t="inlineStr">
        <is>
          <t>Portland Accountability PAC</t>
        </is>
      </c>
      <c r="E35" s="13" t="inlineStr">
        <is>
          <t>C277</t>
        </is>
      </c>
      <c r="F35" s="13" t="n">
        <v>1</v>
      </c>
    </row>
    <row r="36">
      <c r="A36" s="13" t="inlineStr">
        <is>
          <t>P032</t>
        </is>
      </c>
      <c r="B36" s="15" t="inlineStr">
        <is>
          <t>Steve Novick, Eric Zimmerman</t>
        </is>
      </c>
      <c r="C36" s="13" t="n">
        <v>2</v>
      </c>
      <c r="D36" s="15" t="inlineStr">
        <is>
          <t>Portland Accountability PAC</t>
        </is>
      </c>
      <c r="E36" s="13" t="inlineStr">
        <is>
          <t>C272</t>
        </is>
      </c>
      <c r="F36" s="13" t="n">
        <v>1</v>
      </c>
    </row>
    <row r="37">
      <c r="A37" s="13" t="inlineStr">
        <is>
          <t>P033</t>
        </is>
      </c>
      <c r="B37" s="15" t="inlineStr">
        <is>
          <t>Steve Novick</t>
        </is>
      </c>
      <c r="C37" s="13" t="n">
        <v>1</v>
      </c>
      <c r="D37" s="15" t="inlineStr">
        <is>
          <t>Friends of Sam Adams</t>
        </is>
      </c>
      <c r="E37" s="13" t="inlineStr">
        <is>
          <t>C070</t>
        </is>
      </c>
      <c r="F37" s="13" t="n">
        <v>1</v>
      </c>
    </row>
    <row r="38">
      <c r="A38" s="13" t="inlineStr">
        <is>
          <t>P034</t>
        </is>
      </c>
      <c r="B38" s="15" t="inlineStr">
        <is>
          <t>Kellie Torres, Steve Novick</t>
        </is>
      </c>
      <c r="C38" s="13" t="n">
        <v>2</v>
      </c>
      <c r="D38" s="15" t="inlineStr">
        <is>
          <t>Friends of Sam Adams; Friends of Vadim</t>
        </is>
      </c>
      <c r="E38" s="13" t="inlineStr">
        <is>
          <t>C063</t>
        </is>
      </c>
      <c r="F38" s="13" t="n">
        <v>1</v>
      </c>
    </row>
    <row r="39">
      <c r="A39" s="13" t="inlineStr">
        <is>
          <t>P035</t>
        </is>
      </c>
      <c r="B39" s="15" t="inlineStr">
        <is>
          <t>Steve Novick</t>
        </is>
      </c>
      <c r="C39" s="13" t="n">
        <v>1</v>
      </c>
      <c r="D39" s="15" t="inlineStr">
        <is>
          <t>Vote Vasquez</t>
        </is>
      </c>
      <c r="E39" s="13" t="inlineStr">
        <is>
          <t>C309</t>
        </is>
      </c>
      <c r="F39" s="13" t="n">
        <v>1</v>
      </c>
    </row>
    <row r="40">
      <c r="A40" s="13" t="inlineStr">
        <is>
          <t>P036</t>
        </is>
      </c>
      <c r="B40" s="15" t="inlineStr">
        <is>
          <t>Steve Novick</t>
        </is>
      </c>
      <c r="C40" s="13" t="n">
        <v>1</v>
      </c>
      <c r="D40" s="15" t="inlineStr">
        <is>
          <t>Friends of Pam Treece</t>
        </is>
      </c>
      <c r="E40" s="13" t="inlineStr">
        <is>
          <t>C023</t>
        </is>
      </c>
      <c r="F40" s="13" t="n">
        <v>1</v>
      </c>
    </row>
    <row r="41">
      <c r="A41" s="13" t="inlineStr">
        <is>
          <t>P037</t>
        </is>
      </c>
      <c r="B41" s="15" t="inlineStr">
        <is>
          <t>Steve Novick, Olivia Clark, Eric Zimmerman, Eli Arnold, Julia Brim-Edwards</t>
        </is>
      </c>
      <c r="C41" s="13" t="n">
        <v>5</v>
      </c>
      <c r="D41" s="15" t="inlineStr">
        <is>
          <t>Portland Accountability PAC</t>
        </is>
      </c>
      <c r="E41" s="13" t="inlineStr">
        <is>
          <t>C271</t>
        </is>
      </c>
      <c r="F41" s="13" t="n">
        <v>1</v>
      </c>
    </row>
    <row r="42">
      <c r="A42" s="13" t="inlineStr">
        <is>
          <t>P038</t>
        </is>
      </c>
      <c r="B42" s="15" t="inlineStr">
        <is>
          <t>Steve Novick</t>
        </is>
      </c>
      <c r="C42" s="13" t="n">
        <v>1</v>
      </c>
      <c r="D42" s="15" t="inlineStr">
        <is>
          <t>Vote Vasquez</t>
        </is>
      </c>
      <c r="E42" s="13" t="inlineStr">
        <is>
          <t>C310</t>
        </is>
      </c>
      <c r="F42" s="13" t="n">
        <v>1</v>
      </c>
    </row>
    <row r="43">
      <c r="A43" s="13" t="inlineStr">
        <is>
          <t>P039</t>
        </is>
      </c>
      <c r="B43" s="15" t="inlineStr">
        <is>
          <t>Kellie Torres, Steve Novick, Olivia Clark</t>
        </is>
      </c>
      <c r="C43" s="13" t="n">
        <v>3</v>
      </c>
      <c r="D43" s="15" t="inlineStr">
        <is>
          <t>Friends of Sam Adams; Friends of Vadim</t>
        </is>
      </c>
      <c r="E43" s="13" t="inlineStr">
        <is>
          <t>C035, C205</t>
        </is>
      </c>
      <c r="F43" s="13" t="n">
        <v>2</v>
      </c>
    </row>
    <row r="44">
      <c r="A44" s="13" t="inlineStr">
        <is>
          <t>P040</t>
        </is>
      </c>
      <c r="B44" s="15" t="inlineStr">
        <is>
          <t>Steve Novick, Julia Brim-Edwards</t>
        </is>
      </c>
      <c r="C44" s="13" t="n">
        <v>2</v>
      </c>
      <c r="D44" s="15" t="inlineStr">
        <is>
          <t>Friends of Sam Adams</t>
        </is>
      </c>
      <c r="E44" s="13" t="inlineStr">
        <is>
          <t>C066</t>
        </is>
      </c>
      <c r="F44" s="13" t="n">
        <v>1</v>
      </c>
    </row>
    <row r="45">
      <c r="A45" s="13" t="inlineStr">
        <is>
          <t>P041</t>
        </is>
      </c>
      <c r="B45" s="15" t="inlineStr">
        <is>
          <t>Steve Novick, Olivia Clark, Eric Zimmerman, Julia Brim-Edwards</t>
        </is>
      </c>
      <c r="C45" s="13" t="n">
        <v>4</v>
      </c>
      <c r="D45" s="15" t="inlineStr">
        <is>
          <t>Friends of Sam Adams; Friends of Vadim; Rene For Portland</t>
        </is>
      </c>
      <c r="E45" s="13" t="inlineStr">
        <is>
          <t>C202</t>
        </is>
      </c>
      <c r="F45" s="13" t="n">
        <v>1</v>
      </c>
    </row>
    <row r="46">
      <c r="A46" s="13" t="inlineStr">
        <is>
          <t>P042</t>
        </is>
      </c>
      <c r="B46" s="15" t="inlineStr">
        <is>
          <t>Steve Novick, Olivia Clark</t>
        </is>
      </c>
      <c r="C46" s="13" t="n">
        <v>2</v>
      </c>
      <c r="D46" s="15" t="inlineStr">
        <is>
          <t>Friends of Pam Treece</t>
        </is>
      </c>
      <c r="E46" s="13" t="inlineStr">
        <is>
          <t>C008</t>
        </is>
      </c>
      <c r="F46" s="13" t="n">
        <v>1</v>
      </c>
    </row>
    <row r="47">
      <c r="A47" s="13" t="inlineStr">
        <is>
          <t>P043</t>
        </is>
      </c>
      <c r="B47" s="15" t="inlineStr">
        <is>
          <t>Steve Novick</t>
        </is>
      </c>
      <c r="C47" s="13" t="n">
        <v>1</v>
      </c>
      <c r="D47" s="15" t="inlineStr">
        <is>
          <t>Friends of Sam Adams</t>
        </is>
      </c>
      <c r="E47" s="13" t="inlineStr">
        <is>
          <t>C054</t>
        </is>
      </c>
      <c r="F47" s="13" t="n">
        <v>1</v>
      </c>
    </row>
    <row r="48">
      <c r="A48" s="13" t="inlineStr">
        <is>
          <t>P044</t>
        </is>
      </c>
      <c r="B48" s="15" t="inlineStr">
        <is>
          <t>Steve Novick</t>
        </is>
      </c>
      <c r="C48" s="13" t="n">
        <v>1</v>
      </c>
      <c r="D48" s="15" t="inlineStr">
        <is>
          <t>Friends of Sam Adams</t>
        </is>
      </c>
      <c r="E48" s="13" t="inlineStr">
        <is>
          <t>C040</t>
        </is>
      </c>
      <c r="F48" s="13" t="n">
        <v>1</v>
      </c>
    </row>
    <row r="49">
      <c r="A49" s="13" t="inlineStr">
        <is>
          <t>P045</t>
        </is>
      </c>
      <c r="B49" s="15" t="inlineStr">
        <is>
          <t>Steve Novick</t>
        </is>
      </c>
      <c r="C49" s="13" t="n">
        <v>1</v>
      </c>
      <c r="D49" s="15" t="inlineStr">
        <is>
          <t>Friends of Sam Adams; Vote Vasquez</t>
        </is>
      </c>
      <c r="E49" s="13" t="inlineStr">
        <is>
          <t>C039</t>
        </is>
      </c>
      <c r="F49" s="13" t="n">
        <v>1</v>
      </c>
    </row>
    <row r="50">
      <c r="A50" s="13" t="inlineStr">
        <is>
          <t>P046</t>
        </is>
      </c>
      <c r="B50" s="15" t="inlineStr">
        <is>
          <t>Steve Novick</t>
        </is>
      </c>
      <c r="C50" s="13" t="n">
        <v>1</v>
      </c>
      <c r="D50" s="15" t="inlineStr">
        <is>
          <t>Friends of Sam Adams</t>
        </is>
      </c>
      <c r="E50" s="13" t="inlineStr">
        <is>
          <t>C033</t>
        </is>
      </c>
      <c r="F50" s="13" t="n">
        <v>1</v>
      </c>
    </row>
    <row r="51">
      <c r="A51" s="13" t="inlineStr">
        <is>
          <t>P047</t>
        </is>
      </c>
      <c r="B51" s="15" t="inlineStr">
        <is>
          <t>Steve Novick</t>
        </is>
      </c>
      <c r="C51" s="13" t="n">
        <v>1</v>
      </c>
      <c r="D51" s="15" t="inlineStr">
        <is>
          <t>Friends of Vadim</t>
        </is>
      </c>
      <c r="E51" s="13" t="inlineStr">
        <is>
          <t>C204</t>
        </is>
      </c>
      <c r="F51" s="13" t="n">
        <v>1</v>
      </c>
    </row>
    <row r="52">
      <c r="A52" s="13" t="inlineStr">
        <is>
          <t>P048</t>
        </is>
      </c>
      <c r="B52" s="15" t="inlineStr">
        <is>
          <t>Steve Novick</t>
        </is>
      </c>
      <c r="C52" s="13" t="n">
        <v>1</v>
      </c>
      <c r="D52" s="15" t="inlineStr">
        <is>
          <t>Friends of Sam Adams</t>
        </is>
      </c>
      <c r="E52" s="13" t="inlineStr">
        <is>
          <t>C029</t>
        </is>
      </c>
      <c r="F52" s="13" t="n">
        <v>1</v>
      </c>
    </row>
    <row r="53">
      <c r="A53" s="13" t="inlineStr">
        <is>
          <t>P049</t>
        </is>
      </c>
      <c r="B53" s="15" t="inlineStr">
        <is>
          <t>Steve Novick, Olivia Clark</t>
        </is>
      </c>
      <c r="C53" s="13" t="n">
        <v>2</v>
      </c>
      <c r="D53" s="15" t="inlineStr">
        <is>
          <t>Friends of Pam Treece; Rene For Portland</t>
        </is>
      </c>
      <c r="E53" s="13" t="inlineStr">
        <is>
          <t>C128</t>
        </is>
      </c>
      <c r="F53" s="13" t="n">
        <v>1</v>
      </c>
    </row>
    <row r="54">
      <c r="A54" s="13" t="inlineStr">
        <is>
          <t>P050</t>
        </is>
      </c>
      <c r="B54" s="15" t="inlineStr">
        <is>
          <t>Kellie Torres, Steve Novick, Olivia Clark, Eric Zimmerman, Julia Brim-Edwards</t>
        </is>
      </c>
      <c r="C54" s="13" t="n">
        <v>5</v>
      </c>
      <c r="D54" s="15" t="inlineStr">
        <is>
          <t>Friends of Vadim</t>
        </is>
      </c>
      <c r="E54" s="13" t="inlineStr">
        <is>
          <t>C241</t>
        </is>
      </c>
      <c r="F54" s="13" t="n">
        <v>1</v>
      </c>
    </row>
    <row r="55">
      <c r="A55" s="13" t="inlineStr">
        <is>
          <t>P051</t>
        </is>
      </c>
      <c r="B55" s="15" t="inlineStr">
        <is>
          <t>Kellie Torres, Steve Novick, Eric Zimmerman, Eli Arnold, Julia Brim-Edwards</t>
        </is>
      </c>
      <c r="C55" s="13" t="n">
        <v>5</v>
      </c>
      <c r="D55" s="15" t="inlineStr">
        <is>
          <t>Friends of Vadim; Rene For Portland</t>
        </is>
      </c>
      <c r="E55" s="13" t="inlineStr">
        <is>
          <t>C227</t>
        </is>
      </c>
      <c r="F55" s="13" t="n">
        <v>1</v>
      </c>
    </row>
    <row r="56">
      <c r="A56" s="13" t="inlineStr">
        <is>
          <t>P052</t>
        </is>
      </c>
      <c r="B56" s="15" t="inlineStr">
        <is>
          <t>Kellie Torres, Steve Novick, Olivia Clark, Eric Zimmerman</t>
        </is>
      </c>
      <c r="C56" s="13" t="n">
        <v>4</v>
      </c>
      <c r="D56" s="15" t="inlineStr">
        <is>
          <t>Rene For Portland</t>
        </is>
      </c>
      <c r="E56" s="13" t="inlineStr">
        <is>
          <t>C087</t>
        </is>
      </c>
      <c r="F56" s="13" t="n">
        <v>1</v>
      </c>
    </row>
    <row r="57">
      <c r="A57" s="13" t="inlineStr">
        <is>
          <t>P053</t>
        </is>
      </c>
      <c r="B57" s="15" t="inlineStr">
        <is>
          <t>Steve Novick, Olivia Clark, Eric Zimmerman, Eli Arnold</t>
        </is>
      </c>
      <c r="C57" s="13" t="n">
        <v>4</v>
      </c>
      <c r="D57" s="15" t="inlineStr">
        <is>
          <t>Friends of Vadim</t>
        </is>
      </c>
      <c r="E57" s="13" t="inlineStr">
        <is>
          <t>C196</t>
        </is>
      </c>
      <c r="F57" s="13" t="n">
        <v>1</v>
      </c>
    </row>
    <row r="58">
      <c r="A58" s="13" t="inlineStr">
        <is>
          <t>P054</t>
        </is>
      </c>
      <c r="B58" s="15" t="inlineStr">
        <is>
          <t>Kellie Torres, Steve Novick, Eric Zimmerman</t>
        </is>
      </c>
      <c r="C58" s="13" t="n">
        <v>3</v>
      </c>
      <c r="D58" s="15" t="inlineStr">
        <is>
          <t>Friends of Vadim; Rene For Portland</t>
        </is>
      </c>
      <c r="E58" s="13" t="inlineStr">
        <is>
          <t>C244</t>
        </is>
      </c>
      <c r="F58" s="13" t="n">
        <v>1</v>
      </c>
    </row>
    <row r="59">
      <c r="A59" s="13" t="inlineStr">
        <is>
          <t>P055</t>
        </is>
      </c>
      <c r="B59" s="15" t="inlineStr">
        <is>
          <t>Kellie Torres, Steve Novick, Olivia Clark, Eric Zimmerman, Julia Brim-Edwards</t>
        </is>
      </c>
      <c r="C59" s="13" t="n">
        <v>5</v>
      </c>
      <c r="D59" s="15" t="inlineStr">
        <is>
          <t>Friends of Sam Adams; Friends of Vadim; Rene for Portland</t>
        </is>
      </c>
      <c r="E59" s="13" t="inlineStr">
        <is>
          <t>C167</t>
        </is>
      </c>
      <c r="F59" s="13" t="n">
        <v>1</v>
      </c>
    </row>
    <row r="60">
      <c r="A60" s="13" t="inlineStr">
        <is>
          <t>P056</t>
        </is>
      </c>
      <c r="B60" s="15" t="inlineStr">
        <is>
          <t>Kellie Torres, Eric Zimmerman</t>
        </is>
      </c>
      <c r="C60" s="13" t="n">
        <v>2</v>
      </c>
      <c r="D60" s="15" t="inlineStr">
        <is>
          <t>Friends of Sam Adams; Rene for Portland; Vote Vasquez</t>
        </is>
      </c>
      <c r="E60" s="13" t="inlineStr">
        <is>
          <t>C027</t>
        </is>
      </c>
      <c r="F60" s="13" t="n">
        <v>1</v>
      </c>
    </row>
    <row r="61">
      <c r="A61" s="13" t="inlineStr">
        <is>
          <t>P057</t>
        </is>
      </c>
      <c r="B61" s="15" t="inlineStr">
        <is>
          <t>Eric Zimmerman, Eli Arnold</t>
        </is>
      </c>
      <c r="C61" s="13" t="n">
        <v>2</v>
      </c>
      <c r="D61" s="15" t="inlineStr">
        <is>
          <t>Friends of Vadim; Rene For Portland; Rene for Portland; Vote Vasquez</t>
        </is>
      </c>
      <c r="E61" s="13" t="inlineStr">
        <is>
          <t>C130</t>
        </is>
      </c>
      <c r="F61" s="13" t="n">
        <v>1</v>
      </c>
    </row>
    <row r="62">
      <c r="A62" s="13" t="inlineStr">
        <is>
          <t>P058</t>
        </is>
      </c>
      <c r="B62" s="15" t="inlineStr">
        <is>
          <t>Eric Zimmerman</t>
        </is>
      </c>
      <c r="C62" s="13" t="n">
        <v>1</v>
      </c>
      <c r="D62" s="15" t="inlineStr">
        <is>
          <t>Vote Vasquez</t>
        </is>
      </c>
      <c r="E62" s="13" t="inlineStr">
        <is>
          <t>C302</t>
        </is>
      </c>
      <c r="F62" s="13" t="n">
        <v>1</v>
      </c>
    </row>
    <row r="63">
      <c r="A63" s="13" t="inlineStr">
        <is>
          <t>P059</t>
        </is>
      </c>
      <c r="B63" s="15" t="inlineStr">
        <is>
          <t>Eric Zimmerman</t>
        </is>
      </c>
      <c r="C63" s="13" t="n">
        <v>1</v>
      </c>
      <c r="D63" s="15" t="inlineStr">
        <is>
          <t>Rene For Portland</t>
        </is>
      </c>
      <c r="E63" s="13" t="inlineStr">
        <is>
          <t>C088</t>
        </is>
      </c>
      <c r="F63" s="13" t="n">
        <v>1</v>
      </c>
    </row>
    <row r="64">
      <c r="A64" s="13" t="inlineStr">
        <is>
          <t>P060</t>
        </is>
      </c>
      <c r="B64" s="15" t="inlineStr">
        <is>
          <t>Eric Zimmerman</t>
        </is>
      </c>
      <c r="C64" s="13" t="n">
        <v>1</v>
      </c>
      <c r="D64" s="15" t="inlineStr">
        <is>
          <t>Rene for Portland</t>
        </is>
      </c>
      <c r="E64" s="13" t="inlineStr">
        <is>
          <t>C181</t>
        </is>
      </c>
      <c r="F64" s="13" t="n">
        <v>1</v>
      </c>
    </row>
    <row r="65">
      <c r="A65" s="13" t="inlineStr">
        <is>
          <t>P061</t>
        </is>
      </c>
      <c r="B65" s="15" t="inlineStr">
        <is>
          <t>Eric Zimmerman</t>
        </is>
      </c>
      <c r="C65" s="13" t="n">
        <v>1</v>
      </c>
      <c r="D65" s="15" t="inlineStr">
        <is>
          <t>Friends of Sam Adams</t>
        </is>
      </c>
      <c r="E65" s="13" t="inlineStr">
        <is>
          <t>C045</t>
        </is>
      </c>
      <c r="F65" s="13" t="n">
        <v>1</v>
      </c>
    </row>
    <row r="66">
      <c r="A66" s="13" t="inlineStr">
        <is>
          <t>P062</t>
        </is>
      </c>
      <c r="B66" s="15" t="inlineStr">
        <is>
          <t>Eric Zimmerman</t>
        </is>
      </c>
      <c r="C66" s="13" t="n">
        <v>1</v>
      </c>
      <c r="D66" s="15" t="inlineStr">
        <is>
          <t>Friends of Sam Adams</t>
        </is>
      </c>
      <c r="E66" s="13" t="inlineStr">
        <is>
          <t>C044</t>
        </is>
      </c>
      <c r="F66" s="13" t="n">
        <v>1</v>
      </c>
    </row>
    <row r="67">
      <c r="A67" s="13" t="inlineStr">
        <is>
          <t>P063</t>
        </is>
      </c>
      <c r="B67" s="15" t="inlineStr">
        <is>
          <t>Eric Zimmerman, Julia Brim-Edwards</t>
        </is>
      </c>
      <c r="C67" s="13" t="n">
        <v>2</v>
      </c>
      <c r="D67" s="15" t="inlineStr">
        <is>
          <t>Friends of Sam Adams; Friends of Vadim; Portland Accountability PAC; Rene For Portland; Rene for Portland</t>
        </is>
      </c>
      <c r="E67" s="13" t="inlineStr">
        <is>
          <t>C106, C107</t>
        </is>
      </c>
      <c r="F67" s="13" t="n">
        <v>2</v>
      </c>
    </row>
    <row r="68">
      <c r="A68" s="13" t="inlineStr">
        <is>
          <t>P064</t>
        </is>
      </c>
      <c r="B68" s="15" t="inlineStr">
        <is>
          <t>Olivia Clark, Eric Zimmerman, Julia Brim-Edwards</t>
        </is>
      </c>
      <c r="C68" s="13" t="n">
        <v>3</v>
      </c>
      <c r="D68" s="15" t="inlineStr">
        <is>
          <t>Friends of Sam Adams; Friends of Vadim; Portland Accountability PAC; Rene for Portland; Vote Vasquez</t>
        </is>
      </c>
      <c r="E68" s="13" t="inlineStr">
        <is>
          <t>C276</t>
        </is>
      </c>
      <c r="F68" s="13" t="n">
        <v>1</v>
      </c>
    </row>
    <row r="69">
      <c r="A69" s="13" t="inlineStr">
        <is>
          <t>P065</t>
        </is>
      </c>
      <c r="B69" s="15" t="inlineStr">
        <is>
          <t>Olivia Clark, Eric Zimmerman, Julia Brim-Edwards</t>
        </is>
      </c>
      <c r="C69" s="13" t="n">
        <v>3</v>
      </c>
      <c r="D69" s="15" t="inlineStr">
        <is>
          <t>Friends of Vadim</t>
        </is>
      </c>
      <c r="E69" s="13" t="inlineStr">
        <is>
          <t>C249</t>
        </is>
      </c>
      <c r="F69" s="13" t="n">
        <v>1</v>
      </c>
    </row>
    <row r="70">
      <c r="A70" s="13" t="inlineStr">
        <is>
          <t>P066</t>
        </is>
      </c>
      <c r="B70" s="15" t="inlineStr">
        <is>
          <t>Eric Zimmerman, Eli Arnold</t>
        </is>
      </c>
      <c r="C70" s="13" t="n">
        <v>2</v>
      </c>
      <c r="D70" s="15" t="inlineStr">
        <is>
          <t>Rene For Portland; Rene for Portland</t>
        </is>
      </c>
      <c r="E70" s="13" t="inlineStr">
        <is>
          <t>C148</t>
        </is>
      </c>
      <c r="F70" s="13" t="n">
        <v>1</v>
      </c>
    </row>
    <row r="71">
      <c r="A71" s="13" t="inlineStr">
        <is>
          <t>P067</t>
        </is>
      </c>
      <c r="B71" s="15" t="inlineStr">
        <is>
          <t>Eric Zimmerman</t>
        </is>
      </c>
      <c r="C71" s="13" t="n">
        <v>1</v>
      </c>
      <c r="D71" s="15" t="inlineStr">
        <is>
          <t>Friends of Sam Adams</t>
        </is>
      </c>
      <c r="E71" s="13" t="inlineStr">
        <is>
          <t>C026</t>
        </is>
      </c>
      <c r="F71" s="13" t="n">
        <v>1</v>
      </c>
    </row>
    <row r="72">
      <c r="A72" s="13" t="inlineStr">
        <is>
          <t>P068</t>
        </is>
      </c>
      <c r="B72" s="15" t="inlineStr">
        <is>
          <t>Eric Zimmerman</t>
        </is>
      </c>
      <c r="C72" s="13" t="n">
        <v>1</v>
      </c>
      <c r="D72" s="15" t="inlineStr">
        <is>
          <t>Friends of Vadim; Rene For Portland</t>
        </is>
      </c>
      <c r="E72" s="13" t="inlineStr">
        <is>
          <t>C223</t>
        </is>
      </c>
      <c r="F72" s="13" t="n">
        <v>1</v>
      </c>
    </row>
    <row r="73">
      <c r="A73" s="13" t="inlineStr">
        <is>
          <t>P069</t>
        </is>
      </c>
      <c r="B73" s="15" t="inlineStr">
        <is>
          <t>Eric Zimmerman</t>
        </is>
      </c>
      <c r="C73" s="13" t="n">
        <v>1</v>
      </c>
      <c r="D73" s="15" t="inlineStr">
        <is>
          <t>Friends of Vadim; Rene For Portland; Rene for Portland; Vote Vasquez</t>
        </is>
      </c>
      <c r="E73" s="13" t="inlineStr">
        <is>
          <t>C194</t>
        </is>
      </c>
      <c r="F73" s="13" t="n">
        <v>1</v>
      </c>
    </row>
    <row r="74">
      <c r="A74" s="13" t="inlineStr">
        <is>
          <t>P070</t>
        </is>
      </c>
      <c r="B74" s="15" t="inlineStr">
        <is>
          <t>Eric Zimmerman</t>
        </is>
      </c>
      <c r="C74" s="13" t="n">
        <v>1</v>
      </c>
      <c r="D74" s="15" t="inlineStr">
        <is>
          <t>Friends of Sam Adams; Friends of Vadim; Rene For Portland</t>
        </is>
      </c>
      <c r="E74" s="13" t="inlineStr">
        <is>
          <t>C132, C192</t>
        </is>
      </c>
      <c r="F74" s="13" t="n">
        <v>2</v>
      </c>
    </row>
    <row r="75">
      <c r="A75" s="13" t="inlineStr">
        <is>
          <t>P071</t>
        </is>
      </c>
      <c r="B75" s="15" t="inlineStr">
        <is>
          <t>Olivia Clark, Eric Zimmerman, Eli Arnold, Julia Brim-Edwards</t>
        </is>
      </c>
      <c r="C75" s="13" t="n">
        <v>4</v>
      </c>
      <c r="D75" s="15" t="inlineStr">
        <is>
          <t>Rene For Portland</t>
        </is>
      </c>
      <c r="E75" s="13" t="inlineStr">
        <is>
          <t>C153</t>
        </is>
      </c>
      <c r="F75" s="13" t="n">
        <v>1</v>
      </c>
    </row>
    <row r="76">
      <c r="A76" s="13" t="inlineStr">
        <is>
          <t>P072</t>
        </is>
      </c>
      <c r="B76" s="15" t="inlineStr">
        <is>
          <t>Eric Zimmerman, Julia Brim-Edwards</t>
        </is>
      </c>
      <c r="C76" s="13" t="n">
        <v>2</v>
      </c>
      <c r="D76" s="15" t="inlineStr">
        <is>
          <t>Friends of Sam Adams; Friends of Vadim; Rene For Portland; Rene for Portland</t>
        </is>
      </c>
      <c r="E76" s="13" t="inlineStr">
        <is>
          <t>C224</t>
        </is>
      </c>
      <c r="F76" s="13" t="n">
        <v>1</v>
      </c>
    </row>
    <row r="77">
      <c r="A77" s="13" t="inlineStr">
        <is>
          <t>P073</t>
        </is>
      </c>
      <c r="B77" s="15" t="inlineStr">
        <is>
          <t>Eric Zimmerman, Eli Arnold</t>
        </is>
      </c>
      <c r="C77" s="13" t="n">
        <v>2</v>
      </c>
      <c r="D77" s="15" t="inlineStr">
        <is>
          <t>Rene For Portland; Rene for Portland</t>
        </is>
      </c>
      <c r="E77" s="13" t="inlineStr">
        <is>
          <t>C104</t>
        </is>
      </c>
      <c r="F77" s="13" t="n">
        <v>1</v>
      </c>
    </row>
    <row r="78">
      <c r="A78" s="13" t="inlineStr">
        <is>
          <t>P074</t>
        </is>
      </c>
      <c r="B78" s="15" t="inlineStr">
        <is>
          <t>Eric Zimmerman</t>
        </is>
      </c>
      <c r="C78" s="13" t="n">
        <v>1</v>
      </c>
      <c r="D78" s="15" t="inlineStr">
        <is>
          <t>Rene For Portland</t>
        </is>
      </c>
      <c r="E78" s="13" t="inlineStr">
        <is>
          <t>C163</t>
        </is>
      </c>
      <c r="F78" s="13" t="n">
        <v>1</v>
      </c>
    </row>
    <row r="79">
      <c r="A79" s="13" t="inlineStr">
        <is>
          <t>P075</t>
        </is>
      </c>
      <c r="B79" s="15" t="inlineStr">
        <is>
          <t>Eric Zimmerman, Julia Brim-Edwards</t>
        </is>
      </c>
      <c r="C79" s="13" t="n">
        <v>2</v>
      </c>
      <c r="D79" s="15" t="inlineStr">
        <is>
          <t>Friends of Sam Adams</t>
        </is>
      </c>
      <c r="E79" s="13" t="inlineStr">
        <is>
          <t>C060</t>
        </is>
      </c>
      <c r="F79" s="13" t="n">
        <v>1</v>
      </c>
    </row>
    <row r="80">
      <c r="A80" s="13" t="inlineStr">
        <is>
          <t>P076</t>
        </is>
      </c>
      <c r="B80" s="15" t="inlineStr">
        <is>
          <t>Eric Zimmerman</t>
        </is>
      </c>
      <c r="C80" s="13" t="n">
        <v>1</v>
      </c>
      <c r="D80" s="15" t="inlineStr">
        <is>
          <t>Rene For Portland</t>
        </is>
      </c>
      <c r="E80" s="13" t="inlineStr">
        <is>
          <t>C138</t>
        </is>
      </c>
      <c r="F80" s="13" t="n">
        <v>1</v>
      </c>
    </row>
    <row r="81">
      <c r="A81" s="13" t="inlineStr">
        <is>
          <t>P077</t>
        </is>
      </c>
      <c r="B81" s="15" t="inlineStr">
        <is>
          <t>Eric Zimmerman</t>
        </is>
      </c>
      <c r="C81" s="13" t="n">
        <v>1</v>
      </c>
      <c r="D81" s="15" t="inlineStr">
        <is>
          <t>Friends of Pam Treece; Friends of Sam Adams</t>
        </is>
      </c>
      <c r="E81" s="13" t="inlineStr">
        <is>
          <t>C072</t>
        </is>
      </c>
      <c r="F81" s="13" t="n">
        <v>1</v>
      </c>
    </row>
    <row r="82">
      <c r="A82" s="13" t="inlineStr">
        <is>
          <t>P078</t>
        </is>
      </c>
      <c r="B82" s="15" t="inlineStr">
        <is>
          <t>Eric Zimmerman</t>
        </is>
      </c>
      <c r="C82" s="13" t="n">
        <v>1</v>
      </c>
      <c r="D82" s="15" t="inlineStr">
        <is>
          <t>Friends of Rene Gonzalez; Rene for Portland</t>
        </is>
      </c>
      <c r="E82" s="13" t="inlineStr">
        <is>
          <t>C182</t>
        </is>
      </c>
      <c r="F82" s="13" t="n">
        <v>1</v>
      </c>
    </row>
    <row r="83">
      <c r="A83" s="13" t="inlineStr">
        <is>
          <t>P079</t>
        </is>
      </c>
      <c r="B83" s="15" t="inlineStr">
        <is>
          <t>Kellie Torres, Olivia Clark, Eric Zimmerman</t>
        </is>
      </c>
      <c r="C83" s="13" t="n">
        <v>3</v>
      </c>
      <c r="D83" s="15" t="inlineStr">
        <is>
          <t>Friends of Sam Adams</t>
        </is>
      </c>
      <c r="E83" s="13" t="inlineStr">
        <is>
          <t>C049</t>
        </is>
      </c>
      <c r="F83" s="13" t="n">
        <v>1</v>
      </c>
    </row>
    <row r="84">
      <c r="A84" s="13" t="inlineStr">
        <is>
          <t>P080</t>
        </is>
      </c>
      <c r="B84" s="15" t="inlineStr">
        <is>
          <t>Kellie Torres, Olivia Clark, Eric Zimmerman</t>
        </is>
      </c>
      <c r="C84" s="13" t="n">
        <v>3</v>
      </c>
      <c r="D84" s="15" t="inlineStr">
        <is>
          <t>Friends of Sam Adams; Rene For Portland; Vote Vasquez</t>
        </is>
      </c>
      <c r="E84" s="13" t="inlineStr">
        <is>
          <t>C091</t>
        </is>
      </c>
      <c r="F84" s="13" t="n">
        <v>1</v>
      </c>
    </row>
    <row r="85">
      <c r="A85" s="13" t="inlineStr">
        <is>
          <t>P081</t>
        </is>
      </c>
      <c r="B85" s="15" t="inlineStr">
        <is>
          <t>Eric Zimmerman</t>
        </is>
      </c>
      <c r="C85" s="13" t="n">
        <v>1</v>
      </c>
      <c r="D85" s="15" t="inlineStr">
        <is>
          <t>Friends of Pam Treece</t>
        </is>
      </c>
      <c r="E85" s="13" t="inlineStr">
        <is>
          <t>C015</t>
        </is>
      </c>
      <c r="F85" s="13" t="n">
        <v>1</v>
      </c>
    </row>
    <row r="86">
      <c r="A86" s="13" t="inlineStr">
        <is>
          <t>P082</t>
        </is>
      </c>
      <c r="B86" s="15" t="inlineStr">
        <is>
          <t>Eric Zimmerman</t>
        </is>
      </c>
      <c r="C86" s="13" t="n">
        <v>1</v>
      </c>
      <c r="D86" s="15" t="inlineStr">
        <is>
          <t>Friends of Vadim</t>
        </is>
      </c>
      <c r="E86" s="13" t="inlineStr">
        <is>
          <t>C197</t>
        </is>
      </c>
      <c r="F86" s="13" t="n">
        <v>1</v>
      </c>
    </row>
    <row r="87">
      <c r="A87" s="13" t="inlineStr">
        <is>
          <t>P083</t>
        </is>
      </c>
      <c r="B87" s="15" t="inlineStr">
        <is>
          <t>Eric Zimmerman</t>
        </is>
      </c>
      <c r="C87" s="13" t="n">
        <v>1</v>
      </c>
      <c r="D87" s="15" t="inlineStr">
        <is>
          <t>Rene For Portland; Rene for Portland</t>
        </is>
      </c>
      <c r="E87" s="13" t="inlineStr">
        <is>
          <t>C083, C108</t>
        </is>
      </c>
      <c r="F87" s="13" t="n">
        <v>2</v>
      </c>
    </row>
    <row r="88">
      <c r="A88" s="13" t="inlineStr">
        <is>
          <t>P084</t>
        </is>
      </c>
      <c r="B88" s="15" t="inlineStr">
        <is>
          <t>Eric Zimmerman</t>
        </is>
      </c>
      <c r="C88" s="13" t="n">
        <v>1</v>
      </c>
      <c r="D88" s="15" t="inlineStr">
        <is>
          <t>Rene For Portland; Rene for Portland</t>
        </is>
      </c>
      <c r="E88" s="13" t="inlineStr">
        <is>
          <t>C095</t>
        </is>
      </c>
      <c r="F88" s="13" t="n">
        <v>1</v>
      </c>
    </row>
    <row r="89">
      <c r="A89" s="13" t="inlineStr">
        <is>
          <t>P085</t>
        </is>
      </c>
      <c r="B89" s="15" t="inlineStr">
        <is>
          <t>Eric Zimmerman</t>
        </is>
      </c>
      <c r="C89" s="13" t="n">
        <v>1</v>
      </c>
      <c r="D89" s="15" t="inlineStr">
        <is>
          <t>Friends of Pam Treece</t>
        </is>
      </c>
      <c r="E89" s="13" t="inlineStr">
        <is>
          <t>C019</t>
        </is>
      </c>
      <c r="F89" s="13" t="n">
        <v>1</v>
      </c>
    </row>
    <row r="90">
      <c r="A90" s="13" t="inlineStr">
        <is>
          <t>P086</t>
        </is>
      </c>
      <c r="B90" s="15" t="inlineStr">
        <is>
          <t>Eric Zimmerman, Julia Brim-Edwards</t>
        </is>
      </c>
      <c r="C90" s="13" t="n">
        <v>2</v>
      </c>
      <c r="D90" s="15" t="inlineStr">
        <is>
          <t>Friends of Sam Adams; Friends of Vadim; Rene For Portland</t>
        </is>
      </c>
      <c r="E90" s="13" t="inlineStr">
        <is>
          <t>C131</t>
        </is>
      </c>
      <c r="F90" s="13" t="n">
        <v>1</v>
      </c>
    </row>
    <row r="91">
      <c r="A91" s="13" t="inlineStr">
        <is>
          <t>P087</t>
        </is>
      </c>
      <c r="B91" s="15" t="inlineStr">
        <is>
          <t>Eric Zimmerman</t>
        </is>
      </c>
      <c r="C91" s="13" t="n">
        <v>1</v>
      </c>
      <c r="D91" s="15" t="inlineStr">
        <is>
          <t>Rene For Portland</t>
        </is>
      </c>
      <c r="E91" s="13" t="inlineStr">
        <is>
          <t>C160</t>
        </is>
      </c>
      <c r="F91" s="13" t="n">
        <v>1</v>
      </c>
    </row>
    <row r="92">
      <c r="A92" s="13" t="inlineStr">
        <is>
          <t>P088</t>
        </is>
      </c>
      <c r="B92" s="15" t="inlineStr">
        <is>
          <t>Eric Zimmerman, Eli Arnold, Julia Brim-Edwards</t>
        </is>
      </c>
      <c r="C92" s="13" t="n">
        <v>3</v>
      </c>
      <c r="D92" s="15" t="inlineStr">
        <is>
          <t>Friends of Vadim</t>
        </is>
      </c>
      <c r="E92" s="13" t="inlineStr">
        <is>
          <t>C207</t>
        </is>
      </c>
      <c r="F92" s="13" t="n">
        <v>1</v>
      </c>
    </row>
    <row r="93">
      <c r="A93" s="13" t="inlineStr">
        <is>
          <t>P089</t>
        </is>
      </c>
      <c r="B93" s="15" t="inlineStr">
        <is>
          <t>Eric Zimmerman, Eli Arnold</t>
        </is>
      </c>
      <c r="C93" s="13" t="n">
        <v>2</v>
      </c>
      <c r="D93" s="15" t="inlineStr">
        <is>
          <t>Friends of Sam Adams; Friends of Vadim</t>
        </is>
      </c>
      <c r="E93" s="13" t="inlineStr">
        <is>
          <t>C266</t>
        </is>
      </c>
      <c r="F93" s="13" t="n">
        <v>1</v>
      </c>
    </row>
    <row r="94">
      <c r="A94" s="13" t="inlineStr">
        <is>
          <t>P090</t>
        </is>
      </c>
      <c r="B94" s="15" t="inlineStr">
        <is>
          <t>Eric Zimmerman</t>
        </is>
      </c>
      <c r="C94" s="13" t="n">
        <v>1</v>
      </c>
      <c r="D94" s="15" t="inlineStr">
        <is>
          <t>Rene For Portland; Rene for Portland</t>
        </is>
      </c>
      <c r="E94" s="13" t="inlineStr">
        <is>
          <t>C152</t>
        </is>
      </c>
      <c r="F94" s="13" t="n">
        <v>1</v>
      </c>
    </row>
    <row r="95">
      <c r="A95" s="13" t="inlineStr">
        <is>
          <t>P091</t>
        </is>
      </c>
      <c r="B95" s="15" t="inlineStr">
        <is>
          <t>Eric Zimmerman</t>
        </is>
      </c>
      <c r="C95" s="13" t="n">
        <v>1</v>
      </c>
      <c r="D95" s="15" t="inlineStr">
        <is>
          <t>Friends of Vadim; Rene For Portland</t>
        </is>
      </c>
      <c r="E95" s="13" t="inlineStr">
        <is>
          <t>C096</t>
        </is>
      </c>
      <c r="F95" s="13" t="n">
        <v>1</v>
      </c>
    </row>
    <row r="96">
      <c r="A96" s="13" t="inlineStr">
        <is>
          <t>P092</t>
        </is>
      </c>
      <c r="B96" s="15" t="inlineStr">
        <is>
          <t>Kellie Torres, Olivia Clark, Eric Zimmerman, Eli Arnold, Julia Brim-Edwards</t>
        </is>
      </c>
      <c r="C96" s="13" t="n">
        <v>5</v>
      </c>
      <c r="D96" s="15" t="inlineStr">
        <is>
          <t>Friends of Sam Adams; Friends of Vadim; Portland Accountability PAC; Rene For Portland; Rene for Portland; Vote Vasquez</t>
        </is>
      </c>
      <c r="E96" s="13" t="inlineStr">
        <is>
          <t>C155</t>
        </is>
      </c>
      <c r="F96" s="13" t="n">
        <v>1</v>
      </c>
    </row>
    <row r="97">
      <c r="A97" s="13" t="inlineStr">
        <is>
          <t>P093</t>
        </is>
      </c>
      <c r="B97" s="15" t="inlineStr">
        <is>
          <t>Eric Zimmerman, Eli Arnold</t>
        </is>
      </c>
      <c r="C97" s="13" t="n">
        <v>2</v>
      </c>
      <c r="D97" s="15" t="inlineStr">
        <is>
          <t>Rene For Portland; Rene for Portland; Vote Vasquez</t>
        </is>
      </c>
      <c r="E97" s="13" t="inlineStr">
        <is>
          <t>C118, C134</t>
        </is>
      </c>
      <c r="F97" s="13" t="n">
        <v>2</v>
      </c>
    </row>
    <row r="98">
      <c r="A98" s="13" t="inlineStr">
        <is>
          <t>P094</t>
        </is>
      </c>
      <c r="B98" s="15" t="inlineStr">
        <is>
          <t>Eric Zimmerman, Julia Brim-Edwards</t>
        </is>
      </c>
      <c r="C98" s="13" t="n">
        <v>2</v>
      </c>
      <c r="D98" s="15" t="inlineStr">
        <is>
          <t>Vote Vasquez</t>
        </is>
      </c>
      <c r="E98" s="13" t="inlineStr">
        <is>
          <t>C301</t>
        </is>
      </c>
      <c r="F98" s="13" t="n">
        <v>1</v>
      </c>
    </row>
    <row r="99">
      <c r="A99" s="13" t="inlineStr">
        <is>
          <t>P095</t>
        </is>
      </c>
      <c r="B99" s="15" t="inlineStr">
        <is>
          <t>Eric Zimmerman</t>
        </is>
      </c>
      <c r="C99" s="13" t="n">
        <v>1</v>
      </c>
      <c r="D99" s="15" t="inlineStr">
        <is>
          <t>Rene For Portland; Rene for Portland</t>
        </is>
      </c>
      <c r="E99" s="13" t="inlineStr">
        <is>
          <t>C094</t>
        </is>
      </c>
      <c r="F99" s="13" t="n">
        <v>1</v>
      </c>
    </row>
    <row r="100">
      <c r="A100" s="13" t="inlineStr">
        <is>
          <t>P096</t>
        </is>
      </c>
      <c r="B100" s="15" t="inlineStr">
        <is>
          <t>Eric Zimmerman, Julia Brim-Edwards</t>
        </is>
      </c>
      <c r="C100" s="13" t="n">
        <v>2</v>
      </c>
      <c r="D100" s="15" t="inlineStr">
        <is>
          <t>Friends of Sam Adams; Friends of Vadim; Rene For Portland; Rene for Portland; Vote Vasquez</t>
        </is>
      </c>
      <c r="E100" s="13" t="inlineStr">
        <is>
          <t>C036</t>
        </is>
      </c>
      <c r="F100" s="13" t="n">
        <v>1</v>
      </c>
    </row>
    <row r="101">
      <c r="A101" s="13" t="inlineStr">
        <is>
          <t>P097</t>
        </is>
      </c>
      <c r="B101" s="15" t="inlineStr">
        <is>
          <t>Kellie Torres, Olivia Clark, Eric Zimmerman</t>
        </is>
      </c>
      <c r="C101" s="13" t="n">
        <v>3</v>
      </c>
      <c r="D101" s="15" t="inlineStr">
        <is>
          <t>Rene for Portland; Vote Vasquez</t>
        </is>
      </c>
      <c r="E101" s="13" t="inlineStr">
        <is>
          <t>C176</t>
        </is>
      </c>
      <c r="F101" s="13" t="n">
        <v>1</v>
      </c>
    </row>
    <row r="102">
      <c r="A102" s="13" t="inlineStr">
        <is>
          <t>P098</t>
        </is>
      </c>
      <c r="B102" s="15" t="inlineStr">
        <is>
          <t>Kellie Torres, Eric Zimmerman</t>
        </is>
      </c>
      <c r="C102" s="13" t="n">
        <v>2</v>
      </c>
      <c r="D102" s="15" t="inlineStr">
        <is>
          <t>Friends of Vadim; Vote Vasquez</t>
        </is>
      </c>
      <c r="E102" s="13" t="inlineStr">
        <is>
          <t>C221, C222</t>
        </is>
      </c>
      <c r="F102" s="13" t="n">
        <v>2</v>
      </c>
    </row>
    <row r="103">
      <c r="A103" s="13" t="inlineStr">
        <is>
          <t>P099</t>
        </is>
      </c>
      <c r="B103" s="15" t="inlineStr">
        <is>
          <t>Eric Zimmerman</t>
        </is>
      </c>
      <c r="C103" s="13" t="n">
        <v>1</v>
      </c>
      <c r="D103" s="15" t="inlineStr">
        <is>
          <t>Portland Accountability PAC</t>
        </is>
      </c>
      <c r="E103" s="13" t="inlineStr">
        <is>
          <t>C269</t>
        </is>
      </c>
      <c r="F103" s="13" t="n">
        <v>1</v>
      </c>
    </row>
    <row r="104">
      <c r="A104" s="13" t="inlineStr">
        <is>
          <t>P100</t>
        </is>
      </c>
      <c r="B104" s="15" t="inlineStr">
        <is>
          <t>Kellie Torres, Eric Zimmerman</t>
        </is>
      </c>
      <c r="C104" s="13" t="n">
        <v>2</v>
      </c>
      <c r="D104" s="15" t="inlineStr">
        <is>
          <t>Rene For Portland</t>
        </is>
      </c>
      <c r="E104" s="13" t="inlineStr">
        <is>
          <t>C150</t>
        </is>
      </c>
      <c r="F104" s="13" t="n">
        <v>1</v>
      </c>
    </row>
    <row r="105">
      <c r="A105" s="13" t="inlineStr">
        <is>
          <t>P101</t>
        </is>
      </c>
      <c r="B105" s="15" t="inlineStr">
        <is>
          <t>Olivia Clark, Eric Zimmerman</t>
        </is>
      </c>
      <c r="C105" s="13" t="n">
        <v>2</v>
      </c>
      <c r="D105" s="15" t="inlineStr">
        <is>
          <t>Friends of Vadim</t>
        </is>
      </c>
      <c r="E105" s="13" t="inlineStr">
        <is>
          <t>C250</t>
        </is>
      </c>
      <c r="F105" s="13" t="n">
        <v>1</v>
      </c>
    </row>
    <row r="106">
      <c r="A106" s="13" t="inlineStr">
        <is>
          <t>P102</t>
        </is>
      </c>
      <c r="B106" s="15" t="inlineStr">
        <is>
          <t>Kellie Torres, Eric Zimmerman, Julia Brim-Edwards</t>
        </is>
      </c>
      <c r="C106" s="13" t="n">
        <v>3</v>
      </c>
      <c r="D106" s="15" t="inlineStr">
        <is>
          <t>Friends of Sam Adams; Rene For Portland</t>
        </is>
      </c>
      <c r="E106" s="13" t="inlineStr">
        <is>
          <t>C117</t>
        </is>
      </c>
      <c r="F106" s="13" t="n">
        <v>1</v>
      </c>
    </row>
    <row r="107">
      <c r="A107" s="13" t="inlineStr">
        <is>
          <t>P103</t>
        </is>
      </c>
      <c r="B107" s="15" t="inlineStr">
        <is>
          <t>Kellie Torres, Olivia Clark, Eric Zimmerman, Eli Arnold, Julia Brim-Edwards</t>
        </is>
      </c>
      <c r="C107" s="13" t="n">
        <v>5</v>
      </c>
      <c r="D107" s="15" t="inlineStr">
        <is>
          <t>Friends of Vadim; Portland Accountability PAC; Rene For Portland; Vote Vasquez</t>
        </is>
      </c>
      <c r="E107" s="13" t="inlineStr">
        <is>
          <t>C085</t>
        </is>
      </c>
      <c r="F107" s="13" t="n">
        <v>1</v>
      </c>
    </row>
    <row r="108">
      <c r="A108" s="13" t="inlineStr">
        <is>
          <t>P104</t>
        </is>
      </c>
      <c r="B108" s="15" t="inlineStr">
        <is>
          <t>Eric Zimmerman</t>
        </is>
      </c>
      <c r="C108" s="13" t="n">
        <v>1</v>
      </c>
      <c r="D108" s="15" t="inlineStr">
        <is>
          <t>Rene For Portland; Rene for Portland; Vote Vasquez</t>
        </is>
      </c>
      <c r="E108" s="13" t="inlineStr">
        <is>
          <t>C074</t>
        </is>
      </c>
      <c r="F108" s="13" t="n">
        <v>1</v>
      </c>
    </row>
    <row r="109">
      <c r="A109" s="13" t="inlineStr">
        <is>
          <t>P105</t>
        </is>
      </c>
      <c r="B109" s="15" t="inlineStr">
        <is>
          <t>Kellie Torres, Eric Zimmerman</t>
        </is>
      </c>
      <c r="C109" s="13" t="n">
        <v>2</v>
      </c>
      <c r="D109" s="15" t="inlineStr">
        <is>
          <t>Friends of Pam Treece; Friends of Vadim</t>
        </is>
      </c>
      <c r="E109" s="13" t="inlineStr">
        <is>
          <t>C213</t>
        </is>
      </c>
      <c r="F109" s="13" t="n">
        <v>1</v>
      </c>
    </row>
    <row r="110">
      <c r="A110" s="13" t="inlineStr">
        <is>
          <t>P106</t>
        </is>
      </c>
      <c r="B110" s="15" t="inlineStr">
        <is>
          <t>Kellie Torres, Olivia Clark, Eric Zimmerman, Eli Arnold</t>
        </is>
      </c>
      <c r="C110" s="13" t="n">
        <v>4</v>
      </c>
      <c r="D110" s="15" t="inlineStr">
        <is>
          <t>Friends of Vadim</t>
        </is>
      </c>
      <c r="E110" s="13" t="inlineStr">
        <is>
          <t>C252</t>
        </is>
      </c>
      <c r="F110" s="13" t="n">
        <v>1</v>
      </c>
    </row>
    <row r="111">
      <c r="A111" s="13" t="inlineStr">
        <is>
          <t>P107</t>
        </is>
      </c>
      <c r="B111" s="15" t="inlineStr">
        <is>
          <t>Kellie Torres, Eric Zimmerman, Eli Arnold, Julia Brim-Edwards</t>
        </is>
      </c>
      <c r="C111" s="13" t="n">
        <v>4</v>
      </c>
      <c r="D111" s="15" t="inlineStr">
        <is>
          <t>Friends of Vadim</t>
        </is>
      </c>
      <c r="E111" s="13" t="inlineStr">
        <is>
          <t>C228</t>
        </is>
      </c>
      <c r="F111" s="13" t="n">
        <v>1</v>
      </c>
    </row>
    <row r="112">
      <c r="A112" s="13" t="inlineStr">
        <is>
          <t>P108</t>
        </is>
      </c>
      <c r="B112" s="15" t="inlineStr">
        <is>
          <t>Kellie Torres, Olivia Clark, Eric Zimmerman, Julia Brim-Edwards</t>
        </is>
      </c>
      <c r="C112" s="13" t="n">
        <v>4</v>
      </c>
      <c r="D112" s="15" t="inlineStr">
        <is>
          <t>Friends of Vadim; Vote Vasquez</t>
        </is>
      </c>
      <c r="E112" s="13" t="inlineStr">
        <is>
          <t>C296, C297</t>
        </is>
      </c>
      <c r="F112" s="13" t="n">
        <v>2</v>
      </c>
    </row>
    <row r="113">
      <c r="A113" s="13" t="inlineStr">
        <is>
          <t>P109</t>
        </is>
      </c>
      <c r="B113" s="15" t="inlineStr">
        <is>
          <t>Eric Zimmerman</t>
        </is>
      </c>
      <c r="C113" s="13" t="n">
        <v>1</v>
      </c>
      <c r="D113" s="15" t="inlineStr">
        <is>
          <t>Friends of Vadim; Vote Vasquez</t>
        </is>
      </c>
      <c r="E113" s="13" t="inlineStr">
        <is>
          <t>C198, C288</t>
        </is>
      </c>
      <c r="F113" s="13" t="n">
        <v>2</v>
      </c>
    </row>
    <row r="114">
      <c r="A114" s="13" t="inlineStr">
        <is>
          <t>P110</t>
        </is>
      </c>
      <c r="B114" s="15" t="inlineStr">
        <is>
          <t>Kellie Torres, Olivia Clark, Eric Zimmerman, Julia Brim-Edwards</t>
        </is>
      </c>
      <c r="C114" s="13" t="n">
        <v>4</v>
      </c>
      <c r="D114" s="15" t="inlineStr">
        <is>
          <t>Friends of Pam Treece; Friends of Sam Adams; Friends of Vadim; Rene For Portland; Vote Vasquez</t>
        </is>
      </c>
      <c r="E114" s="13" t="inlineStr">
        <is>
          <t>C005, C011, C290</t>
        </is>
      </c>
      <c r="F114" s="13" t="n">
        <v>3</v>
      </c>
    </row>
    <row r="115">
      <c r="A115" s="13" t="inlineStr">
        <is>
          <t>P111</t>
        </is>
      </c>
      <c r="B115" s="15" t="inlineStr">
        <is>
          <t>Olivia Clark, Eric Zimmerman, Julia Brim-Edwards</t>
        </is>
      </c>
      <c r="C115" s="13" t="n">
        <v>3</v>
      </c>
      <c r="D115" s="15" t="inlineStr">
        <is>
          <t>Rene For Portland</t>
        </is>
      </c>
      <c r="E115" s="13" t="inlineStr">
        <is>
          <t>C139</t>
        </is>
      </c>
      <c r="F115" s="13" t="n">
        <v>1</v>
      </c>
    </row>
    <row r="116">
      <c r="A116" s="13" t="inlineStr">
        <is>
          <t>P112</t>
        </is>
      </c>
      <c r="B116" s="15" t="inlineStr">
        <is>
          <t>Kellie Torres, Olivia Clark, Eric Zimmerman, Julia Brim-Edwards</t>
        </is>
      </c>
      <c r="C116" s="13" t="n">
        <v>4</v>
      </c>
      <c r="D116" s="15" t="inlineStr">
        <is>
          <t>Friends of Vadim</t>
        </is>
      </c>
      <c r="E116" s="13" t="inlineStr">
        <is>
          <t>C259, C260</t>
        </is>
      </c>
      <c r="F116" s="13" t="n">
        <v>2</v>
      </c>
    </row>
    <row r="117">
      <c r="A117" s="13" t="inlineStr">
        <is>
          <t>P113</t>
        </is>
      </c>
      <c r="B117" s="15" t="inlineStr">
        <is>
          <t>Olivia Clark, Eric Zimmerman, Eli Arnold</t>
        </is>
      </c>
      <c r="C117" s="13" t="n">
        <v>3</v>
      </c>
      <c r="D117" s="15" t="inlineStr">
        <is>
          <t>Friends of Pam Treece; Rene For Portland</t>
        </is>
      </c>
      <c r="E117" s="13" t="inlineStr">
        <is>
          <t>C137</t>
        </is>
      </c>
      <c r="F117" s="13" t="n">
        <v>1</v>
      </c>
    </row>
    <row r="118">
      <c r="A118" s="13" t="inlineStr">
        <is>
          <t>P114</t>
        </is>
      </c>
      <c r="B118" s="15" t="inlineStr">
        <is>
          <t>Kellie Torres, Olivia Clark, Eric Zimmerman</t>
        </is>
      </c>
      <c r="C118" s="13" t="n">
        <v>3</v>
      </c>
      <c r="D118" s="15" t="inlineStr">
        <is>
          <t>Vote Vasquez</t>
        </is>
      </c>
      <c r="E118" s="13" t="inlineStr">
        <is>
          <t>C284</t>
        </is>
      </c>
      <c r="F118" s="13" t="n">
        <v>1</v>
      </c>
    </row>
    <row r="119">
      <c r="A119" s="13" t="inlineStr">
        <is>
          <t>P115</t>
        </is>
      </c>
      <c r="B119" s="15" t="inlineStr">
        <is>
          <t>Eric Zimmerman, Eli Arnold</t>
        </is>
      </c>
      <c r="C119" s="13" t="n">
        <v>2</v>
      </c>
      <c r="D119" s="15" t="inlineStr">
        <is>
          <t>Friends of Vadim</t>
        </is>
      </c>
      <c r="E119" s="13" t="inlineStr">
        <is>
          <t>C267</t>
        </is>
      </c>
      <c r="F119" s="13" t="n">
        <v>1</v>
      </c>
    </row>
    <row r="120">
      <c r="A120" s="13" t="inlineStr">
        <is>
          <t>P116</t>
        </is>
      </c>
      <c r="B120" s="15" t="inlineStr">
        <is>
          <t>Olivia Clark, Eric Zimmerman, Julia Brim-Edwards</t>
        </is>
      </c>
      <c r="C120" s="13" t="n">
        <v>3</v>
      </c>
      <c r="D120" s="15" t="inlineStr">
        <is>
          <t>Friends of Pam Treece; Friends of Sam Adams; Friends of Vadim; Portland Accountability PAC; Rene For Portland; Rene for Portland; Vote Vasquez</t>
        </is>
      </c>
      <c r="E120" s="13" t="inlineStr">
        <is>
          <t>C133, C275</t>
        </is>
      </c>
      <c r="F120" s="13" t="n">
        <v>2</v>
      </c>
    </row>
    <row r="121">
      <c r="A121" s="13" t="inlineStr">
        <is>
          <t>P117</t>
        </is>
      </c>
      <c r="B121" s="15" t="inlineStr">
        <is>
          <t>Kellie Torres, Olivia Clark, Eric Zimmerman</t>
        </is>
      </c>
      <c r="C121" s="13" t="n">
        <v>3</v>
      </c>
      <c r="D121" s="15" t="inlineStr">
        <is>
          <t>Friends of Vadim</t>
        </is>
      </c>
      <c r="E121" s="13" t="inlineStr">
        <is>
          <t>C261</t>
        </is>
      </c>
      <c r="F121" s="13" t="n">
        <v>1</v>
      </c>
    </row>
    <row r="122">
      <c r="A122" s="13" t="inlineStr">
        <is>
          <t>P118</t>
        </is>
      </c>
      <c r="B122" s="15" t="inlineStr">
        <is>
          <t>Kellie Torres, Olivia Clark, Eric Zimmerman, Eli Arnold</t>
        </is>
      </c>
      <c r="C122" s="13" t="n">
        <v>4</v>
      </c>
      <c r="D122" s="15" t="inlineStr">
        <is>
          <t>Friends of Vadim; Vote Vasquez</t>
        </is>
      </c>
      <c r="E122" s="13" t="inlineStr">
        <is>
          <t>C256, C294, C295</t>
        </is>
      </c>
      <c r="F122" s="13" t="n">
        <v>3</v>
      </c>
    </row>
    <row r="123">
      <c r="A123" s="13" t="inlineStr">
        <is>
          <t>P119</t>
        </is>
      </c>
      <c r="B123" s="15" t="inlineStr">
        <is>
          <t>Eric Zimmerman, Eli Arnold</t>
        </is>
      </c>
      <c r="C123" s="13" t="n">
        <v>2</v>
      </c>
      <c r="D123" s="15" t="inlineStr">
        <is>
          <t>Friends of Vadim</t>
        </is>
      </c>
      <c r="E123" s="13" t="inlineStr">
        <is>
          <t>C248</t>
        </is>
      </c>
      <c r="F123" s="13" t="n">
        <v>1</v>
      </c>
    </row>
    <row r="124">
      <c r="A124" s="13" t="inlineStr">
        <is>
          <t>P120</t>
        </is>
      </c>
      <c r="B124" s="15" t="inlineStr">
        <is>
          <t>Eric Zimmerman</t>
        </is>
      </c>
      <c r="C124" s="13" t="n">
        <v>1</v>
      </c>
      <c r="D124" s="15" t="inlineStr">
        <is>
          <t>Friends of Sam Adams</t>
        </is>
      </c>
      <c r="E124" s="13" t="inlineStr">
        <is>
          <t>C050</t>
        </is>
      </c>
      <c r="F124" s="13" t="n">
        <v>1</v>
      </c>
    </row>
    <row r="125">
      <c r="A125" s="13" t="inlineStr">
        <is>
          <t>P121</t>
        </is>
      </c>
      <c r="B125" s="15" t="inlineStr">
        <is>
          <t>Kellie Torres, Olivia Clark, Eric Zimmerman, Eli Arnold</t>
        </is>
      </c>
      <c r="C125" s="13" t="n">
        <v>4</v>
      </c>
      <c r="D125" s="15" t="inlineStr">
        <is>
          <t>Friends of Pam Treece; Friends of Vadim; Rene For Portland; Vote Vasquez</t>
        </is>
      </c>
      <c r="E125" s="13" t="inlineStr">
        <is>
          <t>C154</t>
        </is>
      </c>
      <c r="F125" s="13" t="n">
        <v>1</v>
      </c>
    </row>
    <row r="126">
      <c r="A126" s="13" t="inlineStr">
        <is>
          <t>P122</t>
        </is>
      </c>
      <c r="B126" s="15" t="inlineStr">
        <is>
          <t>Kellie Torres, Olivia Clark, Eric Zimmerman</t>
        </is>
      </c>
      <c r="C126" s="13" t="n">
        <v>3</v>
      </c>
      <c r="D126" s="15" t="inlineStr">
        <is>
          <t>Rene for Portland</t>
        </is>
      </c>
      <c r="E126" s="13" t="inlineStr">
        <is>
          <t>C179, C180</t>
        </is>
      </c>
      <c r="F126" s="13" t="n">
        <v>2</v>
      </c>
    </row>
    <row r="127">
      <c r="A127" s="13" t="inlineStr">
        <is>
          <t>P123</t>
        </is>
      </c>
      <c r="B127" s="15" t="inlineStr">
        <is>
          <t>Kellie Torres, Eric Zimmerman</t>
        </is>
      </c>
      <c r="C127" s="13" t="n">
        <v>2</v>
      </c>
      <c r="D127" s="15" t="inlineStr">
        <is>
          <t>Vote Vasquez</t>
        </is>
      </c>
      <c r="E127" s="13" t="inlineStr">
        <is>
          <t>C289</t>
        </is>
      </c>
      <c r="F127" s="13" t="n">
        <v>1</v>
      </c>
    </row>
    <row r="128">
      <c r="A128" s="13" t="inlineStr">
        <is>
          <t>P124</t>
        </is>
      </c>
      <c r="B128" s="15" t="inlineStr">
        <is>
          <t>Kellie Torres, Eric Zimmerman, Julia Brim-Edwards</t>
        </is>
      </c>
      <c r="C128" s="13" t="n">
        <v>3</v>
      </c>
      <c r="D128" s="15" t="inlineStr">
        <is>
          <t>Portland Accountability PAC</t>
        </is>
      </c>
      <c r="E128" s="13" t="inlineStr">
        <is>
          <t>C273</t>
        </is>
      </c>
      <c r="F128" s="13" t="n">
        <v>1</v>
      </c>
    </row>
    <row r="129">
      <c r="A129" s="13" t="inlineStr">
        <is>
          <t>P125</t>
        </is>
      </c>
      <c r="B129" s="15" t="inlineStr">
        <is>
          <t>Olivia Clark, Eric Zimmerman, Julia Brim-Edwards</t>
        </is>
      </c>
      <c r="C129" s="13" t="n">
        <v>3</v>
      </c>
      <c r="D129" s="15" t="inlineStr">
        <is>
          <t>Friends of Vadim; Portland Accountability PAC; Rene For Portland</t>
        </is>
      </c>
      <c r="E129" s="13" t="inlineStr">
        <is>
          <t>C230, C231</t>
        </is>
      </c>
      <c r="F129" s="13" t="n">
        <v>2</v>
      </c>
    </row>
    <row r="130">
      <c r="A130" s="13" t="inlineStr">
        <is>
          <t>P126</t>
        </is>
      </c>
      <c r="B130" s="15" t="inlineStr">
        <is>
          <t>Olivia Clark, Eric Zimmerman, Eli Arnold</t>
        </is>
      </c>
      <c r="C130" s="13" t="n">
        <v>3</v>
      </c>
      <c r="D130" s="15" t="inlineStr">
        <is>
          <t>Rene For Portland</t>
        </is>
      </c>
      <c r="E130" s="13" t="inlineStr">
        <is>
          <t>C161, C162</t>
        </is>
      </c>
      <c r="F130" s="13" t="n">
        <v>2</v>
      </c>
    </row>
    <row r="131">
      <c r="A131" s="13" t="inlineStr">
        <is>
          <t>P127</t>
        </is>
      </c>
      <c r="B131" s="15" t="inlineStr">
        <is>
          <t>Olivia Clark, Eric Zimmerman</t>
        </is>
      </c>
      <c r="C131" s="13" t="n">
        <v>2</v>
      </c>
      <c r="D131" s="15" t="inlineStr">
        <is>
          <t>Friends of Sam Adams</t>
        </is>
      </c>
      <c r="E131" s="13" t="inlineStr">
        <is>
          <t>C057</t>
        </is>
      </c>
      <c r="F131" s="13" t="n">
        <v>1</v>
      </c>
    </row>
    <row r="132">
      <c r="A132" s="13" t="inlineStr">
        <is>
          <t>P128</t>
        </is>
      </c>
      <c r="B132" s="15" t="inlineStr">
        <is>
          <t>Kellie Torres, Olivia Clark, Eric Zimmerman</t>
        </is>
      </c>
      <c r="C132" s="13" t="n">
        <v>3</v>
      </c>
      <c r="D132" s="15" t="inlineStr">
        <is>
          <t>Friends of Pam Treece; Friends of Sam Adams; Friends of Vadim; Rene For Portland; Vote Vasquez</t>
        </is>
      </c>
      <c r="E132" s="13" t="inlineStr">
        <is>
          <t>C236</t>
        </is>
      </c>
      <c r="F132" s="13" t="n">
        <v>1</v>
      </c>
    </row>
    <row r="133">
      <c r="A133" s="13" t="inlineStr">
        <is>
          <t>P129</t>
        </is>
      </c>
      <c r="B133" s="15" t="inlineStr">
        <is>
          <t>Olivia Clark, Eric Zimmerman, Julia Brim-Edwards</t>
        </is>
      </c>
      <c r="C133" s="13" t="n">
        <v>3</v>
      </c>
      <c r="D133" s="15" t="inlineStr">
        <is>
          <t>Friends of Pam Treece</t>
        </is>
      </c>
      <c r="E133" s="13" t="inlineStr">
        <is>
          <t>C024, C025</t>
        </is>
      </c>
      <c r="F133" s="13" t="n">
        <v>2</v>
      </c>
    </row>
    <row r="134">
      <c r="A134" s="13" t="inlineStr">
        <is>
          <t>P130</t>
        </is>
      </c>
      <c r="B134" s="15" t="inlineStr">
        <is>
          <t>Eric Zimmerman</t>
        </is>
      </c>
      <c r="C134" s="13" t="n">
        <v>1</v>
      </c>
      <c r="D134" s="15" t="inlineStr">
        <is>
          <t>Rene For Portland; Rene for Portland</t>
        </is>
      </c>
      <c r="E134" s="13" t="inlineStr">
        <is>
          <t>C135</t>
        </is>
      </c>
      <c r="F134" s="13" t="n">
        <v>1</v>
      </c>
    </row>
    <row r="135">
      <c r="A135" s="13" t="inlineStr">
        <is>
          <t>P131</t>
        </is>
      </c>
      <c r="B135" s="15" t="inlineStr">
        <is>
          <t>Kellie Torres, Eric Zimmerman, Julia Brim-Edwards</t>
        </is>
      </c>
      <c r="C135" s="13" t="n">
        <v>3</v>
      </c>
      <c r="D135" s="15" t="inlineStr">
        <is>
          <t>Friends of Sam Adams; Friends of Vadim</t>
        </is>
      </c>
      <c r="E135" s="13" t="inlineStr">
        <is>
          <t>C234</t>
        </is>
      </c>
      <c r="F135" s="13" t="n">
        <v>1</v>
      </c>
    </row>
    <row r="136">
      <c r="A136" s="13" t="inlineStr">
        <is>
          <t>P132</t>
        </is>
      </c>
      <c r="B136" s="15" t="inlineStr">
        <is>
          <t>Eric Zimmerman, Julia Brim-Edwards</t>
        </is>
      </c>
      <c r="C136" s="13" t="n">
        <v>2</v>
      </c>
      <c r="D136" s="15" t="inlineStr">
        <is>
          <t>Friends of Pam Treece</t>
        </is>
      </c>
      <c r="E136" s="13" t="inlineStr">
        <is>
          <t>C020</t>
        </is>
      </c>
      <c r="F136" s="13" t="n">
        <v>1</v>
      </c>
    </row>
    <row r="137">
      <c r="A137" s="13" t="inlineStr">
        <is>
          <t>P133</t>
        </is>
      </c>
      <c r="B137" s="15" t="inlineStr">
        <is>
          <t>Kellie Torres, Olivia Clark, Eric Zimmerman, Julia Brim-Edwards</t>
        </is>
      </c>
      <c r="C137" s="13" t="n">
        <v>4</v>
      </c>
      <c r="D137" s="15" t="inlineStr">
        <is>
          <t>Friends of Pam Treece; Friends of Vadim</t>
        </is>
      </c>
      <c r="E137" s="13" t="inlineStr">
        <is>
          <t>C254</t>
        </is>
      </c>
      <c r="F137" s="13" t="n">
        <v>1</v>
      </c>
    </row>
    <row r="138">
      <c r="A138" s="13" t="inlineStr">
        <is>
          <t>P134</t>
        </is>
      </c>
      <c r="B138" s="15" t="inlineStr">
        <is>
          <t>Julia Brim-Edwards</t>
        </is>
      </c>
      <c r="C138" s="13" t="n">
        <v>1</v>
      </c>
      <c r="D138" s="15" t="inlineStr">
        <is>
          <t>Friends of Vadim; Rene For Portland</t>
        </is>
      </c>
      <c r="E138" s="13" t="inlineStr">
        <is>
          <t>C232</t>
        </is>
      </c>
      <c r="F138" s="13" t="n">
        <v>1</v>
      </c>
    </row>
    <row r="139">
      <c r="A139" s="13" t="inlineStr">
        <is>
          <t>P135</t>
        </is>
      </c>
      <c r="B139" s="15" t="inlineStr">
        <is>
          <t>Julia Brim-Edwards</t>
        </is>
      </c>
      <c r="C139" s="13" t="n">
        <v>1</v>
      </c>
      <c r="D139" s="15" t="inlineStr">
        <is>
          <t>Friends of Pam Treece</t>
        </is>
      </c>
      <c r="E139" s="13" t="inlineStr">
        <is>
          <t>C006</t>
        </is>
      </c>
      <c r="F139" s="13" t="n">
        <v>1</v>
      </c>
    </row>
    <row r="140">
      <c r="A140" s="13" t="inlineStr">
        <is>
          <t>P136</t>
        </is>
      </c>
      <c r="B140" s="15" t="inlineStr">
        <is>
          <t>Julia Brim-Edwards</t>
        </is>
      </c>
      <c r="C140" s="13" t="n">
        <v>1</v>
      </c>
      <c r="D140" s="15" t="inlineStr">
        <is>
          <t>Friends of Pam Treece</t>
        </is>
      </c>
      <c r="E140" s="13" t="inlineStr">
        <is>
          <t>C021</t>
        </is>
      </c>
      <c r="F140" s="13" t="n">
        <v>1</v>
      </c>
    </row>
    <row r="141">
      <c r="A141" s="13" t="inlineStr">
        <is>
          <t>P137</t>
        </is>
      </c>
      <c r="B141" s="15" t="inlineStr">
        <is>
          <t>Julia Brim-Edwards</t>
        </is>
      </c>
      <c r="C141" s="13" t="n">
        <v>1</v>
      </c>
      <c r="D141" s="15" t="inlineStr">
        <is>
          <t>Friends of Sam Adams; Portland Accountability PAC; Rene For Portland</t>
        </is>
      </c>
      <c r="E141" s="13" t="inlineStr">
        <is>
          <t>C110</t>
        </is>
      </c>
      <c r="F141" s="13" t="n">
        <v>1</v>
      </c>
    </row>
    <row r="142">
      <c r="A142" s="13" t="inlineStr">
        <is>
          <t>P138</t>
        </is>
      </c>
      <c r="B142" s="15" t="inlineStr">
        <is>
          <t>Eli Arnold, Julia Brim-Edwards</t>
        </is>
      </c>
      <c r="C142" s="13" t="n">
        <v>2</v>
      </c>
      <c r="D142" s="15" t="inlineStr">
        <is>
          <t>Friends of Pam Treece; Rene For Portland; Rene for Portland</t>
        </is>
      </c>
      <c r="E142" s="13" t="inlineStr">
        <is>
          <t>C075</t>
        </is>
      </c>
      <c r="F142" s="13" t="n">
        <v>1</v>
      </c>
    </row>
    <row r="143">
      <c r="A143" s="13" t="inlineStr">
        <is>
          <t>P139</t>
        </is>
      </c>
      <c r="B143" s="15" t="inlineStr">
        <is>
          <t>Julia Brim-Edwards</t>
        </is>
      </c>
      <c r="C143" s="13" t="n">
        <v>1</v>
      </c>
      <c r="D143" s="15" t="inlineStr">
        <is>
          <t>Friends of Sam Adams; Friends of Vadim; Rene for Portland</t>
        </is>
      </c>
      <c r="E143" s="13" t="inlineStr">
        <is>
          <t>C190</t>
        </is>
      </c>
      <c r="F143" s="13" t="n">
        <v>1</v>
      </c>
    </row>
    <row r="144">
      <c r="A144" s="13" t="inlineStr">
        <is>
          <t>P140</t>
        </is>
      </c>
      <c r="B144" s="15" t="inlineStr">
        <is>
          <t>Julia Brim-Edwards</t>
        </is>
      </c>
      <c r="C144" s="13" t="n">
        <v>1</v>
      </c>
      <c r="D144" s="15" t="inlineStr">
        <is>
          <t>Friends of Vadim; Rene For Portland; Rene for Portland</t>
        </is>
      </c>
      <c r="E144" s="13" t="inlineStr">
        <is>
          <t>C078</t>
        </is>
      </c>
      <c r="F144" s="13" t="n">
        <v>1</v>
      </c>
    </row>
    <row r="145">
      <c r="A145" s="13" t="inlineStr">
        <is>
          <t>P141</t>
        </is>
      </c>
      <c r="B145" s="15" t="inlineStr">
        <is>
          <t>Julia Brim-Edwards</t>
        </is>
      </c>
      <c r="C145" s="13" t="n">
        <v>1</v>
      </c>
      <c r="D145" s="15" t="inlineStr">
        <is>
          <t>Friends of Pam Treece</t>
        </is>
      </c>
      <c r="E145" s="13" t="inlineStr">
        <is>
          <t>C017</t>
        </is>
      </c>
      <c r="F145" s="13" t="n">
        <v>1</v>
      </c>
    </row>
    <row r="146">
      <c r="A146" s="13" t="inlineStr">
        <is>
          <t>P142</t>
        </is>
      </c>
      <c r="B146" s="15" t="inlineStr">
        <is>
          <t>Julia Brim-Edwards</t>
        </is>
      </c>
      <c r="C146" s="13" t="n">
        <v>1</v>
      </c>
      <c r="D146" s="15" t="inlineStr">
        <is>
          <t>Friends of Sam Adams; Friends of Vadim; Portland Accountability PAC; Rene for Portland</t>
        </is>
      </c>
      <c r="E146" s="13" t="inlineStr">
        <is>
          <t>C219</t>
        </is>
      </c>
      <c r="F146" s="13" t="n">
        <v>1</v>
      </c>
    </row>
    <row r="147">
      <c r="A147" s="13" t="inlineStr">
        <is>
          <t>P143</t>
        </is>
      </c>
      <c r="B147" s="15" t="inlineStr">
        <is>
          <t>Julia Brim-Edwards</t>
        </is>
      </c>
      <c r="C147" s="13" t="n">
        <v>1</v>
      </c>
      <c r="D147" s="15" t="inlineStr">
        <is>
          <t>Portland Accountability PAC; Rene For Portland; Rene for Portland</t>
        </is>
      </c>
      <c r="E147" s="13" t="inlineStr">
        <is>
          <t>C114</t>
        </is>
      </c>
      <c r="F147" s="13" t="n">
        <v>1</v>
      </c>
    </row>
    <row r="148">
      <c r="A148" s="13" t="inlineStr">
        <is>
          <t>P144</t>
        </is>
      </c>
      <c r="B148" s="15" t="inlineStr">
        <is>
          <t>Eli Arnold, Julia Brim-Edwards</t>
        </is>
      </c>
      <c r="C148" s="13" t="n">
        <v>2</v>
      </c>
      <c r="D148" s="15" t="inlineStr">
        <is>
          <t>Friends of Sam Adams; Rene For Portland</t>
        </is>
      </c>
      <c r="E148" s="13" t="inlineStr">
        <is>
          <t>C034</t>
        </is>
      </c>
      <c r="F148" s="13" t="n">
        <v>1</v>
      </c>
    </row>
    <row r="149">
      <c r="A149" s="13" t="inlineStr">
        <is>
          <t>P145</t>
        </is>
      </c>
      <c r="B149" s="15" t="inlineStr">
        <is>
          <t>Julia Brim-Edwards</t>
        </is>
      </c>
      <c r="C149" s="13" t="n">
        <v>1</v>
      </c>
      <c r="D149" s="15" t="inlineStr">
        <is>
          <t>Rene For Portland</t>
        </is>
      </c>
      <c r="E149" s="13" t="inlineStr">
        <is>
          <t>C090</t>
        </is>
      </c>
      <c r="F149" s="13" t="n">
        <v>1</v>
      </c>
    </row>
    <row r="150">
      <c r="A150" s="13" t="inlineStr">
        <is>
          <t>P146</t>
        </is>
      </c>
      <c r="B150" s="15" t="inlineStr">
        <is>
          <t>Julia Brim-Edwards</t>
        </is>
      </c>
      <c r="C150" s="13" t="n">
        <v>1</v>
      </c>
      <c r="D150" s="15" t="inlineStr">
        <is>
          <t>Friends of Vadim</t>
        </is>
      </c>
      <c r="E150" s="13" t="inlineStr">
        <is>
          <t>C240</t>
        </is>
      </c>
      <c r="F150" s="13" t="n">
        <v>1</v>
      </c>
    </row>
    <row r="151">
      <c r="A151" s="13" t="inlineStr">
        <is>
          <t>P147</t>
        </is>
      </c>
      <c r="B151" s="15" t="inlineStr">
        <is>
          <t>Julia Brim-Edwards</t>
        </is>
      </c>
      <c r="C151" s="13" t="n">
        <v>1</v>
      </c>
      <c r="D151" s="15" t="inlineStr">
        <is>
          <t>Friends of Pam Treece</t>
        </is>
      </c>
      <c r="E151" s="13" t="inlineStr">
        <is>
          <t>C016</t>
        </is>
      </c>
      <c r="F151" s="13" t="n">
        <v>1</v>
      </c>
    </row>
    <row r="152">
      <c r="A152" s="13" t="inlineStr">
        <is>
          <t>P148</t>
        </is>
      </c>
      <c r="B152" s="15" t="inlineStr">
        <is>
          <t>Julia Brim-Edwards</t>
        </is>
      </c>
      <c r="C152" s="13" t="n">
        <v>1</v>
      </c>
      <c r="D152" s="15" t="inlineStr">
        <is>
          <t>Friends of Sam Adams</t>
        </is>
      </c>
      <c r="E152" s="13" t="inlineStr">
        <is>
          <t>C055</t>
        </is>
      </c>
      <c r="F152" s="13" t="n">
        <v>1</v>
      </c>
    </row>
    <row r="153">
      <c r="A153" s="13" t="inlineStr">
        <is>
          <t>P149</t>
        </is>
      </c>
      <c r="B153" s="15" t="inlineStr">
        <is>
          <t>Julia Brim-Edwards</t>
        </is>
      </c>
      <c r="C153" s="13" t="n">
        <v>1</v>
      </c>
      <c r="D153" s="15" t="inlineStr">
        <is>
          <t>Vote Vasquez</t>
        </is>
      </c>
      <c r="E153" s="13" t="inlineStr">
        <is>
          <t>C299</t>
        </is>
      </c>
      <c r="F153" s="13" t="n">
        <v>1</v>
      </c>
    </row>
    <row r="154">
      <c r="A154" s="13" t="inlineStr">
        <is>
          <t>P150</t>
        </is>
      </c>
      <c r="B154" s="15" t="inlineStr">
        <is>
          <t>Julia Brim-Edwards</t>
        </is>
      </c>
      <c r="C154" s="13" t="n">
        <v>1</v>
      </c>
      <c r="D154" s="15" t="inlineStr">
        <is>
          <t>Rene For Portland; Vote Vasquez</t>
        </is>
      </c>
      <c r="E154" s="13" t="inlineStr">
        <is>
          <t>C140</t>
        </is>
      </c>
      <c r="F154" s="13" t="n">
        <v>1</v>
      </c>
    </row>
    <row r="155">
      <c r="A155" s="13" t="inlineStr">
        <is>
          <t>P151</t>
        </is>
      </c>
      <c r="B155" s="15" t="inlineStr">
        <is>
          <t>Julia Brim-Edwards</t>
        </is>
      </c>
      <c r="C155" s="13" t="n">
        <v>1</v>
      </c>
      <c r="D155" s="15" t="inlineStr">
        <is>
          <t>Friends of Vadim</t>
        </is>
      </c>
      <c r="E155" s="13" t="inlineStr">
        <is>
          <t>C257</t>
        </is>
      </c>
      <c r="F155" s="13" t="n">
        <v>1</v>
      </c>
    </row>
    <row r="156">
      <c r="A156" s="13" t="inlineStr">
        <is>
          <t>P152</t>
        </is>
      </c>
      <c r="B156" s="15" t="inlineStr">
        <is>
          <t>Julia Brim-Edwards</t>
        </is>
      </c>
      <c r="C156" s="13" t="n">
        <v>1</v>
      </c>
      <c r="D156" s="15" t="inlineStr">
        <is>
          <t>Rene for Portland</t>
        </is>
      </c>
      <c r="E156" s="13" t="inlineStr">
        <is>
          <t>C170</t>
        </is>
      </c>
      <c r="F156" s="13" t="n">
        <v>1</v>
      </c>
    </row>
    <row r="157">
      <c r="A157" s="13" t="inlineStr">
        <is>
          <t>P153</t>
        </is>
      </c>
      <c r="B157" s="15" t="inlineStr">
        <is>
          <t>Julia Brim-Edwards</t>
        </is>
      </c>
      <c r="C157" s="13" t="n">
        <v>1</v>
      </c>
      <c r="D157" s="15" t="inlineStr">
        <is>
          <t>Friends of Vadim; Vote Vasquez</t>
        </is>
      </c>
      <c r="E157" s="13" t="inlineStr">
        <is>
          <t>C287</t>
        </is>
      </c>
      <c r="F157" s="13" t="n">
        <v>1</v>
      </c>
    </row>
    <row r="158">
      <c r="A158" s="13" t="inlineStr">
        <is>
          <t>P154</t>
        </is>
      </c>
      <c r="B158" s="15" t="inlineStr">
        <is>
          <t>Julia Brim-Edwards</t>
        </is>
      </c>
      <c r="C158" s="13" t="n">
        <v>1</v>
      </c>
      <c r="D158" s="15" t="inlineStr">
        <is>
          <t>Friends of Sam Adams</t>
        </is>
      </c>
      <c r="E158" s="13" t="inlineStr">
        <is>
          <t>C062</t>
        </is>
      </c>
      <c r="F158" s="13" t="n">
        <v>1</v>
      </c>
    </row>
    <row r="159">
      <c r="A159" s="13" t="inlineStr">
        <is>
          <t>P155</t>
        </is>
      </c>
      <c r="B159" s="15" t="inlineStr">
        <is>
          <t>Julia Brim-Edwards</t>
        </is>
      </c>
      <c r="C159" s="13" t="n">
        <v>1</v>
      </c>
      <c r="D159" s="15" t="inlineStr">
        <is>
          <t>Friends of Sam Adams</t>
        </is>
      </c>
      <c r="E159" s="13" t="inlineStr">
        <is>
          <t>C068</t>
        </is>
      </c>
      <c r="F159" s="13" t="n">
        <v>1</v>
      </c>
    </row>
    <row r="160">
      <c r="A160" s="13" t="inlineStr">
        <is>
          <t>P156</t>
        </is>
      </c>
      <c r="B160" s="15" t="inlineStr">
        <is>
          <t>Julia Brim-Edwards</t>
        </is>
      </c>
      <c r="C160" s="13" t="n">
        <v>1</v>
      </c>
      <c r="D160" s="15" t="inlineStr">
        <is>
          <t>Rene For Portland; Vote Vasquez</t>
        </is>
      </c>
      <c r="E160" s="13" t="inlineStr">
        <is>
          <t>C100</t>
        </is>
      </c>
      <c r="F160" s="13" t="n">
        <v>1</v>
      </c>
    </row>
    <row r="161">
      <c r="A161" s="13" t="inlineStr">
        <is>
          <t>P157</t>
        </is>
      </c>
      <c r="B161" s="15" t="inlineStr">
        <is>
          <t>Julia Brim-Edwards</t>
        </is>
      </c>
      <c r="C161" s="13" t="n">
        <v>1</v>
      </c>
      <c r="D161" s="15" t="inlineStr">
        <is>
          <t>Friends of Sam Adams</t>
        </is>
      </c>
      <c r="E161" s="13" t="inlineStr">
        <is>
          <t>C043</t>
        </is>
      </c>
      <c r="F161" s="13" t="n">
        <v>1</v>
      </c>
    </row>
    <row r="162">
      <c r="A162" s="13" t="inlineStr">
        <is>
          <t>P158</t>
        </is>
      </c>
      <c r="B162" s="15" t="inlineStr">
        <is>
          <t>Julia Brim-Edwards</t>
        </is>
      </c>
      <c r="C162" s="13" t="n">
        <v>1</v>
      </c>
      <c r="D162" s="15" t="inlineStr">
        <is>
          <t>Rene for Portland</t>
        </is>
      </c>
      <c r="E162" s="13" t="inlineStr">
        <is>
          <t>C184</t>
        </is>
      </c>
      <c r="F162" s="13" t="n">
        <v>1</v>
      </c>
    </row>
    <row r="163">
      <c r="A163" s="13" t="inlineStr">
        <is>
          <t>P159</t>
        </is>
      </c>
      <c r="B163" s="15" t="inlineStr">
        <is>
          <t>Julia Brim-Edwards</t>
        </is>
      </c>
      <c r="C163" s="13" t="n">
        <v>1</v>
      </c>
      <c r="D163" s="15" t="inlineStr">
        <is>
          <t>Friends of Sam Adams; Friends of Vadim; Rene for Portland</t>
        </is>
      </c>
      <c r="E163" s="13" t="inlineStr">
        <is>
          <t>C211</t>
        </is>
      </c>
      <c r="F163" s="13" t="n">
        <v>1</v>
      </c>
    </row>
    <row r="164">
      <c r="A164" s="13" t="inlineStr">
        <is>
          <t>P160</t>
        </is>
      </c>
      <c r="B164" s="15" t="inlineStr">
        <is>
          <t>Julia Brim-Edwards</t>
        </is>
      </c>
      <c r="C164" s="13" t="n">
        <v>1</v>
      </c>
      <c r="D164" s="15" t="inlineStr">
        <is>
          <t>Portland Accountability PAC</t>
        </is>
      </c>
      <c r="E164" s="13" t="inlineStr">
        <is>
          <t>C278</t>
        </is>
      </c>
      <c r="F164" s="13" t="n">
        <v>1</v>
      </c>
    </row>
    <row r="165">
      <c r="A165" s="13" t="inlineStr">
        <is>
          <t>P161</t>
        </is>
      </c>
      <c r="B165" s="15" t="inlineStr">
        <is>
          <t>Julia Brim-Edwards</t>
        </is>
      </c>
      <c r="C165" s="13" t="n">
        <v>1</v>
      </c>
      <c r="D165" s="15" t="inlineStr">
        <is>
          <t>Friends of Sam Adams</t>
        </is>
      </c>
      <c r="E165" s="13" t="inlineStr">
        <is>
          <t>C065</t>
        </is>
      </c>
      <c r="F165" s="13" t="n">
        <v>1</v>
      </c>
    </row>
    <row r="166">
      <c r="A166" s="13" t="inlineStr">
        <is>
          <t>P162</t>
        </is>
      </c>
      <c r="B166" s="15" t="inlineStr">
        <is>
          <t>Julia Brim-Edwards</t>
        </is>
      </c>
      <c r="C166" s="13" t="n">
        <v>1</v>
      </c>
      <c r="D166" s="15" t="inlineStr">
        <is>
          <t>Vote Vasquez</t>
        </is>
      </c>
      <c r="E166" s="13" t="inlineStr">
        <is>
          <t>C311</t>
        </is>
      </c>
      <c r="F166" s="13" t="n">
        <v>1</v>
      </c>
    </row>
    <row r="167">
      <c r="A167" s="13" t="inlineStr">
        <is>
          <t>P163</t>
        </is>
      </c>
      <c r="B167" s="15" t="inlineStr">
        <is>
          <t>Julia Brim-Edwards</t>
        </is>
      </c>
      <c r="C167" s="13" t="n">
        <v>1</v>
      </c>
      <c r="D167" s="15" t="inlineStr">
        <is>
          <t>Rene For Portland</t>
        </is>
      </c>
      <c r="E167" s="13" t="inlineStr">
        <is>
          <t>C127</t>
        </is>
      </c>
      <c r="F167" s="13" t="n">
        <v>1</v>
      </c>
    </row>
    <row r="168">
      <c r="A168" s="13" t="inlineStr">
        <is>
          <t>P164</t>
        </is>
      </c>
      <c r="B168" s="15" t="inlineStr">
        <is>
          <t>Julia Brim-Edwards</t>
        </is>
      </c>
      <c r="C168" s="13" t="n">
        <v>1</v>
      </c>
      <c r="D168" s="15" t="inlineStr">
        <is>
          <t>Friends of Sam Adams; Friends of Vadim</t>
        </is>
      </c>
      <c r="E168" s="13" t="inlineStr">
        <is>
          <t>C265</t>
        </is>
      </c>
      <c r="F168" s="13" t="n">
        <v>1</v>
      </c>
    </row>
    <row r="169">
      <c r="A169" s="13" t="inlineStr">
        <is>
          <t>P165</t>
        </is>
      </c>
      <c r="B169" s="15" t="inlineStr">
        <is>
          <t>Julia Brim-Edwards</t>
        </is>
      </c>
      <c r="C169" s="13" t="n">
        <v>1</v>
      </c>
      <c r="D169" s="15" t="inlineStr">
        <is>
          <t>Rene for Portland</t>
        </is>
      </c>
      <c r="E169" s="13" t="inlineStr">
        <is>
          <t>C164</t>
        </is>
      </c>
      <c r="F169" s="13" t="n">
        <v>1</v>
      </c>
    </row>
    <row r="170">
      <c r="A170" s="13" t="inlineStr">
        <is>
          <t>P166</t>
        </is>
      </c>
      <c r="B170" s="15" t="inlineStr">
        <is>
          <t>Julia Brim-Edwards</t>
        </is>
      </c>
      <c r="C170" s="13" t="n">
        <v>1</v>
      </c>
      <c r="D170" s="15" t="inlineStr">
        <is>
          <t>Friends of Pam Treece; Portland Accountability PAC</t>
        </is>
      </c>
      <c r="E170" s="13" t="inlineStr">
        <is>
          <t>C009</t>
        </is>
      </c>
      <c r="F170" s="13" t="n">
        <v>1</v>
      </c>
    </row>
    <row r="171">
      <c r="A171" s="13" t="inlineStr">
        <is>
          <t>P167</t>
        </is>
      </c>
      <c r="B171" s="15" t="inlineStr">
        <is>
          <t>Julia Brim-Edwards</t>
        </is>
      </c>
      <c r="C171" s="13" t="n">
        <v>1</v>
      </c>
      <c r="D171" s="15" t="inlineStr">
        <is>
          <t>Friends of Sam Adams</t>
        </is>
      </c>
      <c r="E171" s="13" t="inlineStr">
        <is>
          <t>C056</t>
        </is>
      </c>
      <c r="F171" s="13" t="n">
        <v>1</v>
      </c>
    </row>
    <row r="172">
      <c r="A172" s="13" t="inlineStr">
        <is>
          <t>P168</t>
        </is>
      </c>
      <c r="B172" s="15" t="inlineStr">
        <is>
          <t>Julia Brim-Edwards</t>
        </is>
      </c>
      <c r="C172" s="13" t="n">
        <v>1</v>
      </c>
      <c r="D172" s="15" t="inlineStr">
        <is>
          <t>Rene For Portland; Rene for Portland; Vote Vasquez</t>
        </is>
      </c>
      <c r="E172" s="13" t="inlineStr">
        <is>
          <t>C099</t>
        </is>
      </c>
      <c r="F172" s="13" t="n">
        <v>1</v>
      </c>
    </row>
    <row r="173">
      <c r="A173" s="13" t="inlineStr">
        <is>
          <t>P169</t>
        </is>
      </c>
      <c r="B173" s="15" t="inlineStr">
        <is>
          <t>Julia Brim-Edwards</t>
        </is>
      </c>
      <c r="C173" s="13" t="n">
        <v>1</v>
      </c>
      <c r="D173" s="15" t="inlineStr">
        <is>
          <t>Vote Vasquez</t>
        </is>
      </c>
      <c r="E173" s="13" t="inlineStr">
        <is>
          <t>C283</t>
        </is>
      </c>
      <c r="F173" s="13" t="n">
        <v>1</v>
      </c>
    </row>
    <row r="174">
      <c r="A174" s="13" t="inlineStr">
        <is>
          <t>P170</t>
        </is>
      </c>
      <c r="B174" s="15" t="inlineStr">
        <is>
          <t>Julia Brim-Edwards</t>
        </is>
      </c>
      <c r="C174" s="13" t="n">
        <v>1</v>
      </c>
      <c r="D174" s="15" t="inlineStr">
        <is>
          <t>Friends of Vadim; Rene For Portland</t>
        </is>
      </c>
      <c r="E174" s="13" t="inlineStr">
        <is>
          <t>C123</t>
        </is>
      </c>
      <c r="F174" s="13" t="n">
        <v>1</v>
      </c>
    </row>
    <row r="175">
      <c r="A175" s="13" t="inlineStr">
        <is>
          <t>P171</t>
        </is>
      </c>
      <c r="B175" s="15" t="inlineStr">
        <is>
          <t>Julia Brim-Edwards</t>
        </is>
      </c>
      <c r="C175" s="13" t="n">
        <v>1</v>
      </c>
      <c r="D175" s="15" t="inlineStr">
        <is>
          <t>Friends of Vadim</t>
        </is>
      </c>
      <c r="E175" s="13" t="inlineStr">
        <is>
          <t>C253</t>
        </is>
      </c>
      <c r="F175" s="13" t="n">
        <v>1</v>
      </c>
    </row>
    <row r="176">
      <c r="A176" s="13" t="inlineStr">
        <is>
          <t>P172</t>
        </is>
      </c>
      <c r="B176" s="15" t="inlineStr">
        <is>
          <t>Julia Brim-Edwards</t>
        </is>
      </c>
      <c r="C176" s="13" t="n">
        <v>1</v>
      </c>
      <c r="D176" s="15" t="inlineStr">
        <is>
          <t>Friends of Sam Adams; Friends of Vadim; Vote Vasquez</t>
        </is>
      </c>
      <c r="E176" s="13" t="inlineStr">
        <is>
          <t>C210</t>
        </is>
      </c>
      <c r="F176" s="13" t="n">
        <v>1</v>
      </c>
    </row>
    <row r="177">
      <c r="A177" s="13" t="inlineStr">
        <is>
          <t>P173</t>
        </is>
      </c>
      <c r="B177" s="15" t="inlineStr">
        <is>
          <t>Julia Brim-Edwards</t>
        </is>
      </c>
      <c r="C177" s="13" t="n">
        <v>1</v>
      </c>
      <c r="D177" s="15" t="inlineStr">
        <is>
          <t>Friends of Sam Adams</t>
        </is>
      </c>
      <c r="E177" s="13" t="inlineStr">
        <is>
          <t>C051</t>
        </is>
      </c>
      <c r="F177" s="13" t="n">
        <v>1</v>
      </c>
    </row>
    <row r="178">
      <c r="A178" s="13" t="inlineStr">
        <is>
          <t>P174</t>
        </is>
      </c>
      <c r="B178" s="15" t="inlineStr">
        <is>
          <t>Julia Brim-Edwards</t>
        </is>
      </c>
      <c r="C178" s="13" t="n">
        <v>1</v>
      </c>
      <c r="D178" s="15" t="inlineStr">
        <is>
          <t>Friends of Sam Adams</t>
        </is>
      </c>
      <c r="E178" s="13" t="inlineStr">
        <is>
          <t>C053</t>
        </is>
      </c>
      <c r="F178" s="13" t="n">
        <v>1</v>
      </c>
    </row>
    <row r="179">
      <c r="A179" s="13" t="inlineStr">
        <is>
          <t>P175</t>
        </is>
      </c>
      <c r="B179" s="15" t="inlineStr">
        <is>
          <t>Julia Brim-Edwards</t>
        </is>
      </c>
      <c r="C179" s="13" t="n">
        <v>1</v>
      </c>
      <c r="D179" s="15" t="inlineStr">
        <is>
          <t>Friends of Sam Adams; Friends of Vadim; Vote Vasquez</t>
        </is>
      </c>
      <c r="E179" s="13" t="inlineStr">
        <is>
          <t>C258</t>
        </is>
      </c>
      <c r="F179" s="13" t="n">
        <v>1</v>
      </c>
    </row>
    <row r="180">
      <c r="A180" s="13" t="inlineStr">
        <is>
          <t>P176</t>
        </is>
      </c>
      <c r="B180" s="15" t="inlineStr">
        <is>
          <t>Julia Brim-Edwards</t>
        </is>
      </c>
      <c r="C180" s="13" t="n">
        <v>1</v>
      </c>
      <c r="D180" s="15" t="inlineStr">
        <is>
          <t>Friends of Pam Treece; Friends of Sam Adams</t>
        </is>
      </c>
      <c r="E180" s="13" t="inlineStr">
        <is>
          <t>C067</t>
        </is>
      </c>
      <c r="F180" s="13" t="n">
        <v>1</v>
      </c>
    </row>
    <row r="181">
      <c r="A181" s="13" t="inlineStr">
        <is>
          <t>P177</t>
        </is>
      </c>
      <c r="B181" s="15" t="inlineStr">
        <is>
          <t>Eli Arnold, Julia Brim-Edwards</t>
        </is>
      </c>
      <c r="C181" s="13" t="n">
        <v>2</v>
      </c>
      <c r="D181" s="15" t="inlineStr">
        <is>
          <t>Friends of Sam Adams; Friends of Vadim; Vote Vasquez</t>
        </is>
      </c>
      <c r="E181" s="13" t="inlineStr">
        <is>
          <t>C188, C201</t>
        </is>
      </c>
      <c r="F181" s="13" t="n">
        <v>2</v>
      </c>
    </row>
    <row r="182">
      <c r="A182" s="13" t="inlineStr">
        <is>
          <t>P178</t>
        </is>
      </c>
      <c r="B182" s="15" t="inlineStr">
        <is>
          <t>Julia Brim-Edwards</t>
        </is>
      </c>
      <c r="C182" s="13" t="n">
        <v>1</v>
      </c>
      <c r="D182" s="15" t="inlineStr">
        <is>
          <t>Friends of Sam Adams; Friends of Vadim; Vote Vasquez</t>
        </is>
      </c>
      <c r="E182" s="13" t="inlineStr">
        <is>
          <t>C307</t>
        </is>
      </c>
      <c r="F182" s="13" t="n">
        <v>1</v>
      </c>
    </row>
    <row r="183">
      <c r="A183" s="13" t="inlineStr">
        <is>
          <t>P179</t>
        </is>
      </c>
      <c r="B183" s="15" t="inlineStr">
        <is>
          <t>Kellie Torres, Julia Brim-Edwards</t>
        </is>
      </c>
      <c r="C183" s="13" t="n">
        <v>2</v>
      </c>
      <c r="D183" s="15" t="inlineStr">
        <is>
          <t>Friends of Vadim; Vote Vasquez</t>
        </is>
      </c>
      <c r="E183" s="13" t="inlineStr">
        <is>
          <t>C243</t>
        </is>
      </c>
      <c r="F183" s="13" t="n">
        <v>1</v>
      </c>
    </row>
    <row r="184">
      <c r="A184" s="13" t="inlineStr">
        <is>
          <t>P180</t>
        </is>
      </c>
      <c r="B184" s="15" t="inlineStr">
        <is>
          <t>Julia Brim-Edwards</t>
        </is>
      </c>
      <c r="C184" s="13" t="n">
        <v>1</v>
      </c>
      <c r="D184" s="15" t="inlineStr">
        <is>
          <t>Friends of Sam Adams</t>
        </is>
      </c>
      <c r="E184" s="13" t="inlineStr">
        <is>
          <t>C037</t>
        </is>
      </c>
      <c r="F184" s="13" t="n">
        <v>1</v>
      </c>
    </row>
    <row r="185">
      <c r="A185" s="13" t="inlineStr">
        <is>
          <t>P181</t>
        </is>
      </c>
      <c r="B185" s="15" t="inlineStr">
        <is>
          <t>Julia Brim-Edwards</t>
        </is>
      </c>
      <c r="C185" s="13" t="n">
        <v>1</v>
      </c>
      <c r="D185" s="15" t="inlineStr">
        <is>
          <t>Friends of Vadim</t>
        </is>
      </c>
      <c r="E185" s="13" t="inlineStr">
        <is>
          <t>C216</t>
        </is>
      </c>
      <c r="F185" s="13" t="n">
        <v>1</v>
      </c>
    </row>
    <row r="186">
      <c r="A186" s="13" t="inlineStr">
        <is>
          <t>P182</t>
        </is>
      </c>
      <c r="B186" s="15" t="inlineStr">
        <is>
          <t>Kellie Torres, Julia Brim-Edwards</t>
        </is>
      </c>
      <c r="C186" s="13" t="n">
        <v>2</v>
      </c>
      <c r="D186" s="15" t="inlineStr">
        <is>
          <t>Friends of Vadim; Rene For Portland</t>
        </is>
      </c>
      <c r="E186" s="13" t="inlineStr">
        <is>
          <t>C199</t>
        </is>
      </c>
      <c r="F186" s="13" t="n">
        <v>1</v>
      </c>
    </row>
    <row r="187">
      <c r="A187" s="13" t="inlineStr">
        <is>
          <t>P183</t>
        </is>
      </c>
      <c r="B187" s="15" t="inlineStr">
        <is>
          <t>Julia Brim-Edwards</t>
        </is>
      </c>
      <c r="C187" s="13" t="n">
        <v>1</v>
      </c>
      <c r="D187" s="15" t="inlineStr">
        <is>
          <t>Vote Vasquez</t>
        </is>
      </c>
      <c r="E187" s="13" t="inlineStr">
        <is>
          <t>C280</t>
        </is>
      </c>
      <c r="F187" s="13" t="n">
        <v>1</v>
      </c>
    </row>
    <row r="188">
      <c r="A188" s="13" t="inlineStr">
        <is>
          <t>P184</t>
        </is>
      </c>
      <c r="B188" s="15" t="inlineStr">
        <is>
          <t>Julia Brim-Edwards</t>
        </is>
      </c>
      <c r="C188" s="13" t="n">
        <v>1</v>
      </c>
      <c r="D188" s="15" t="inlineStr">
        <is>
          <t>Friends of Sam Adams</t>
        </is>
      </c>
      <c r="E188" s="13" t="inlineStr">
        <is>
          <t>C069</t>
        </is>
      </c>
      <c r="F188" s="13" t="n">
        <v>1</v>
      </c>
    </row>
    <row r="189">
      <c r="A189" s="13" t="inlineStr">
        <is>
          <t>P185</t>
        </is>
      </c>
      <c r="B189" s="15" t="inlineStr">
        <is>
          <t>Julia Brim-Edwards</t>
        </is>
      </c>
      <c r="C189" s="13" t="n">
        <v>1</v>
      </c>
      <c r="D189" s="15" t="inlineStr">
        <is>
          <t>Rene For Portland</t>
        </is>
      </c>
      <c r="E189" s="13" t="inlineStr">
        <is>
          <t>C115</t>
        </is>
      </c>
      <c r="F189" s="13" t="n">
        <v>1</v>
      </c>
    </row>
    <row r="190">
      <c r="A190" s="13" t="inlineStr">
        <is>
          <t>P186</t>
        </is>
      </c>
      <c r="B190" s="15" t="inlineStr">
        <is>
          <t>Olivia Clark, Julia Brim-Edwards</t>
        </is>
      </c>
      <c r="C190" s="13" t="n">
        <v>2</v>
      </c>
      <c r="D190" s="15" t="inlineStr">
        <is>
          <t>Rene for Portland; Vote Vasquez</t>
        </is>
      </c>
      <c r="E190" s="13" t="inlineStr">
        <is>
          <t>C166, C305</t>
        </is>
      </c>
      <c r="F190" s="13" t="n">
        <v>2</v>
      </c>
    </row>
    <row r="191">
      <c r="A191" s="13" t="inlineStr">
        <is>
          <t>P187</t>
        </is>
      </c>
      <c r="B191" s="15" t="inlineStr">
        <is>
          <t>Julia Brim-Edwards</t>
        </is>
      </c>
      <c r="C191" s="13" t="n">
        <v>1</v>
      </c>
      <c r="D191" s="15" t="inlineStr">
        <is>
          <t>Rene For Portland</t>
        </is>
      </c>
      <c r="E191" s="13" t="inlineStr">
        <is>
          <t>C116</t>
        </is>
      </c>
      <c r="F191" s="13" t="n">
        <v>1</v>
      </c>
    </row>
    <row r="192">
      <c r="A192" s="13" t="inlineStr">
        <is>
          <t>P188</t>
        </is>
      </c>
      <c r="B192" s="15" t="inlineStr">
        <is>
          <t>Eli Arnold, Julia Brim-Edwards</t>
        </is>
      </c>
      <c r="C192" s="13" t="n">
        <v>2</v>
      </c>
      <c r="D192" s="15" t="inlineStr">
        <is>
          <t>Friends of Sam Adams; Friends of Vadim</t>
        </is>
      </c>
      <c r="E192" s="13" t="inlineStr">
        <is>
          <t>C262, C263</t>
        </is>
      </c>
      <c r="F192" s="13" t="n">
        <v>2</v>
      </c>
    </row>
    <row r="193">
      <c r="A193" s="13" t="inlineStr">
        <is>
          <t>P189</t>
        </is>
      </c>
      <c r="B193" s="15" t="inlineStr">
        <is>
          <t>Julia Brim-Edwards</t>
        </is>
      </c>
      <c r="C193" s="13" t="n">
        <v>1</v>
      </c>
      <c r="D193" s="15" t="inlineStr">
        <is>
          <t>Friends of Vadim</t>
        </is>
      </c>
      <c r="E193" s="13" t="inlineStr">
        <is>
          <t>C208</t>
        </is>
      </c>
      <c r="F193" s="13" t="n">
        <v>1</v>
      </c>
    </row>
    <row r="194">
      <c r="A194" s="13" t="inlineStr">
        <is>
          <t>P190</t>
        </is>
      </c>
      <c r="B194" s="15" t="inlineStr">
        <is>
          <t>Julia Brim-Edwards</t>
        </is>
      </c>
      <c r="C194" s="13" t="n">
        <v>1</v>
      </c>
      <c r="D194" s="15" t="inlineStr">
        <is>
          <t>Friends of Vadim</t>
        </is>
      </c>
      <c r="E194" s="13" t="inlineStr">
        <is>
          <t>C226</t>
        </is>
      </c>
      <c r="F194" s="13" t="n">
        <v>1</v>
      </c>
    </row>
    <row r="195">
      <c r="A195" s="13" t="inlineStr">
        <is>
          <t>P191</t>
        </is>
      </c>
      <c r="B195" s="15" t="inlineStr">
        <is>
          <t>Julia Brim-Edwards</t>
        </is>
      </c>
      <c r="C195" s="13" t="n">
        <v>1</v>
      </c>
      <c r="D195" s="15" t="inlineStr">
        <is>
          <t>Friends of Vadim; Rene For Portland; Rene for Portland; Vote Vasquez</t>
        </is>
      </c>
      <c r="E195" s="13" t="inlineStr">
        <is>
          <t>C081</t>
        </is>
      </c>
      <c r="F195" s="13" t="n">
        <v>1</v>
      </c>
    </row>
    <row r="196">
      <c r="A196" s="13" t="inlineStr">
        <is>
          <t>P192</t>
        </is>
      </c>
      <c r="B196" s="15" t="inlineStr">
        <is>
          <t>Julia Brim-Edwards</t>
        </is>
      </c>
      <c r="C196" s="13" t="n">
        <v>1</v>
      </c>
      <c r="D196" s="15" t="inlineStr">
        <is>
          <t>Friends of Vadim</t>
        </is>
      </c>
      <c r="E196" s="13" t="inlineStr">
        <is>
          <t>C220</t>
        </is>
      </c>
      <c r="F196" s="13" t="n">
        <v>1</v>
      </c>
    </row>
    <row r="197">
      <c r="A197" s="13" t="inlineStr">
        <is>
          <t>P193</t>
        </is>
      </c>
      <c r="B197" s="15" t="inlineStr">
        <is>
          <t>Julia Brim-Edwards</t>
        </is>
      </c>
      <c r="C197" s="13" t="n">
        <v>1</v>
      </c>
      <c r="D197" s="15" t="inlineStr">
        <is>
          <t>Friends of Sam Adams</t>
        </is>
      </c>
      <c r="E197" s="13" t="inlineStr">
        <is>
          <t>C052</t>
        </is>
      </c>
      <c r="F197" s="13" t="n">
        <v>1</v>
      </c>
    </row>
    <row r="198">
      <c r="A198" s="13" t="inlineStr">
        <is>
          <t>P194</t>
        </is>
      </c>
      <c r="B198" s="15" t="inlineStr">
        <is>
          <t>Julia Brim-Edwards</t>
        </is>
      </c>
      <c r="C198" s="13" t="n">
        <v>1</v>
      </c>
      <c r="D198" s="15" t="inlineStr">
        <is>
          <t>Friends of Pam Treece</t>
        </is>
      </c>
      <c r="E198" s="13" t="inlineStr">
        <is>
          <t>C022</t>
        </is>
      </c>
      <c r="F198" s="13" t="n">
        <v>1</v>
      </c>
    </row>
    <row r="199">
      <c r="A199" s="13" t="inlineStr">
        <is>
          <t>P195</t>
        </is>
      </c>
      <c r="B199" s="15" t="inlineStr">
        <is>
          <t>Julia Brim-Edwards</t>
        </is>
      </c>
      <c r="C199" s="13" t="n">
        <v>1</v>
      </c>
      <c r="D199" s="15" t="inlineStr">
        <is>
          <t>Vote Vasquez</t>
        </is>
      </c>
      <c r="E199" s="13" t="inlineStr">
        <is>
          <t>C281</t>
        </is>
      </c>
      <c r="F199" s="13" t="n">
        <v>1</v>
      </c>
    </row>
    <row r="200">
      <c r="A200" s="13" t="inlineStr">
        <is>
          <t>P196</t>
        </is>
      </c>
      <c r="B200" s="15" t="inlineStr">
        <is>
          <t>Julia Brim-Edwards</t>
        </is>
      </c>
      <c r="C200" s="13" t="n">
        <v>1</v>
      </c>
      <c r="D200" s="15" t="inlineStr">
        <is>
          <t>Friends of Sam Adams; Friends of Vadim; Rene for Portland; Vote Vasquez</t>
        </is>
      </c>
      <c r="E200" s="13" t="inlineStr">
        <is>
          <t>C282</t>
        </is>
      </c>
      <c r="F200" s="13" t="n">
        <v>1</v>
      </c>
    </row>
    <row r="201">
      <c r="A201" s="13" t="inlineStr">
        <is>
          <t>P197</t>
        </is>
      </c>
      <c r="B201" s="15" t="inlineStr">
        <is>
          <t>Julia Brim-Edwards</t>
        </is>
      </c>
      <c r="C201" s="13" t="n">
        <v>1</v>
      </c>
      <c r="D201" s="15" t="inlineStr">
        <is>
          <t>Friends of Vadim</t>
        </is>
      </c>
      <c r="E201" s="13" t="inlineStr">
        <is>
          <t>C251</t>
        </is>
      </c>
      <c r="F201" s="13" t="n">
        <v>1</v>
      </c>
    </row>
    <row r="202">
      <c r="A202" s="13" t="inlineStr">
        <is>
          <t>P198</t>
        </is>
      </c>
      <c r="B202" s="15" t="inlineStr">
        <is>
          <t>Julia Brim-Edwards</t>
        </is>
      </c>
      <c r="C202" s="13" t="n">
        <v>1</v>
      </c>
      <c r="D202" s="15" t="inlineStr">
        <is>
          <t>Vote Vasquez</t>
        </is>
      </c>
      <c r="E202" s="13" t="inlineStr">
        <is>
          <t>C312</t>
        </is>
      </c>
      <c r="F202" s="13" t="n">
        <v>1</v>
      </c>
    </row>
    <row r="203">
      <c r="A203" s="13" t="inlineStr">
        <is>
          <t>P199</t>
        </is>
      </c>
      <c r="B203" s="15" t="inlineStr">
        <is>
          <t>Julia Brim-Edwards</t>
        </is>
      </c>
      <c r="C203" s="13" t="n">
        <v>1</v>
      </c>
      <c r="D203" s="15" t="inlineStr">
        <is>
          <t>Vote Vasquez</t>
        </is>
      </c>
      <c r="E203" s="13" t="inlineStr">
        <is>
          <t>C298</t>
        </is>
      </c>
      <c r="F203" s="13" t="n">
        <v>1</v>
      </c>
    </row>
    <row r="204">
      <c r="A204" s="13" t="inlineStr">
        <is>
          <t>P200</t>
        </is>
      </c>
      <c r="B204" s="15" t="inlineStr">
        <is>
          <t>Julia Brim-Edwards</t>
        </is>
      </c>
      <c r="C204" s="13" t="n">
        <v>1</v>
      </c>
      <c r="D204" s="15" t="inlineStr">
        <is>
          <t>Friends of Vadim</t>
        </is>
      </c>
      <c r="E204" s="13" t="inlineStr">
        <is>
          <t>C239</t>
        </is>
      </c>
      <c r="F204" s="13" t="n">
        <v>1</v>
      </c>
    </row>
    <row r="205">
      <c r="A205" s="13" t="inlineStr">
        <is>
          <t>P201</t>
        </is>
      </c>
      <c r="B205" s="15" t="inlineStr">
        <is>
          <t>Eli Arnold, Julia Brim-Edwards</t>
        </is>
      </c>
      <c r="C205" s="13" t="n">
        <v>2</v>
      </c>
      <c r="D205" s="15" t="inlineStr">
        <is>
          <t>Rene For Portland</t>
        </is>
      </c>
      <c r="E205" s="13" t="inlineStr">
        <is>
          <t>C157</t>
        </is>
      </c>
      <c r="F205" s="13" t="n">
        <v>1</v>
      </c>
    </row>
    <row r="206">
      <c r="A206" s="13" t="inlineStr">
        <is>
          <t>P202</t>
        </is>
      </c>
      <c r="B206" s="15" t="inlineStr">
        <is>
          <t>Julia Brim-Edwards</t>
        </is>
      </c>
      <c r="C206" s="13" t="n">
        <v>1</v>
      </c>
      <c r="D206" s="15" t="inlineStr">
        <is>
          <t>Rene For Portland; Rene for Portland</t>
        </is>
      </c>
      <c r="E206" s="13" t="inlineStr">
        <is>
          <t>C092</t>
        </is>
      </c>
      <c r="F206" s="13" t="n">
        <v>1</v>
      </c>
    </row>
    <row r="207">
      <c r="A207" s="13" t="inlineStr">
        <is>
          <t>P203</t>
        </is>
      </c>
      <c r="B207" s="15" t="inlineStr">
        <is>
          <t>Julia Brim-Edwards</t>
        </is>
      </c>
      <c r="C207" s="13" t="n">
        <v>1</v>
      </c>
      <c r="D207" s="15" t="inlineStr">
        <is>
          <t>Vote Vasquez</t>
        </is>
      </c>
      <c r="E207" s="13" t="inlineStr">
        <is>
          <t>C279</t>
        </is>
      </c>
      <c r="F207" s="13" t="n">
        <v>1</v>
      </c>
    </row>
    <row r="208">
      <c r="A208" s="13" t="inlineStr">
        <is>
          <t>P204</t>
        </is>
      </c>
      <c r="B208" s="15" t="inlineStr">
        <is>
          <t>Olivia Clark</t>
        </is>
      </c>
      <c r="C208" s="13" t="n">
        <v>1</v>
      </c>
      <c r="D208" s="15" t="inlineStr">
        <is>
          <t>Portland Accountability PAC; Rene For Portland; Rene for Portland</t>
        </is>
      </c>
      <c r="E208" s="13" t="inlineStr">
        <is>
          <t>C103</t>
        </is>
      </c>
      <c r="F208" s="13" t="n">
        <v>1</v>
      </c>
    </row>
    <row r="209">
      <c r="A209" s="13" t="inlineStr">
        <is>
          <t>P205</t>
        </is>
      </c>
      <c r="B209" s="15" t="inlineStr">
        <is>
          <t>Olivia Clark</t>
        </is>
      </c>
      <c r="C209" s="13" t="n">
        <v>1</v>
      </c>
      <c r="D209" s="15" t="inlineStr">
        <is>
          <t>Friends of Pam Treece</t>
        </is>
      </c>
      <c r="E209" s="13" t="inlineStr">
        <is>
          <t>C001</t>
        </is>
      </c>
      <c r="F209" s="13" t="n">
        <v>1</v>
      </c>
    </row>
    <row r="210">
      <c r="A210" s="13" t="inlineStr">
        <is>
          <t>P206</t>
        </is>
      </c>
      <c r="B210" s="15" t="inlineStr">
        <is>
          <t>Olivia Clark</t>
        </is>
      </c>
      <c r="C210" s="13" t="n">
        <v>1</v>
      </c>
      <c r="D210" s="15" t="inlineStr">
        <is>
          <t>Friends of Sam Adams; Friends of Vadim; Portland Accountability PAC</t>
        </is>
      </c>
      <c r="E210" s="13" t="inlineStr">
        <is>
          <t>C270</t>
        </is>
      </c>
      <c r="F210" s="13" t="n">
        <v>1</v>
      </c>
    </row>
    <row r="211">
      <c r="A211" s="13" t="inlineStr">
        <is>
          <t>P207</t>
        </is>
      </c>
      <c r="B211" s="15" t="inlineStr">
        <is>
          <t>Olivia Clark</t>
        </is>
      </c>
      <c r="C211" s="13" t="n">
        <v>1</v>
      </c>
      <c r="D211" s="15" t="inlineStr">
        <is>
          <t>Friends of Pam Treece</t>
        </is>
      </c>
      <c r="E211" s="13" t="inlineStr">
        <is>
          <t>C018</t>
        </is>
      </c>
      <c r="F211" s="13" t="n">
        <v>1</v>
      </c>
    </row>
    <row r="212">
      <c r="A212" s="13" t="inlineStr">
        <is>
          <t>P208</t>
        </is>
      </c>
      <c r="B212" s="15" t="inlineStr">
        <is>
          <t>Olivia Clark</t>
        </is>
      </c>
      <c r="C212" s="13" t="n">
        <v>1</v>
      </c>
      <c r="D212" s="15" t="inlineStr">
        <is>
          <t>Vote Vasquez</t>
        </is>
      </c>
      <c r="E212" s="13" t="inlineStr">
        <is>
          <t>C286</t>
        </is>
      </c>
      <c r="F212" s="13" t="n">
        <v>1</v>
      </c>
    </row>
    <row r="213">
      <c r="A213" s="13" t="inlineStr">
        <is>
          <t>P209</t>
        </is>
      </c>
      <c r="B213" s="15" t="inlineStr">
        <is>
          <t>Olivia Clark</t>
        </is>
      </c>
      <c r="C213" s="13" t="n">
        <v>1</v>
      </c>
      <c r="D213" s="15" t="inlineStr">
        <is>
          <t>Friends of Vadim</t>
        </is>
      </c>
      <c r="E213" s="13" t="inlineStr">
        <is>
          <t>C238</t>
        </is>
      </c>
      <c r="F213" s="13" t="n">
        <v>1</v>
      </c>
    </row>
    <row r="214">
      <c r="A214" s="13" t="inlineStr">
        <is>
          <t>P210</t>
        </is>
      </c>
      <c r="B214" s="15" t="inlineStr">
        <is>
          <t>Olivia Clark, Eli Arnold</t>
        </is>
      </c>
      <c r="C214" s="13" t="n">
        <v>2</v>
      </c>
      <c r="D214" s="15" t="inlineStr">
        <is>
          <t>Friends of Vadim</t>
        </is>
      </c>
      <c r="E214" s="13" t="inlineStr">
        <is>
          <t>C245</t>
        </is>
      </c>
      <c r="F214" s="13" t="n">
        <v>1</v>
      </c>
    </row>
    <row r="215">
      <c r="A215" s="13" t="inlineStr">
        <is>
          <t>P211</t>
        </is>
      </c>
      <c r="B215" s="15" t="inlineStr">
        <is>
          <t>Olivia Clark</t>
        </is>
      </c>
      <c r="C215" s="13" t="n">
        <v>1</v>
      </c>
      <c r="D215" s="15" t="inlineStr">
        <is>
          <t>Friends of Pam Treece; Friends of Sam Adams; Rene For Portland; Rene for Portland; Vote Vasquez</t>
        </is>
      </c>
      <c r="E215" s="13" t="inlineStr">
        <is>
          <t>C007</t>
        </is>
      </c>
      <c r="F215" s="13" t="n">
        <v>1</v>
      </c>
    </row>
    <row r="216">
      <c r="A216" s="13" t="inlineStr">
        <is>
          <t>P212</t>
        </is>
      </c>
      <c r="B216" s="15" t="inlineStr">
        <is>
          <t>Olivia Clark</t>
        </is>
      </c>
      <c r="C216" s="13" t="n">
        <v>1</v>
      </c>
      <c r="D216" s="15" t="inlineStr">
        <is>
          <t>Vote Vasquez</t>
        </is>
      </c>
      <c r="E216" s="13" t="inlineStr">
        <is>
          <t>C300</t>
        </is>
      </c>
      <c r="F216" s="13" t="n">
        <v>1</v>
      </c>
    </row>
    <row r="217">
      <c r="A217" s="13" t="inlineStr">
        <is>
          <t>P213</t>
        </is>
      </c>
      <c r="B217" s="15" t="inlineStr">
        <is>
          <t>Olivia Clark</t>
        </is>
      </c>
      <c r="C217" s="13" t="n">
        <v>1</v>
      </c>
      <c r="D217" s="15" t="inlineStr">
        <is>
          <t>Rene For Portland</t>
        </is>
      </c>
      <c r="E217" s="13" t="inlineStr">
        <is>
          <t>C158</t>
        </is>
      </c>
      <c r="F217" s="13" t="n">
        <v>1</v>
      </c>
    </row>
    <row r="218">
      <c r="A218" s="13" t="inlineStr">
        <is>
          <t>P214</t>
        </is>
      </c>
      <c r="B218" s="15" t="inlineStr">
        <is>
          <t>Olivia Clark, Eli Arnold</t>
        </is>
      </c>
      <c r="C218" s="13" t="n">
        <v>2</v>
      </c>
      <c r="D218" s="15" t="inlineStr">
        <is>
          <t>Friends of Sam Adams; Rene For Portland; Rene for Portland; Vote Vasquez</t>
        </is>
      </c>
      <c r="E218" s="13" t="inlineStr">
        <is>
          <t>C111, C112</t>
        </is>
      </c>
      <c r="F218" s="13" t="n">
        <v>2</v>
      </c>
    </row>
    <row r="219">
      <c r="A219" s="13" t="inlineStr">
        <is>
          <t>P215</t>
        </is>
      </c>
      <c r="B219" s="15" t="inlineStr">
        <is>
          <t>Olivia Clark, Eli Arnold</t>
        </is>
      </c>
      <c r="C219" s="13" t="n">
        <v>2</v>
      </c>
      <c r="D219" s="15" t="inlineStr">
        <is>
          <t>Friends of Vadim; Rene For Portland; Rene for Portland</t>
        </is>
      </c>
      <c r="E219" s="13" t="inlineStr">
        <is>
          <t>C217</t>
        </is>
      </c>
      <c r="F219" s="13" t="n">
        <v>1</v>
      </c>
    </row>
    <row r="220">
      <c r="A220" s="13" t="inlineStr">
        <is>
          <t>P216</t>
        </is>
      </c>
      <c r="B220" s="15" t="inlineStr">
        <is>
          <t>Olivia Clark</t>
        </is>
      </c>
      <c r="C220" s="13" t="n">
        <v>1</v>
      </c>
      <c r="D220" s="15" t="inlineStr">
        <is>
          <t>Rene For Portland</t>
        </is>
      </c>
      <c r="E220" s="13" t="inlineStr">
        <is>
          <t>C119</t>
        </is>
      </c>
      <c r="F220" s="13" t="n">
        <v>1</v>
      </c>
    </row>
    <row r="221">
      <c r="A221" s="13" t="inlineStr">
        <is>
          <t>P217</t>
        </is>
      </c>
      <c r="B221" s="15" t="inlineStr">
        <is>
          <t>Olivia Clark</t>
        </is>
      </c>
      <c r="C221" s="13" t="n">
        <v>1</v>
      </c>
      <c r="D221" s="15" t="inlineStr">
        <is>
          <t>Friends of Sam Adams</t>
        </is>
      </c>
      <c r="E221" s="13" t="inlineStr">
        <is>
          <t>C032</t>
        </is>
      </c>
      <c r="F221" s="13" t="n">
        <v>1</v>
      </c>
    </row>
    <row r="222">
      <c r="A222" s="13" t="inlineStr">
        <is>
          <t>P218</t>
        </is>
      </c>
      <c r="B222" s="15" t="inlineStr">
        <is>
          <t>Kellie Torres, Olivia Clark</t>
        </is>
      </c>
      <c r="C222" s="13" t="n">
        <v>2</v>
      </c>
      <c r="D222" s="15" t="inlineStr">
        <is>
          <t>Friends of Vadim; Rene For Portland</t>
        </is>
      </c>
      <c r="E222" s="13" t="inlineStr">
        <is>
          <t>C142, C206</t>
        </is>
      </c>
      <c r="F222" s="13" t="n">
        <v>2</v>
      </c>
    </row>
    <row r="223">
      <c r="A223" s="13" t="inlineStr">
        <is>
          <t>P219</t>
        </is>
      </c>
      <c r="B223" s="15" t="inlineStr">
        <is>
          <t>Olivia Clark</t>
        </is>
      </c>
      <c r="C223" s="13" t="n">
        <v>1</v>
      </c>
      <c r="D223" s="15" t="inlineStr">
        <is>
          <t>Portland Accountability PAC; Rene For Portland</t>
        </is>
      </c>
      <c r="E223" s="13" t="inlineStr">
        <is>
          <t>C149</t>
        </is>
      </c>
      <c r="F223" s="13" t="n">
        <v>1</v>
      </c>
    </row>
    <row r="224">
      <c r="A224" s="13" t="inlineStr">
        <is>
          <t>P220</t>
        </is>
      </c>
      <c r="B224" s="15" t="inlineStr">
        <is>
          <t>Olivia Clark</t>
        </is>
      </c>
      <c r="C224" s="13" t="n">
        <v>1</v>
      </c>
      <c r="D224" s="15" t="inlineStr">
        <is>
          <t>Rene for Portland</t>
        </is>
      </c>
      <c r="E224" s="13" t="inlineStr">
        <is>
          <t>C186</t>
        </is>
      </c>
      <c r="F224" s="13" t="n">
        <v>1</v>
      </c>
    </row>
    <row r="225">
      <c r="A225" s="13" t="inlineStr">
        <is>
          <t>P221</t>
        </is>
      </c>
      <c r="B225" s="15" t="inlineStr">
        <is>
          <t>Eli Arnold</t>
        </is>
      </c>
      <c r="C225" s="13" t="n">
        <v>1</v>
      </c>
      <c r="D225" s="15" t="inlineStr">
        <is>
          <t>Rene for Portland; Vote Vasquez</t>
        </is>
      </c>
      <c r="E225" s="13" t="inlineStr">
        <is>
          <t>C285</t>
        </is>
      </c>
      <c r="F225" s="13" t="n">
        <v>1</v>
      </c>
    </row>
    <row r="226">
      <c r="A226" s="13" t="inlineStr">
        <is>
          <t>P222</t>
        </is>
      </c>
      <c r="B226" s="15" t="inlineStr">
        <is>
          <t>Eli Arnold</t>
        </is>
      </c>
      <c r="C226" s="13" t="n">
        <v>1</v>
      </c>
      <c r="D226" s="15" t="inlineStr">
        <is>
          <t>Rene for Portland</t>
        </is>
      </c>
      <c r="E226" s="13" t="inlineStr">
        <is>
          <t>C177</t>
        </is>
      </c>
      <c r="F226" s="13" t="n">
        <v>1</v>
      </c>
    </row>
    <row r="227">
      <c r="A227" s="13" t="inlineStr">
        <is>
          <t>P223</t>
        </is>
      </c>
      <c r="B227" s="15" t="inlineStr">
        <is>
          <t>Eli Arnold</t>
        </is>
      </c>
      <c r="C227" s="13" t="n">
        <v>1</v>
      </c>
      <c r="D227" s="15" t="inlineStr">
        <is>
          <t>Friends of Vadim</t>
        </is>
      </c>
      <c r="E227" s="13" t="inlineStr">
        <is>
          <t>C200</t>
        </is>
      </c>
      <c r="F227" s="13" t="n">
        <v>1</v>
      </c>
    </row>
    <row r="228">
      <c r="A228" s="13" t="inlineStr">
        <is>
          <t>P224</t>
        </is>
      </c>
      <c r="B228" s="15" t="inlineStr">
        <is>
          <t>Eli Arnold</t>
        </is>
      </c>
      <c r="C228" s="13" t="n">
        <v>1</v>
      </c>
      <c r="D228" s="15" t="inlineStr">
        <is>
          <t>Friends of Vadim; Rene For Portland; Rene for Portland; Vote Vasquez</t>
        </is>
      </c>
      <c r="E228" s="13" t="inlineStr">
        <is>
          <t>C143</t>
        </is>
      </c>
      <c r="F228" s="13" t="n">
        <v>1</v>
      </c>
    </row>
    <row r="229">
      <c r="A229" s="13" t="inlineStr">
        <is>
          <t>P225</t>
        </is>
      </c>
      <c r="B229" s="15" t="inlineStr">
        <is>
          <t>Eli Arnold</t>
        </is>
      </c>
      <c r="C229" s="13" t="n">
        <v>1</v>
      </c>
      <c r="D229" s="15" t="inlineStr">
        <is>
          <t>Rene For Portland; Rene for Portland</t>
        </is>
      </c>
      <c r="E229" s="13" t="inlineStr">
        <is>
          <t>C098</t>
        </is>
      </c>
      <c r="F229" s="13" t="n">
        <v>1</v>
      </c>
    </row>
    <row r="230">
      <c r="A230" s="13" t="inlineStr">
        <is>
          <t>P226</t>
        </is>
      </c>
      <c r="B230" s="15" t="inlineStr">
        <is>
          <t>Eli Arnold</t>
        </is>
      </c>
      <c r="C230" s="13" t="n">
        <v>1</v>
      </c>
      <c r="D230" s="15" t="inlineStr">
        <is>
          <t>Friends of Vadim; Rene For Portland; Rene for Portland</t>
        </is>
      </c>
      <c r="E230" s="13" t="inlineStr">
        <is>
          <t>C121</t>
        </is>
      </c>
      <c r="F230" s="13" t="n">
        <v>1</v>
      </c>
    </row>
    <row r="231">
      <c r="A231" s="13" t="inlineStr">
        <is>
          <t>P227</t>
        </is>
      </c>
      <c r="B231" s="15" t="inlineStr">
        <is>
          <t>Eli Arnold</t>
        </is>
      </c>
      <c r="C231" s="13" t="n">
        <v>1</v>
      </c>
      <c r="D231" s="15" t="inlineStr">
        <is>
          <t>Rene For Portland</t>
        </is>
      </c>
      <c r="E231" s="13" t="inlineStr">
        <is>
          <t>C122</t>
        </is>
      </c>
      <c r="F231" s="13" t="n">
        <v>1</v>
      </c>
    </row>
    <row r="232">
      <c r="A232" s="13" t="inlineStr">
        <is>
          <t>P228</t>
        </is>
      </c>
      <c r="B232" s="15" t="inlineStr">
        <is>
          <t>Eli Arnold</t>
        </is>
      </c>
      <c r="C232" s="13" t="n">
        <v>1</v>
      </c>
      <c r="D232" s="15" t="inlineStr">
        <is>
          <t>Rene for Portland</t>
        </is>
      </c>
      <c r="E232" s="13" t="inlineStr">
        <is>
          <t>C178</t>
        </is>
      </c>
      <c r="F232" s="13" t="n">
        <v>1</v>
      </c>
    </row>
    <row r="233">
      <c r="A233" s="13" t="inlineStr">
        <is>
          <t>P229</t>
        </is>
      </c>
      <c r="B233" s="15" t="inlineStr">
        <is>
          <t>Eli Arnold</t>
        </is>
      </c>
      <c r="C233" s="13" t="n">
        <v>1</v>
      </c>
      <c r="D233" s="15" t="inlineStr">
        <is>
          <t>Rene For Portland; Rene for Portland</t>
        </is>
      </c>
      <c r="E233" s="13" t="inlineStr">
        <is>
          <t>C097</t>
        </is>
      </c>
      <c r="F233" s="13" t="n">
        <v>1</v>
      </c>
    </row>
    <row r="234">
      <c r="A234" s="13" t="inlineStr">
        <is>
          <t>P230</t>
        </is>
      </c>
      <c r="B234" s="15" t="inlineStr">
        <is>
          <t>Eli Arnold</t>
        </is>
      </c>
      <c r="C234" s="13" t="n">
        <v>1</v>
      </c>
      <c r="D234" s="15" t="inlineStr">
        <is>
          <t>Rene For Portland; Rene for Portland</t>
        </is>
      </c>
      <c r="E234" s="13" t="inlineStr">
        <is>
          <t>C086</t>
        </is>
      </c>
      <c r="F234" s="13" t="n">
        <v>1</v>
      </c>
    </row>
    <row r="235">
      <c r="A235" s="13" t="inlineStr">
        <is>
          <t>P231</t>
        </is>
      </c>
      <c r="B235" s="15" t="inlineStr">
        <is>
          <t>Eli Arnold</t>
        </is>
      </c>
      <c r="C235" s="13" t="n">
        <v>1</v>
      </c>
      <c r="D235" s="15" t="inlineStr">
        <is>
          <t>Rene for Portland; Vote Vasquez</t>
        </is>
      </c>
      <c r="E235" s="13" t="inlineStr">
        <is>
          <t>C168</t>
        </is>
      </c>
      <c r="F235" s="13" t="n">
        <v>1</v>
      </c>
    </row>
    <row r="236">
      <c r="A236" s="13" t="inlineStr">
        <is>
          <t>P232</t>
        </is>
      </c>
      <c r="B236" s="15" t="inlineStr">
        <is>
          <t>Eli Arnold</t>
        </is>
      </c>
      <c r="C236" s="13" t="n">
        <v>1</v>
      </c>
      <c r="D236" s="15" t="inlineStr">
        <is>
          <t>Rene For Portland; Vote Vasquez</t>
        </is>
      </c>
      <c r="E236" s="13" t="inlineStr">
        <is>
          <t>C136</t>
        </is>
      </c>
      <c r="F236" s="13" t="n">
        <v>1</v>
      </c>
    </row>
    <row r="237">
      <c r="A237" s="13" t="inlineStr">
        <is>
          <t>P233</t>
        </is>
      </c>
      <c r="B237" s="15" t="inlineStr">
        <is>
          <t>Eli Arnold</t>
        </is>
      </c>
      <c r="C237" s="13" t="n">
        <v>1</v>
      </c>
      <c r="D237" s="15" t="inlineStr">
        <is>
          <t>Friends of Sam Adams</t>
        </is>
      </c>
      <c r="E237" s="13" t="inlineStr">
        <is>
          <t>C046</t>
        </is>
      </c>
      <c r="F237" s="13" t="n">
        <v>1</v>
      </c>
    </row>
    <row r="238">
      <c r="A238" s="13" t="inlineStr">
        <is>
          <t>P234</t>
        </is>
      </c>
      <c r="B238" s="15" t="inlineStr">
        <is>
          <t>Eli Arnold</t>
        </is>
      </c>
      <c r="C238" s="13" t="n">
        <v>1</v>
      </c>
      <c r="D238" s="15" t="inlineStr">
        <is>
          <t>Rene for Portland</t>
        </is>
      </c>
      <c r="E238" s="13" t="inlineStr">
        <is>
          <t>C187</t>
        </is>
      </c>
      <c r="F238" s="13" t="n">
        <v>1</v>
      </c>
    </row>
    <row r="239">
      <c r="A239" s="13" t="inlineStr">
        <is>
          <t>P235</t>
        </is>
      </c>
      <c r="B239" s="15" t="inlineStr">
        <is>
          <t>Eli Arnold</t>
        </is>
      </c>
      <c r="C239" s="13" t="n">
        <v>1</v>
      </c>
      <c r="D239" s="15" t="inlineStr">
        <is>
          <t>Rene For Portland</t>
        </is>
      </c>
      <c r="E239" s="13" t="inlineStr">
        <is>
          <t>C156</t>
        </is>
      </c>
      <c r="F239" s="13" t="n">
        <v>1</v>
      </c>
    </row>
    <row r="240">
      <c r="A240" s="13" t="inlineStr">
        <is>
          <t>P236</t>
        </is>
      </c>
      <c r="B240" s="15" t="inlineStr">
        <is>
          <t>Eli Arnold</t>
        </is>
      </c>
      <c r="C240" s="13" t="n">
        <v>1</v>
      </c>
      <c r="D240" s="15" t="inlineStr">
        <is>
          <t>Friends of Vadim; Rene For Portland; Rene for Portland; Vote Vasquez</t>
        </is>
      </c>
      <c r="E240" s="13" t="inlineStr">
        <is>
          <t>C247</t>
        </is>
      </c>
      <c r="F240" s="13" t="n">
        <v>1</v>
      </c>
    </row>
    <row r="241">
      <c r="A241" s="13" t="inlineStr">
        <is>
          <t>P237</t>
        </is>
      </c>
      <c r="B241" s="15" t="inlineStr">
        <is>
          <t>Eli Arnold</t>
        </is>
      </c>
      <c r="C241" s="13" t="n">
        <v>1</v>
      </c>
      <c r="D241" s="15" t="inlineStr">
        <is>
          <t>Rene For Portland</t>
        </is>
      </c>
      <c r="E241" s="13" t="inlineStr">
        <is>
          <t>C120</t>
        </is>
      </c>
      <c r="F241" s="13" t="n">
        <v>1</v>
      </c>
    </row>
    <row r="242">
      <c r="A242" s="13" t="inlineStr">
        <is>
          <t>P238</t>
        </is>
      </c>
      <c r="B242" s="15" t="inlineStr">
        <is>
          <t>Eli Arnold</t>
        </is>
      </c>
      <c r="C242" s="13" t="n">
        <v>1</v>
      </c>
      <c r="D242" s="15" t="inlineStr">
        <is>
          <t>Friends of Vadim; Rene For Portland; Rene for Portland</t>
        </is>
      </c>
      <c r="E242" s="13" t="inlineStr">
        <is>
          <t>C195</t>
        </is>
      </c>
      <c r="F242" s="13" t="n">
        <v>1</v>
      </c>
    </row>
    <row r="243">
      <c r="A243" s="13" t="inlineStr">
        <is>
          <t>P239</t>
        </is>
      </c>
      <c r="B243" s="15" t="inlineStr">
        <is>
          <t>Kellie Torres, Eli Arnold</t>
        </is>
      </c>
      <c r="C243" s="13" t="n">
        <v>2</v>
      </c>
      <c r="D243" s="15" t="inlineStr">
        <is>
          <t>Friends of Sam Adams; Friends of Vadim; Rene For Portland; Rene for Portland; Vote Vasquez</t>
        </is>
      </c>
      <c r="E243" s="13" t="inlineStr">
        <is>
          <t>C229</t>
        </is>
      </c>
      <c r="F243" s="13" t="n">
        <v>1</v>
      </c>
    </row>
    <row r="244">
      <c r="A244" s="13" t="inlineStr">
        <is>
          <t>P240</t>
        </is>
      </c>
      <c r="B244" s="15" t="inlineStr">
        <is>
          <t>Eli Arnold</t>
        </is>
      </c>
      <c r="C244" s="13" t="n">
        <v>1</v>
      </c>
      <c r="D244" s="15" t="inlineStr">
        <is>
          <t>Friends of Vadim; Vote Vasquez</t>
        </is>
      </c>
      <c r="E244" s="13" t="inlineStr">
        <is>
          <t>C291</t>
        </is>
      </c>
      <c r="F244" s="13" t="n">
        <v>1</v>
      </c>
    </row>
    <row r="245">
      <c r="A245" s="13" t="inlineStr">
        <is>
          <t>P241</t>
        </is>
      </c>
      <c r="B245" s="15" t="inlineStr">
        <is>
          <t>Eli Arnold</t>
        </is>
      </c>
      <c r="C245" s="13" t="n">
        <v>1</v>
      </c>
      <c r="D245" s="15" t="inlineStr">
        <is>
          <t>Rene For Portland; Vote Vasquez</t>
        </is>
      </c>
      <c r="E245" s="13" t="inlineStr">
        <is>
          <t>C129</t>
        </is>
      </c>
      <c r="F245" s="13" t="n">
        <v>1</v>
      </c>
    </row>
    <row r="246">
      <c r="A246" s="13" t="inlineStr">
        <is>
          <t>P242</t>
        </is>
      </c>
      <c r="B246" s="15" t="inlineStr">
        <is>
          <t>Eli Arnold</t>
        </is>
      </c>
      <c r="C246" s="13" t="n">
        <v>1</v>
      </c>
      <c r="D246" s="15" t="inlineStr">
        <is>
          <t>Friends of Vadim; Rene for Portland; Vote Vasquez</t>
        </is>
      </c>
      <c r="E246" s="13" t="inlineStr">
        <is>
          <t>C175</t>
        </is>
      </c>
      <c r="F246" s="13" t="n">
        <v>1</v>
      </c>
    </row>
    <row r="247">
      <c r="A247" s="13" t="inlineStr">
        <is>
          <t>P243</t>
        </is>
      </c>
      <c r="B247" s="15" t="inlineStr">
        <is>
          <t>Eli Arnold</t>
        </is>
      </c>
      <c r="C247" s="13" t="n">
        <v>1</v>
      </c>
      <c r="D247" s="15" t="inlineStr">
        <is>
          <t>Rene for Portland</t>
        </is>
      </c>
      <c r="E247" s="13" t="inlineStr">
        <is>
          <t>C169</t>
        </is>
      </c>
      <c r="F247" s="13" t="n">
        <v>1</v>
      </c>
    </row>
    <row r="248">
      <c r="A248" s="13" t="inlineStr">
        <is>
          <t>P244</t>
        </is>
      </c>
      <c r="B248" s="15" t="inlineStr">
        <is>
          <t>Kellie Torres, Eli Arnold</t>
        </is>
      </c>
      <c r="C248" s="13" t="n">
        <v>2</v>
      </c>
      <c r="D248" s="15" t="inlineStr">
        <is>
          <t>Rene For Portland; Vote Vasquez</t>
        </is>
      </c>
      <c r="E248" s="13" t="inlineStr">
        <is>
          <t>C147</t>
        </is>
      </c>
      <c r="F248" s="13" t="n">
        <v>1</v>
      </c>
    </row>
    <row r="249">
      <c r="A249" s="13" t="inlineStr">
        <is>
          <t>P245</t>
        </is>
      </c>
      <c r="B249" s="15" t="inlineStr">
        <is>
          <t>Eli Arnold</t>
        </is>
      </c>
      <c r="C249" s="13" t="n">
        <v>1</v>
      </c>
      <c r="D249" s="15" t="inlineStr">
        <is>
          <t>Friends of Vadim</t>
        </is>
      </c>
      <c r="E249" s="13" t="inlineStr">
        <is>
          <t>C203</t>
        </is>
      </c>
      <c r="F249" s="13" t="n">
        <v>1</v>
      </c>
    </row>
    <row r="250">
      <c r="A250" s="13" t="inlineStr">
        <is>
          <t>P246</t>
        </is>
      </c>
      <c r="B250" s="15" t="inlineStr">
        <is>
          <t>Eli Arnold</t>
        </is>
      </c>
      <c r="C250" s="13" t="n">
        <v>1</v>
      </c>
      <c r="D250" s="15" t="inlineStr">
        <is>
          <t>Rene for Portland</t>
        </is>
      </c>
      <c r="E250" s="13" t="inlineStr">
        <is>
          <t>C183</t>
        </is>
      </c>
      <c r="F250" s="13" t="n">
        <v>1</v>
      </c>
    </row>
    <row r="251">
      <c r="A251" s="13" t="inlineStr">
        <is>
          <t>P247</t>
        </is>
      </c>
      <c r="B251" s="15" t="inlineStr">
        <is>
          <t>Eli Arnold</t>
        </is>
      </c>
      <c r="C251" s="13" t="n">
        <v>1</v>
      </c>
      <c r="D251" s="15" t="inlineStr">
        <is>
          <t>Friends of Vadim</t>
        </is>
      </c>
      <c r="E251" s="13" t="inlineStr">
        <is>
          <t>C209</t>
        </is>
      </c>
      <c r="F251" s="13" t="n">
        <v>1</v>
      </c>
    </row>
    <row r="252">
      <c r="A252" s="13" t="inlineStr">
        <is>
          <t>P248</t>
        </is>
      </c>
      <c r="B252" s="15" t="inlineStr">
        <is>
          <t>Eli Arnold</t>
        </is>
      </c>
      <c r="C252" s="13" t="n">
        <v>1</v>
      </c>
      <c r="D252" s="15" t="inlineStr">
        <is>
          <t>Rene For Portland; Rene for Portland</t>
        </is>
      </c>
      <c r="E252" s="13" t="inlineStr">
        <is>
          <t>C105</t>
        </is>
      </c>
      <c r="F252" s="13" t="n">
        <v>1</v>
      </c>
    </row>
    <row r="253">
      <c r="A253" s="13" t="inlineStr">
        <is>
          <t>P249</t>
        </is>
      </c>
      <c r="B253" s="15" t="inlineStr">
        <is>
          <t>Kellie Torres, Eli Arnold</t>
        </is>
      </c>
      <c r="C253" s="13" t="n">
        <v>2</v>
      </c>
      <c r="D253" s="15" t="inlineStr">
        <is>
          <t>Rene For Portland; Rene for Portland; Vote Vasquez</t>
        </is>
      </c>
      <c r="E253" s="13" t="inlineStr">
        <is>
          <t>C144</t>
        </is>
      </c>
      <c r="F253" s="13" t="n">
        <v>1</v>
      </c>
    </row>
    <row r="254">
      <c r="A254" s="13" t="inlineStr">
        <is>
          <t>P250</t>
        </is>
      </c>
      <c r="B254" s="15" t="inlineStr">
        <is>
          <t>Eli Arnold</t>
        </is>
      </c>
      <c r="C254" s="13" t="n">
        <v>1</v>
      </c>
      <c r="D254" s="15" t="inlineStr">
        <is>
          <t>Vote Vasquez</t>
        </is>
      </c>
      <c r="E254" s="13" t="inlineStr">
        <is>
          <t>C304</t>
        </is>
      </c>
      <c r="F254" s="13" t="n">
        <v>1</v>
      </c>
    </row>
    <row r="255">
      <c r="A255" s="13" t="inlineStr">
        <is>
          <t>P251</t>
        </is>
      </c>
      <c r="B255" s="15" t="inlineStr">
        <is>
          <t>Eli Arnold</t>
        </is>
      </c>
      <c r="C255" s="13" t="n">
        <v>1</v>
      </c>
      <c r="D255" s="15" t="inlineStr">
        <is>
          <t>Rene for Portland; Vote Vasquez</t>
        </is>
      </c>
      <c r="E255" s="13" t="inlineStr">
        <is>
          <t>C306</t>
        </is>
      </c>
      <c r="F255" s="13" t="n">
        <v>1</v>
      </c>
    </row>
    <row r="256">
      <c r="A256" s="13" t="inlineStr">
        <is>
          <t>P252</t>
        </is>
      </c>
      <c r="B256" s="15" t="inlineStr">
        <is>
          <t>Eli Arnold</t>
        </is>
      </c>
      <c r="C256" s="13" t="n">
        <v>1</v>
      </c>
      <c r="D256" s="15" t="inlineStr">
        <is>
          <t>Rene For Portland; Rene for Portland; Vote Vasquez</t>
        </is>
      </c>
      <c r="E256" s="13" t="inlineStr">
        <is>
          <t>C093</t>
        </is>
      </c>
      <c r="F256" s="13" t="n">
        <v>1</v>
      </c>
    </row>
    <row r="257">
      <c r="A257" s="13" t="inlineStr">
        <is>
          <t>P253</t>
        </is>
      </c>
      <c r="B257" s="15" t="inlineStr">
        <is>
          <t>Kellie Torres, Eli Arnold</t>
        </is>
      </c>
      <c r="C257" s="13" t="n">
        <v>2</v>
      </c>
      <c r="D257" s="15" t="inlineStr">
        <is>
          <t>Friends of Vadim; Rene For Portland; Rene for Portland; Vote Vasquez</t>
        </is>
      </c>
      <c r="E257" s="13" t="inlineStr">
        <is>
          <t>C082</t>
        </is>
      </c>
      <c r="F257" s="13" t="n">
        <v>1</v>
      </c>
    </row>
    <row r="258">
      <c r="A258" s="13" t="inlineStr">
        <is>
          <t>P254</t>
        </is>
      </c>
      <c r="B258" s="15" t="inlineStr">
        <is>
          <t>Eli Arnold</t>
        </is>
      </c>
      <c r="C258" s="13" t="n">
        <v>1</v>
      </c>
      <c r="D258" s="15" t="inlineStr">
        <is>
          <t>Rene For Portland; Vote Vasquez</t>
        </is>
      </c>
      <c r="E258" s="13" t="inlineStr">
        <is>
          <t>C145</t>
        </is>
      </c>
      <c r="F258" s="13" t="n">
        <v>1</v>
      </c>
    </row>
    <row r="259">
      <c r="A259" s="13" t="inlineStr">
        <is>
          <t>P255</t>
        </is>
      </c>
      <c r="B259" s="15" t="inlineStr">
        <is>
          <t>Kellie Torres</t>
        </is>
      </c>
      <c r="C259" s="13" t="n">
        <v>1</v>
      </c>
      <c r="D259" s="15" t="inlineStr">
        <is>
          <t>Friends of Vadim; Rene for Portland</t>
        </is>
      </c>
      <c r="E259" s="13" t="inlineStr">
        <is>
          <t>C174</t>
        </is>
      </c>
      <c r="F259" s="13" t="n">
        <v>1</v>
      </c>
    </row>
    <row r="260">
      <c r="A260" s="13" t="inlineStr">
        <is>
          <t>P256</t>
        </is>
      </c>
      <c r="B260" s="15" t="inlineStr">
        <is>
          <t>Kellie Torres</t>
        </is>
      </c>
      <c r="C260" s="13" t="n">
        <v>1</v>
      </c>
      <c r="D260" s="15" t="inlineStr">
        <is>
          <t>Friends of Vadim; Portland Accountability PAC</t>
        </is>
      </c>
      <c r="E260" s="13" t="inlineStr">
        <is>
          <t>C242</t>
        </is>
      </c>
      <c r="F260" s="13" t="n">
        <v>1</v>
      </c>
    </row>
    <row r="261">
      <c r="A261" s="13" t="inlineStr">
        <is>
          <t>P257</t>
        </is>
      </c>
      <c r="B261" s="15" t="inlineStr">
        <is>
          <t>Kellie Torres</t>
        </is>
      </c>
      <c r="C261" s="13" t="n">
        <v>1</v>
      </c>
      <c r="D261" s="15" t="inlineStr">
        <is>
          <t>Rene for Portland</t>
        </is>
      </c>
      <c r="E261" s="13" t="inlineStr">
        <is>
          <t>C171</t>
        </is>
      </c>
      <c r="F261" s="13" t="n">
        <v>1</v>
      </c>
    </row>
    <row r="262">
      <c r="A262" s="13" t="inlineStr">
        <is>
          <t>P258</t>
        </is>
      </c>
      <c r="B262" s="15" t="inlineStr">
        <is>
          <t>Kellie Torres</t>
        </is>
      </c>
      <c r="C262" s="13" t="n">
        <v>1</v>
      </c>
      <c r="D262" s="15" t="inlineStr">
        <is>
          <t>Rene For Portland; Rene for Portland</t>
        </is>
      </c>
      <c r="E262" s="13" t="inlineStr">
        <is>
          <t>C159</t>
        </is>
      </c>
      <c r="F262" s="13" t="n">
        <v>1</v>
      </c>
    </row>
    <row r="263">
      <c r="A263" s="13" t="inlineStr">
        <is>
          <t>P259</t>
        </is>
      </c>
      <c r="B263" s="15" t="inlineStr">
        <is>
          <t>Kellie Torres</t>
        </is>
      </c>
      <c r="C263" s="13" t="n">
        <v>1</v>
      </c>
      <c r="D263" s="15" t="inlineStr">
        <is>
          <t>Friends of Vadim; Rene For Portland</t>
        </is>
      </c>
      <c r="E263" s="13" t="inlineStr">
        <is>
          <t>C246</t>
        </is>
      </c>
      <c r="F263" s="13" t="n">
        <v>1</v>
      </c>
    </row>
    <row r="264">
      <c r="A264" s="13" t="inlineStr">
        <is>
          <t>P260</t>
        </is>
      </c>
      <c r="B264" s="15" t="inlineStr">
        <is>
          <t>Kellie Torres</t>
        </is>
      </c>
      <c r="C264" s="13" t="n">
        <v>1</v>
      </c>
      <c r="D264" s="15" t="inlineStr">
        <is>
          <t>Rene For Portland</t>
        </is>
      </c>
      <c r="E264" s="13" t="inlineStr">
        <is>
          <t>C109</t>
        </is>
      </c>
      <c r="F264" s="13" t="n">
        <v>1</v>
      </c>
    </row>
    <row r="265">
      <c r="A265" s="13" t="inlineStr">
        <is>
          <t>P261</t>
        </is>
      </c>
      <c r="B265" s="15" t="inlineStr">
        <is>
          <t>Kellie Torres</t>
        </is>
      </c>
      <c r="C265" s="13" t="n">
        <v>1</v>
      </c>
      <c r="D265" s="15" t="inlineStr">
        <is>
          <t>Friends of Sam Adams; Friends of Vadim; Rene For Portland; Rene for Portland; Vote Vasquez</t>
        </is>
      </c>
      <c r="E265" s="13" t="inlineStr">
        <is>
          <t>C189</t>
        </is>
      </c>
      <c r="F265" s="13" t="n">
        <v>1</v>
      </c>
    </row>
    <row r="266">
      <c r="A266" s="13" t="inlineStr">
        <is>
          <t>P262</t>
        </is>
      </c>
      <c r="B266" s="15" t="inlineStr">
        <is>
          <t>Kellie Torres</t>
        </is>
      </c>
      <c r="C266" s="13" t="n">
        <v>1</v>
      </c>
      <c r="D266" s="15" t="inlineStr">
        <is>
          <t>Friends of Sam Adams</t>
        </is>
      </c>
      <c r="E266" s="13" t="inlineStr">
        <is>
          <t>C064</t>
        </is>
      </c>
      <c r="F266" s="13" t="n">
        <v>1</v>
      </c>
    </row>
    <row r="267">
      <c r="A267" s="13" t="inlineStr">
        <is>
          <t>P263</t>
        </is>
      </c>
      <c r="B267" s="15" t="inlineStr">
        <is>
          <t>Kellie Torres</t>
        </is>
      </c>
      <c r="C267" s="13" t="n">
        <v>1</v>
      </c>
      <c r="D267" s="15" t="inlineStr">
        <is>
          <t>Rene For Portland; Rene for Portland</t>
        </is>
      </c>
      <c r="E267" s="13" t="inlineStr">
        <is>
          <t>C151</t>
        </is>
      </c>
      <c r="F267" s="13" t="n">
        <v>1</v>
      </c>
    </row>
    <row r="268">
      <c r="A268" s="13" t="inlineStr">
        <is>
          <t>P264</t>
        </is>
      </c>
      <c r="B268" s="15" t="inlineStr">
        <is>
          <t>Kellie Torres</t>
        </is>
      </c>
      <c r="C268" s="13" t="n">
        <v>1</v>
      </c>
      <c r="D268" s="15" t="inlineStr">
        <is>
          <t>Rene For Portland</t>
        </is>
      </c>
      <c r="E268" s="13" t="inlineStr">
        <is>
          <t>C113</t>
        </is>
      </c>
      <c r="F268" s="13" t="n">
        <v>1</v>
      </c>
    </row>
    <row r="269">
      <c r="A269" s="13" t="inlineStr">
        <is>
          <t>P265</t>
        </is>
      </c>
      <c r="B269" s="15" t="inlineStr">
        <is>
          <t>Kellie Torres</t>
        </is>
      </c>
      <c r="C269" s="13" t="n">
        <v>1</v>
      </c>
      <c r="D269" s="15" t="inlineStr">
        <is>
          <t>Rene For Portland</t>
        </is>
      </c>
      <c r="E269" s="13" t="inlineStr">
        <is>
          <t>C141</t>
        </is>
      </c>
      <c r="F269" s="13" t="n">
        <v>1</v>
      </c>
    </row>
  </sheetData>
  <mergeCells count="1">
    <mergeCell ref="A1:F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tabColor rgb="008A8F99"/>
    <outlinePr summaryBelow="1" summaryRight="1"/>
    <pageSetUpPr/>
  </sheetPr>
  <dimension ref="A1:J25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2" customWidth="1" min="3" max="3"/>
    <col width="22" customWidth="1" min="4" max="4"/>
    <col width="40" customWidth="1" min="5" max="5"/>
    <col width="10" customWidth="1" min="6" max="6"/>
    <col width="12" customWidth="1" min="7" max="7"/>
    <col width="50" customWidth="1" min="8" max="8"/>
    <col width="30" customWidth="1" min="9" max="9"/>
    <col width="40" customWidth="1" min="10" max="10"/>
  </cols>
  <sheetData>
    <row r="1" ht="42" customHeight="1">
      <c r="A1" s="5" t="inlineStr">
        <is>
          <t>One row per donor per candidate. A household that gave to three candidates appears three times; two people in one household who both gave to the same candidate appear twice.</t>
        </is>
      </c>
    </row>
    <row r="2">
      <c r="A2" s="11" t="inlineStr">
        <is>
          <t>← Back to Start here</t>
        </is>
      </c>
    </row>
    <row r="4" ht="34" customHeight="1">
      <c r="A4" s="12" t="inlineStr">
        <is>
          <t>Candidate</t>
        </is>
      </c>
      <c r="B4" s="12" t="inlineStr">
        <is>
          <t>Household</t>
        </is>
      </c>
      <c r="C4" s="12" t="inlineStr">
        <is>
          <t>Verification</t>
        </is>
      </c>
      <c r="D4" s="12" t="inlineStr">
        <is>
          <t>Match basis</t>
        </is>
      </c>
      <c r="E4" s="12" t="inlineStr">
        <is>
          <t>Republican campaigns</t>
        </is>
      </c>
      <c r="F4" s="12" t="inlineStr">
        <is>
          <t>Latest Republican gift (year)</t>
        </is>
      </c>
      <c r="G4" s="12" t="inlineStr">
        <is>
          <t>Republican gifts ($, rounded)</t>
        </is>
      </c>
      <c r="H4" s="12" t="inlineStr">
        <is>
          <t>Why, if not a direct match</t>
        </is>
      </c>
      <c r="I4" s="12" t="inlineStr">
        <is>
          <t>Candidate gifts (Filer Id:Tran Id)</t>
        </is>
      </c>
      <c r="J4" s="12" t="inlineStr">
        <is>
          <t>Republican gifts (Filer Id:Tran Id)</t>
        </is>
      </c>
    </row>
    <row r="5">
      <c r="A5" s="13" t="inlineStr">
        <is>
          <t>Eli Arnold</t>
        </is>
      </c>
      <c r="B5" s="13" t="inlineStr">
        <is>
          <t>H011</t>
        </is>
      </c>
      <c r="C5" s="13" t="inlineStr">
        <is>
          <t>Confirmed</t>
        </is>
      </c>
      <c r="D5" s="13" t="inlineStr">
        <is>
          <t>Street address or PO box</t>
        </is>
      </c>
      <c r="E5" s="15" t="inlineStr">
        <is>
          <t>Friends of Chris Dudley</t>
        </is>
      </c>
      <c r="F5" s="13" t="n">
        <v>2010</v>
      </c>
      <c r="G5" s="13" t="n">
        <v>500</v>
      </c>
      <c r="H5" s="15" t="inlineStr"/>
      <c r="I5" s="13" t="inlineStr">
        <is>
          <t>23295:5505111; 23295:5505122</t>
        </is>
      </c>
      <c r="J5" s="13" t="inlineStr">
        <is>
          <t>13998:661714; 13998:819738</t>
        </is>
      </c>
    </row>
    <row r="6">
      <c r="A6" s="13" t="inlineStr">
        <is>
          <t>Eli Arnold</t>
        </is>
      </c>
      <c r="B6" s="13" t="inlineStr">
        <is>
          <t>H016</t>
        </is>
      </c>
      <c r="C6" s="13" t="inlineStr">
        <is>
          <t>Confirmed</t>
        </is>
      </c>
      <c r="D6" s="13" t="inlineStr">
        <is>
          <t>ZIP + employer</t>
        </is>
      </c>
      <c r="E6" s="15" t="inlineStr">
        <is>
          <t>Knute for Governor</t>
        </is>
      </c>
      <c r="F6" s="13" t="n">
        <v>2018</v>
      </c>
      <c r="G6" s="13" t="n">
        <v>41000</v>
      </c>
      <c r="H6" s="15" t="inlineStr"/>
      <c r="I6" s="13" t="inlineStr">
        <is>
          <t>23295:5686494</t>
        </is>
      </c>
      <c r="J6" s="13" t="inlineStr">
        <is>
          <t>15192:2620145; 15192:2620146; 15192:2889599; 15192:2894245; 15192:2948046; 15192:3003198; 15192:3009905</t>
        </is>
      </c>
    </row>
    <row r="7">
      <c r="A7" s="13" t="inlineStr">
        <is>
          <t>Eli Arnold</t>
        </is>
      </c>
      <c r="B7" s="13" t="inlineStr">
        <is>
          <t>H016</t>
        </is>
      </c>
      <c r="C7" s="13" t="inlineStr">
        <is>
          <t>Confirmed</t>
        </is>
      </c>
      <c r="D7" s="13" t="inlineStr">
        <is>
          <t>Street address or PO box</t>
        </is>
      </c>
      <c r="E7" s="15" t="inlineStr">
        <is>
          <t>Friends of Christine Drazan; Friends of Will Lathrop</t>
        </is>
      </c>
      <c r="F7" s="13" t="n">
        <v>2024</v>
      </c>
      <c r="G7" s="13" t="n">
        <v>1000</v>
      </c>
      <c r="H7" s="15" t="inlineStr"/>
      <c r="I7" s="13" t="inlineStr">
        <is>
          <t>23295:5674943</t>
        </is>
      </c>
      <c r="J7" s="13" t="inlineStr">
        <is>
          <t>19050:4375712; 21896:5086898</t>
        </is>
      </c>
    </row>
    <row r="8">
      <c r="A8" s="13" t="inlineStr">
        <is>
          <t>Eli Arnold</t>
        </is>
      </c>
      <c r="B8" s="13" t="inlineStr">
        <is>
          <t>H023</t>
        </is>
      </c>
      <c r="C8" s="13" t="inlineStr">
        <is>
          <t>Confirmed</t>
        </is>
      </c>
      <c r="D8" s="13" t="inlineStr">
        <is>
          <t>Street address or PO box</t>
        </is>
      </c>
      <c r="E8" s="15" t="inlineStr">
        <is>
          <t>Citizens to Elect Dennis Richardson</t>
        </is>
      </c>
      <c r="F8" s="13" t="n">
        <v>2014</v>
      </c>
      <c r="G8" s="13" t="n">
        <v>500</v>
      </c>
      <c r="H8" s="15" t="inlineStr"/>
      <c r="I8" s="13" t="inlineStr">
        <is>
          <t>23295:5820984; 23295:5704040</t>
        </is>
      </c>
      <c r="J8" s="13" t="inlineStr">
        <is>
          <t>4155:1793078; 4155:1852194</t>
        </is>
      </c>
    </row>
    <row r="9">
      <c r="A9" s="13" t="inlineStr">
        <is>
          <t>Eli Arnold</t>
        </is>
      </c>
      <c r="B9" s="13" t="inlineStr">
        <is>
          <t>H027</t>
        </is>
      </c>
      <c r="C9" s="13" t="inlineStr">
        <is>
          <t>Confirmed</t>
        </is>
      </c>
      <c r="D9" s="13" t="inlineStr">
        <is>
          <t>Street address or PO box</t>
        </is>
      </c>
      <c r="E9" s="15" t="inlineStr">
        <is>
          <t>Bud Pierce for a Better Oregon; Friends of Christine Drazan; Knute Buehler for Secretary of State; Knute for Governor</t>
        </is>
      </c>
      <c r="F9" s="13" t="n">
        <v>2022</v>
      </c>
      <c r="G9" s="13" t="n">
        <v>1000</v>
      </c>
      <c r="H9" s="15" t="inlineStr"/>
      <c r="I9" s="13" t="inlineStr">
        <is>
          <t>23295:4888919</t>
        </is>
      </c>
      <c r="J9" s="13" t="inlineStr">
        <is>
          <t>15192:1285976; 17397:2302002; 15192:2716443; 15192:2861417; 15192:2913113; 15192:3041308; 19050:4210576; 19050:4260172</t>
        </is>
      </c>
    </row>
    <row r="10">
      <c r="A10" s="13" t="inlineStr">
        <is>
          <t>Eli Arnold</t>
        </is>
      </c>
      <c r="B10" s="13" t="inlineStr">
        <is>
          <t>H029</t>
        </is>
      </c>
      <c r="C10" s="13" t="inlineStr">
        <is>
          <t>Confirmed</t>
        </is>
      </c>
      <c r="D10" s="13" t="inlineStr">
        <is>
          <t>Street address or PO box</t>
        </is>
      </c>
      <c r="E10" s="15" t="inlineStr">
        <is>
          <t>Bud Pierce for a Better Oregon; Friends of Christine Drazan; Friends of Kim Thatcher; Knute Buehler for Secretary of State; Knute for Governor</t>
        </is>
      </c>
      <c r="F10" s="13" t="n">
        <v>2026</v>
      </c>
      <c r="G10" s="13" t="n">
        <v>1000</v>
      </c>
      <c r="H10" s="15" t="inlineStr"/>
      <c r="I10" s="13" t="inlineStr">
        <is>
          <t>23295:4967848</t>
        </is>
      </c>
      <c r="J10" s="13" t="inlineStr">
        <is>
          <t>15192:1374446; 17397:2365415; 15192:2992803; 4871:3638153; 19050:5795169</t>
        </is>
      </c>
    </row>
    <row r="11">
      <c r="A11" s="13" t="inlineStr">
        <is>
          <t>Eli Arnold</t>
        </is>
      </c>
      <c r="B11" s="13" t="inlineStr">
        <is>
          <t>H030</t>
        </is>
      </c>
      <c r="C11" s="13" t="inlineStr">
        <is>
          <t>Confirmed</t>
        </is>
      </c>
      <c r="D11" s="13" t="inlineStr">
        <is>
          <t>Street address or PO box</t>
        </is>
      </c>
      <c r="E11" s="15" t="inlineStr">
        <is>
          <t>Citizens to Elect Dennis Richardson; Friends of Christine Drazan; Knute Buehler for Secretary of State; Knute for Governor</t>
        </is>
      </c>
      <c r="F11" s="13" t="n">
        <v>2022</v>
      </c>
      <c r="G11" s="13" t="n">
        <v>37000</v>
      </c>
      <c r="H11" s="15" t="inlineStr"/>
      <c r="I11" s="13" t="inlineStr">
        <is>
          <t>23295:4926094</t>
        </is>
      </c>
      <c r="J11" s="13" t="inlineStr">
        <is>
          <t>15192:1381781; 15192:1398516; 4155:1798136; 15192:2888905; 15192:2985679; 15192:3012966; 19050:4397781</t>
        </is>
      </c>
    </row>
    <row r="12">
      <c r="A12" s="13" t="inlineStr">
        <is>
          <t>Eli Arnold</t>
        </is>
      </c>
      <c r="B12" s="13" t="inlineStr">
        <is>
          <t>H031</t>
        </is>
      </c>
      <c r="C12" s="13" t="inlineStr">
        <is>
          <t>Confirmed</t>
        </is>
      </c>
      <c r="D12" s="13" t="inlineStr">
        <is>
          <t>Street address or PO box</t>
        </is>
      </c>
      <c r="E12" s="15" t="inlineStr">
        <is>
          <t>Friends of Jeff Helfrich</t>
        </is>
      </c>
      <c r="F12" s="13" t="n">
        <v>2026</v>
      </c>
      <c r="G12" s="13" t="n">
        <v>250</v>
      </c>
      <c r="H12" s="15" t="inlineStr"/>
      <c r="I12" s="13" t="inlineStr">
        <is>
          <t>23295:5865555</t>
        </is>
      </c>
      <c r="J12" s="13" t="inlineStr">
        <is>
          <t>15984:1379009; 15984:5516614</t>
        </is>
      </c>
    </row>
    <row r="13">
      <c r="A13" s="13" t="inlineStr">
        <is>
          <t>Eli Arnold</t>
        </is>
      </c>
      <c r="B13" s="13" t="inlineStr">
        <is>
          <t>H033</t>
        </is>
      </c>
      <c r="C13" s="13" t="inlineStr">
        <is>
          <t>Likely</t>
        </is>
      </c>
      <c r="D13" s="13" t="inlineStr">
        <is>
          <t>Hand review</t>
        </is>
      </c>
      <c r="E13" s="15" t="inlineStr">
        <is>
          <t>Bruce Starr for State Senate Committee</t>
        </is>
      </c>
      <c r="F13" s="13" t="n">
        <v>2014</v>
      </c>
      <c r="G13" s="13" t="n">
        <v>250</v>
      </c>
      <c r="H13" s="15" t="inlineStr">
        <is>
          <t>A chain of other filings ties the candidate-gift address to the employer on the Republican gift. One gift, in 2014.</t>
        </is>
      </c>
      <c r="I13" s="13" t="inlineStr">
        <is>
          <t>23295:5821161</t>
        </is>
      </c>
      <c r="J13" s="13" t="inlineStr">
        <is>
          <t>2752:1797354</t>
        </is>
      </c>
    </row>
    <row r="14">
      <c r="A14" s="13" t="inlineStr">
        <is>
          <t>Eli Arnold</t>
        </is>
      </c>
      <c r="B14" s="13" t="inlineStr">
        <is>
          <t>H035</t>
        </is>
      </c>
      <c r="C14" s="13" t="inlineStr">
        <is>
          <t>Confirmed</t>
        </is>
      </c>
      <c r="D14" s="13" t="inlineStr">
        <is>
          <t>Street address or PO box</t>
        </is>
      </c>
      <c r="E14" s="15" t="inlineStr">
        <is>
          <t>Bruce Starr for State Senate Committee</t>
        </is>
      </c>
      <c r="F14" s="13" t="n">
        <v>2014</v>
      </c>
      <c r="G14" s="13" t="n">
        <v>250</v>
      </c>
      <c r="H14" s="15" t="inlineStr"/>
      <c r="I14" s="13" t="inlineStr">
        <is>
          <t>23295:5850163; 23295:5554616</t>
        </is>
      </c>
      <c r="J14" s="13" t="inlineStr">
        <is>
          <t>2752:1873970</t>
        </is>
      </c>
    </row>
    <row r="15">
      <c r="A15" s="13" t="inlineStr">
        <is>
          <t>Eli Arnold</t>
        </is>
      </c>
      <c r="B15" s="13" t="inlineStr">
        <is>
          <t>H037</t>
        </is>
      </c>
      <c r="C15" s="13" t="inlineStr">
        <is>
          <t>Confirmed</t>
        </is>
      </c>
      <c r="D15" s="13" t="inlineStr">
        <is>
          <t>Street address or PO box</t>
        </is>
      </c>
      <c r="E15" s="15" t="inlineStr">
        <is>
          <t>Bruce Starr for State Senate Committee; Knute for Governor</t>
        </is>
      </c>
      <c r="F15" s="13" t="n">
        <v>2018</v>
      </c>
      <c r="G15" s="13" t="n">
        <v>8000</v>
      </c>
      <c r="H15" s="15" t="inlineStr"/>
      <c r="I15" s="13" t="inlineStr">
        <is>
          <t>23295:5704060</t>
        </is>
      </c>
      <c r="J15" s="13" t="inlineStr">
        <is>
          <t>2752:1896834; 15192:2652081; 15192:2784661; 15192:2853284; 15192:3021279</t>
        </is>
      </c>
    </row>
    <row r="16">
      <c r="A16" s="13" t="inlineStr">
        <is>
          <t>Eli Arnold</t>
        </is>
      </c>
      <c r="B16" s="13" t="inlineStr">
        <is>
          <t>H043</t>
        </is>
      </c>
      <c r="C16" s="13" t="inlineStr">
        <is>
          <t>Confirmed</t>
        </is>
      </c>
      <c r="D16" s="13" t="inlineStr">
        <is>
          <t>Street address or PO box</t>
        </is>
      </c>
      <c r="E16" s="15" t="inlineStr">
        <is>
          <t>Friends of Will Lathrop</t>
        </is>
      </c>
      <c r="F16" s="13" t="n">
        <v>2024</v>
      </c>
      <c r="G16" s="13" t="n">
        <v>500</v>
      </c>
      <c r="H16" s="15" t="inlineStr"/>
      <c r="I16" s="13" t="inlineStr">
        <is>
          <t>23295:5820948; 23295:4943195; 23295:4926096</t>
        </is>
      </c>
      <c r="J16" s="13" t="inlineStr">
        <is>
          <t>21896:5123848</t>
        </is>
      </c>
    </row>
    <row r="17">
      <c r="A17" s="13" t="inlineStr">
        <is>
          <t>Eli Arnold</t>
        </is>
      </c>
      <c r="B17" s="13" t="inlineStr">
        <is>
          <t>H048</t>
        </is>
      </c>
      <c r="C17" s="13" t="inlineStr">
        <is>
          <t>Confirmed</t>
        </is>
      </c>
      <c r="D17" s="13" t="inlineStr">
        <is>
          <t>Street address or PO box</t>
        </is>
      </c>
      <c r="E17" s="15" t="inlineStr">
        <is>
          <t>Bud Pierce for a Better Oregon</t>
        </is>
      </c>
      <c r="F17" s="13" t="n">
        <v>2016</v>
      </c>
      <c r="G17" s="13" t="n">
        <v>1000</v>
      </c>
      <c r="H17" s="15" t="inlineStr"/>
      <c r="I17" s="13" t="inlineStr">
        <is>
          <t>23295:4926099</t>
        </is>
      </c>
      <c r="J17" s="13" t="inlineStr">
        <is>
          <t>17397:2347630</t>
        </is>
      </c>
    </row>
    <row r="18">
      <c r="A18" s="13" t="inlineStr">
        <is>
          <t>Eli Arnold</t>
        </is>
      </c>
      <c r="B18" s="13" t="inlineStr">
        <is>
          <t>H055</t>
        </is>
      </c>
      <c r="C18" s="13" t="inlineStr">
        <is>
          <t>Confirmed</t>
        </is>
      </c>
      <c r="D18" s="13" t="inlineStr">
        <is>
          <t>Street address or PO box</t>
        </is>
      </c>
      <c r="E18" s="15" t="inlineStr">
        <is>
          <t>Knute for Governor</t>
        </is>
      </c>
      <c r="F18" s="13" t="n">
        <v>2018</v>
      </c>
      <c r="G18" s="13" t="n">
        <v>12000</v>
      </c>
      <c r="H18" s="15" t="inlineStr"/>
      <c r="I18" s="13" t="inlineStr">
        <is>
          <t>23295:4993300</t>
        </is>
      </c>
      <c r="J18" s="13" t="inlineStr">
        <is>
          <t>15192:2670230; 15192:2804186; 15192:2880177</t>
        </is>
      </c>
    </row>
    <row r="19">
      <c r="A19" s="13" t="inlineStr">
        <is>
          <t>Eli Arnold</t>
        </is>
      </c>
      <c r="B19" s="13" t="inlineStr">
        <is>
          <t>H063</t>
        </is>
      </c>
      <c r="C19" s="13" t="inlineStr">
        <is>
          <t>Confirmed</t>
        </is>
      </c>
      <c r="D19" s="13" t="inlineStr">
        <is>
          <t>Street address or PO box</t>
        </is>
      </c>
      <c r="E19" s="15" t="inlineStr">
        <is>
          <t>Friends of Christine Drazan; Friends of Jeff Helfrich; Friends of Will Lathrop; Knute for Governor; Multnomah County Republican Central Committee</t>
        </is>
      </c>
      <c r="F19" s="13" t="n">
        <v>2026</v>
      </c>
      <c r="G19" s="13" t="n">
        <v>10000</v>
      </c>
      <c r="H19" s="15" t="inlineStr"/>
      <c r="I19" s="13" t="inlineStr">
        <is>
          <t>23295:5459859</t>
        </is>
      </c>
      <c r="J19" s="13" t="inlineStr">
        <is>
          <t>15192:2832855; 15192:2895015; 15192:2924330; 15192:3018676; 15192:3073436; 19050:4268959; 19050:4389026; 21896:4741334; 21896:5046509; 21896:5123745; 21896:5123947; 21896:5134203; 21896:5134312; 15984:5197923; 15984:5516634; 21594:5548325; 19050:5813334; 19050:5866669</t>
        </is>
      </c>
    </row>
    <row r="20">
      <c r="A20" s="13" t="inlineStr">
        <is>
          <t>Eli Arnold</t>
        </is>
      </c>
      <c r="B20" s="13" t="inlineStr">
        <is>
          <t>H066</t>
        </is>
      </c>
      <c r="C20" s="13" t="inlineStr">
        <is>
          <t>Confirmed</t>
        </is>
      </c>
      <c r="D20" s="13" t="inlineStr">
        <is>
          <t>Street address or PO box</t>
        </is>
      </c>
      <c r="E20" s="15" t="inlineStr">
        <is>
          <t>Knute for Governor</t>
        </is>
      </c>
      <c r="F20" s="13" t="n">
        <v>2018</v>
      </c>
      <c r="G20" s="13" t="n">
        <v>250</v>
      </c>
      <c r="H20" s="15" t="inlineStr"/>
      <c r="I20" s="13" t="inlineStr">
        <is>
          <t>23295:5865526; 23295:5820959; 23295:5820960; 23295:5786029; 23295:5747078; 23295:5704091; 23295:5686478; 23295:4967797</t>
        </is>
      </c>
      <c r="J20" s="13" t="inlineStr">
        <is>
          <t>15192:2906820; 15192:3003976</t>
        </is>
      </c>
    </row>
    <row r="21">
      <c r="A21" s="13" t="inlineStr">
        <is>
          <t>Eli Arnold</t>
        </is>
      </c>
      <c r="B21" s="13" t="inlineStr">
        <is>
          <t>H070</t>
        </is>
      </c>
      <c r="C21" s="13" t="inlineStr">
        <is>
          <t>Confirmed</t>
        </is>
      </c>
      <c r="D21" s="13" t="inlineStr">
        <is>
          <t>Street address or PO box</t>
        </is>
      </c>
      <c r="E21" s="15" t="inlineStr">
        <is>
          <t>Friends of Christine Drazan; Knute for Governor</t>
        </is>
      </c>
      <c r="F21" s="13" t="n">
        <v>2024</v>
      </c>
      <c r="G21" s="13" t="n">
        <v>4000</v>
      </c>
      <c r="H21" s="15" t="inlineStr"/>
      <c r="I21" s="13" t="inlineStr">
        <is>
          <t>23295:5098332</t>
        </is>
      </c>
      <c r="J21" s="13" t="inlineStr">
        <is>
          <t>15192:2958365; 19050:4309117; 19050:4877571</t>
        </is>
      </c>
    </row>
    <row r="22">
      <c r="A22" s="13" t="inlineStr">
        <is>
          <t>Eli Arnold</t>
        </is>
      </c>
      <c r="B22" s="13" t="inlineStr">
        <is>
          <t>H077</t>
        </is>
      </c>
      <c r="C22" s="13" t="inlineStr">
        <is>
          <t>Confirmed</t>
        </is>
      </c>
      <c r="D22" s="13" t="inlineStr">
        <is>
          <t>Street address or PO box</t>
        </is>
      </c>
      <c r="E22" s="15" t="inlineStr">
        <is>
          <t>Knute for Governor</t>
        </is>
      </c>
      <c r="F22" s="13" t="n">
        <v>2018</v>
      </c>
      <c r="G22" s="13" t="n">
        <v>1000</v>
      </c>
      <c r="H22" s="15" t="inlineStr"/>
      <c r="I22" s="13" t="inlineStr">
        <is>
          <t>23295:5032662</t>
        </is>
      </c>
      <c r="J22" s="13" t="inlineStr">
        <is>
          <t>15192:3011754</t>
        </is>
      </c>
    </row>
    <row r="23">
      <c r="A23" s="13" t="inlineStr">
        <is>
          <t>Eli Arnold</t>
        </is>
      </c>
      <c r="B23" s="13" t="inlineStr">
        <is>
          <t>H080</t>
        </is>
      </c>
      <c r="C23" s="13" t="inlineStr">
        <is>
          <t>Confirmed</t>
        </is>
      </c>
      <c r="D23" s="13" t="inlineStr">
        <is>
          <t>Street address or PO box</t>
        </is>
      </c>
      <c r="E23" s="15" t="inlineStr">
        <is>
          <t>Knute for Governor</t>
        </is>
      </c>
      <c r="F23" s="13" t="n">
        <v>2018</v>
      </c>
      <c r="G23" s="13" t="n">
        <v>250</v>
      </c>
      <c r="H23" s="15" t="inlineStr"/>
      <c r="I23" s="13" t="inlineStr">
        <is>
          <t>23295:5820930</t>
        </is>
      </c>
      <c r="J23" s="13" t="inlineStr">
        <is>
          <t>15192:3040524</t>
        </is>
      </c>
    </row>
    <row r="24">
      <c r="A24" s="13" t="inlineStr">
        <is>
          <t>Eli Arnold</t>
        </is>
      </c>
      <c r="B24" s="13" t="inlineStr">
        <is>
          <t>H082</t>
        </is>
      </c>
      <c r="C24" s="13" t="inlineStr">
        <is>
          <t>Confirmed</t>
        </is>
      </c>
      <c r="D24" s="13" t="inlineStr">
        <is>
          <t>Street address or PO box</t>
        </is>
      </c>
      <c r="E24" s="15" t="inlineStr">
        <is>
          <t>Knute for Governor</t>
        </is>
      </c>
      <c r="F24" s="13" t="n">
        <v>2018</v>
      </c>
      <c r="G24" s="13" t="n">
        <v>3000</v>
      </c>
      <c r="H24" s="15" t="inlineStr"/>
      <c r="I24" s="13" t="inlineStr">
        <is>
          <t>23295:5032641</t>
        </is>
      </c>
      <c r="J24" s="13" t="inlineStr">
        <is>
          <t>15192:3053040</t>
        </is>
      </c>
    </row>
    <row r="25">
      <c r="A25" s="13" t="inlineStr">
        <is>
          <t>Eli Arnold</t>
        </is>
      </c>
      <c r="B25" s="13" t="inlineStr">
        <is>
          <t>H084</t>
        </is>
      </c>
      <c r="C25" s="13" t="inlineStr">
        <is>
          <t>Confirmed</t>
        </is>
      </c>
      <c r="D25" s="13" t="inlineStr">
        <is>
          <t>Street address or PO box</t>
        </is>
      </c>
      <c r="E25" s="15" t="inlineStr">
        <is>
          <t>Knute for Governor</t>
        </is>
      </c>
      <c r="F25" s="13" t="n">
        <v>2018</v>
      </c>
      <c r="G25" s="13" t="n">
        <v>500</v>
      </c>
      <c r="H25" s="15" t="inlineStr"/>
      <c r="I25" s="13" t="inlineStr">
        <is>
          <t>23295:4808154</t>
        </is>
      </c>
      <c r="J25" s="13" t="inlineStr">
        <is>
          <t>15192:3068827</t>
        </is>
      </c>
    </row>
    <row r="26">
      <c r="A26" s="13" t="inlineStr">
        <is>
          <t>Eli Arnold</t>
        </is>
      </c>
      <c r="B26" s="13" t="inlineStr">
        <is>
          <t>H089</t>
        </is>
      </c>
      <c r="C26" s="13" t="inlineStr">
        <is>
          <t>Confirmed</t>
        </is>
      </c>
      <c r="D26" s="13" t="inlineStr">
        <is>
          <t>Street address or PO box</t>
        </is>
      </c>
      <c r="E26" s="15" t="inlineStr">
        <is>
          <t>Friends of Christine Drazan</t>
        </is>
      </c>
      <c r="F26" s="13" t="n">
        <v>2022</v>
      </c>
      <c r="G26" s="13" t="n">
        <v>250</v>
      </c>
      <c r="H26" s="15" t="inlineStr"/>
      <c r="I26" s="13" t="inlineStr">
        <is>
          <t>23295:5064945</t>
        </is>
      </c>
      <c r="J26" s="13" t="inlineStr">
        <is>
          <t>19050:3990333</t>
        </is>
      </c>
    </row>
    <row r="27">
      <c r="A27" s="13" t="inlineStr">
        <is>
          <t>Eli Arnold</t>
        </is>
      </c>
      <c r="B27" s="13" t="inlineStr">
        <is>
          <t>H095</t>
        </is>
      </c>
      <c r="C27" s="13" t="inlineStr">
        <is>
          <t>Confirmed</t>
        </is>
      </c>
      <c r="D27" s="13" t="inlineStr">
        <is>
          <t>Street address or PO box</t>
        </is>
      </c>
      <c r="E27" s="15" t="inlineStr">
        <is>
          <t>Friends of Will Lathrop</t>
        </is>
      </c>
      <c r="F27" s="13" t="n">
        <v>2024</v>
      </c>
      <c r="G27" s="13" t="n">
        <v>500</v>
      </c>
      <c r="H27" s="15" t="inlineStr"/>
      <c r="I27" s="13" t="inlineStr">
        <is>
          <t>23295:4733917</t>
        </is>
      </c>
      <c r="J27" s="13" t="inlineStr">
        <is>
          <t>21896:4775468</t>
        </is>
      </c>
    </row>
    <row r="28">
      <c r="A28" s="13" t="inlineStr">
        <is>
          <t>Eli Arnold</t>
        </is>
      </c>
      <c r="B28" s="13" t="inlineStr">
        <is>
          <t>H096</t>
        </is>
      </c>
      <c r="C28" s="13" t="inlineStr">
        <is>
          <t>Confirmed</t>
        </is>
      </c>
      <c r="D28" s="13" t="inlineStr">
        <is>
          <t>Street address or PO box</t>
        </is>
      </c>
      <c r="E28" s="15" t="inlineStr">
        <is>
          <t>Friends of Will Lathrop</t>
        </is>
      </c>
      <c r="F28" s="13" t="n">
        <v>2024</v>
      </c>
      <c r="G28" s="13" t="n">
        <v>1000</v>
      </c>
      <c r="H28" s="15" t="inlineStr"/>
      <c r="I28" s="13" t="inlineStr">
        <is>
          <t>23295:4943182; 23295:4808136</t>
        </is>
      </c>
      <c r="J28" s="13" t="inlineStr">
        <is>
          <t>21896:4819609; 21896:4981370</t>
        </is>
      </c>
    </row>
    <row r="29">
      <c r="A29" s="13" t="inlineStr">
        <is>
          <t>Eli Arnold</t>
        </is>
      </c>
      <c r="B29" s="13" t="inlineStr">
        <is>
          <t>H098</t>
        </is>
      </c>
      <c r="C29" s="13" t="inlineStr">
        <is>
          <t>Confirmed</t>
        </is>
      </c>
      <c r="D29" s="13" t="inlineStr">
        <is>
          <t>Street address or PO box</t>
        </is>
      </c>
      <c r="E29" s="15" t="inlineStr">
        <is>
          <t>Committee to Elect Dennis Linthicum</t>
        </is>
      </c>
      <c r="F29" s="13" t="n">
        <v>2024</v>
      </c>
      <c r="G29" s="13" t="n">
        <v>250</v>
      </c>
      <c r="H29" s="15" t="inlineStr"/>
      <c r="I29" s="13" t="inlineStr">
        <is>
          <t>23295:5747140</t>
        </is>
      </c>
      <c r="J29" s="13" t="inlineStr">
        <is>
          <t>17895:4958938</t>
        </is>
      </c>
    </row>
    <row r="30">
      <c r="A30" s="13" t="inlineStr">
        <is>
          <t>Eli Arnold</t>
        </is>
      </c>
      <c r="B30" s="13" t="inlineStr">
        <is>
          <t>H100</t>
        </is>
      </c>
      <c r="C30" s="13" t="inlineStr">
        <is>
          <t>Confirmed</t>
        </is>
      </c>
      <c r="D30" s="13" t="inlineStr">
        <is>
          <t>Street address or PO box</t>
        </is>
      </c>
      <c r="E30" s="15" t="inlineStr">
        <is>
          <t>Friends of Will Lathrop</t>
        </is>
      </c>
      <c r="F30" s="13" t="n">
        <v>2024</v>
      </c>
      <c r="G30" s="13" t="n">
        <v>500</v>
      </c>
      <c r="H30" s="15" t="inlineStr"/>
      <c r="I30" s="13" t="inlineStr">
        <is>
          <t>23295:5122831</t>
        </is>
      </c>
      <c r="J30" s="13" t="inlineStr">
        <is>
          <t>21896:5006100; 21896:5086847</t>
        </is>
      </c>
    </row>
    <row r="31">
      <c r="A31" s="13" t="inlineStr">
        <is>
          <t>Eli Arnold</t>
        </is>
      </c>
      <c r="B31" s="13" t="inlineStr">
        <is>
          <t>H101</t>
        </is>
      </c>
      <c r="C31" s="13" t="inlineStr">
        <is>
          <t>Confirmed</t>
        </is>
      </c>
      <c r="D31" s="13" t="inlineStr">
        <is>
          <t>Street address or PO box, ZIP + employer</t>
        </is>
      </c>
      <c r="E31" s="15" t="inlineStr">
        <is>
          <t>Friends of Christine Drazan; Friends of Will Lathrop</t>
        </is>
      </c>
      <c r="F31" s="13" t="n">
        <v>2026</v>
      </c>
      <c r="G31" s="13" t="n">
        <v>1000</v>
      </c>
      <c r="H31" s="15" t="inlineStr"/>
      <c r="I31" s="13" t="inlineStr">
        <is>
          <t>23295:5820974; 23295:5132595</t>
        </is>
      </c>
      <c r="J31" s="13" t="inlineStr">
        <is>
          <t>21896:5006138; 19050:5726700</t>
        </is>
      </c>
    </row>
    <row r="32">
      <c r="A32" s="13" t="inlineStr">
        <is>
          <t>Eli Arnold</t>
        </is>
      </c>
      <c r="B32" s="13" t="inlineStr">
        <is>
          <t>H105</t>
        </is>
      </c>
      <c r="C32" s="13" t="inlineStr">
        <is>
          <t>Confirmed</t>
        </is>
      </c>
      <c r="D32" s="13" t="inlineStr">
        <is>
          <t>Street address or PO box</t>
        </is>
      </c>
      <c r="E32" s="15" t="inlineStr">
        <is>
          <t>Friends of Will Lathrop</t>
        </is>
      </c>
      <c r="F32" s="13" t="n">
        <v>2024</v>
      </c>
      <c r="G32" s="13" t="n">
        <v>500</v>
      </c>
      <c r="H32" s="15" t="inlineStr"/>
      <c r="I32" s="13" t="inlineStr">
        <is>
          <t>23295:5704042; 23295:5674969; 23295:5573077</t>
        </is>
      </c>
      <c r="J32" s="13" t="inlineStr">
        <is>
          <t>21896:5135204</t>
        </is>
      </c>
    </row>
    <row r="33">
      <c r="A33" s="13" t="inlineStr">
        <is>
          <t>Eli Arnold</t>
        </is>
      </c>
      <c r="B33" s="13" t="inlineStr">
        <is>
          <t>H106</t>
        </is>
      </c>
      <c r="C33" s="13" t="inlineStr">
        <is>
          <t>Confirmed</t>
        </is>
      </c>
      <c r="D33" s="13" t="inlineStr">
        <is>
          <t>Street address or PO box</t>
        </is>
      </c>
      <c r="E33" s="15" t="inlineStr">
        <is>
          <t>Oregon Republican Party</t>
        </is>
      </c>
      <c r="F33" s="13" t="n">
        <v>2025</v>
      </c>
      <c r="G33" s="13" t="n">
        <v>250</v>
      </c>
      <c r="H33" s="15" t="inlineStr"/>
      <c r="I33" s="13" t="inlineStr">
        <is>
          <t>23295:5844627; 23295:5820951; 23295:5820950</t>
        </is>
      </c>
      <c r="J33" s="13" t="inlineStr">
        <is>
          <t>379:5421680</t>
        </is>
      </c>
    </row>
    <row r="34">
      <c r="A34" s="13" t="inlineStr">
        <is>
          <t>Eli Arnold</t>
        </is>
      </c>
      <c r="B34" s="13" t="inlineStr">
        <is>
          <t>H109</t>
        </is>
      </c>
      <c r="C34" s="13" t="inlineStr">
        <is>
          <t>Confirmed</t>
        </is>
      </c>
      <c r="D34" s="13" t="inlineStr">
        <is>
          <t>ZIP + employer</t>
        </is>
      </c>
      <c r="E34" s="15" t="inlineStr">
        <is>
          <t>Dudley for Oregon</t>
        </is>
      </c>
      <c r="F34" s="13" t="n">
        <v>2026</v>
      </c>
      <c r="G34" s="13" t="n">
        <v>5000</v>
      </c>
      <c r="H34" s="15" t="inlineStr"/>
      <c r="I34" s="13" t="inlineStr">
        <is>
          <t>23295:5459961</t>
        </is>
      </c>
      <c r="J34" s="13" t="inlineStr">
        <is>
          <t>24693:5594723</t>
        </is>
      </c>
    </row>
    <row r="35">
      <c r="A35" s="13" t="inlineStr">
        <is>
          <t>Eli Arnold</t>
        </is>
      </c>
      <c r="B35" s="13" t="inlineStr">
        <is>
          <t>H112</t>
        </is>
      </c>
      <c r="C35" s="13" t="inlineStr">
        <is>
          <t>Confirmed</t>
        </is>
      </c>
      <c r="D35" s="13" t="inlineStr">
        <is>
          <t>Street address or PO box</t>
        </is>
      </c>
      <c r="E35" s="15" t="inlineStr">
        <is>
          <t>Friends of Christine Drazan; Oregon Republican Party</t>
        </is>
      </c>
      <c r="F35" s="13" t="n">
        <v>2026</v>
      </c>
      <c r="G35" s="13" t="n">
        <v>750</v>
      </c>
      <c r="H35" s="15" t="inlineStr"/>
      <c r="I35" s="13" t="inlineStr">
        <is>
          <t>23295:5821046</t>
        </is>
      </c>
      <c r="J35" s="13" t="inlineStr">
        <is>
          <t>19050:5651368; 19050:5681257; 19050:5708362; 19050:5752787; 19050:5784672; 19050:5790035; 379:5828447; 19050:5856480</t>
        </is>
      </c>
    </row>
    <row r="36">
      <c r="A36" s="13" t="inlineStr">
        <is>
          <t>Eli Arnold</t>
        </is>
      </c>
      <c r="B36" s="13" t="inlineStr">
        <is>
          <t>H114</t>
        </is>
      </c>
      <c r="C36" s="13" t="inlineStr">
        <is>
          <t>Confirmed</t>
        </is>
      </c>
      <c r="D36" s="13" t="inlineStr">
        <is>
          <t>Street address or PO box</t>
        </is>
      </c>
      <c r="E36" s="15" t="inlineStr">
        <is>
          <t>Friends of Christine Drazan</t>
        </is>
      </c>
      <c r="F36" s="13" t="n">
        <v>2026</v>
      </c>
      <c r="G36" s="13" t="n">
        <v>250</v>
      </c>
      <c r="H36" s="15" t="inlineStr"/>
      <c r="I36" s="13" t="inlineStr">
        <is>
          <t>23295:5844733; 23295:5786166; 23295:5747157; 23295:5704093; 23295:5674962</t>
        </is>
      </c>
      <c r="J36" s="13" t="inlineStr">
        <is>
          <t>19050:5752033; 19050:5814580; 19050:5866191</t>
        </is>
      </c>
    </row>
    <row r="37">
      <c r="A37" s="13" t="inlineStr">
        <is>
          <t>Eli Arnold</t>
        </is>
      </c>
      <c r="B37" s="13" t="inlineStr">
        <is>
          <t>H117</t>
        </is>
      </c>
      <c r="C37" s="13" t="inlineStr">
        <is>
          <t>Confirmed</t>
        </is>
      </c>
      <c r="D37" s="13" t="inlineStr">
        <is>
          <t>Street address or PO box</t>
        </is>
      </c>
      <c r="E37" s="15" t="inlineStr">
        <is>
          <t>Friends of Christine Drazan</t>
        </is>
      </c>
      <c r="F37" s="13" t="n">
        <v>2026</v>
      </c>
      <c r="G37" s="13" t="n">
        <v>250</v>
      </c>
      <c r="H37" s="15" t="inlineStr"/>
      <c r="I37" s="13" t="inlineStr">
        <is>
          <t>23295:5573046</t>
        </is>
      </c>
      <c r="J37" s="13" t="inlineStr">
        <is>
          <t>19050:5780447</t>
        </is>
      </c>
    </row>
    <row r="38">
      <c r="A38" s="13" t="inlineStr">
        <is>
          <t>Eli Arnold</t>
        </is>
      </c>
      <c r="B38" s="13" t="inlineStr">
        <is>
          <t>H118</t>
        </is>
      </c>
      <c r="C38" s="13" t="inlineStr">
        <is>
          <t>Confirmed</t>
        </is>
      </c>
      <c r="D38" s="13" t="inlineStr">
        <is>
          <t>Street address or PO box</t>
        </is>
      </c>
      <c r="E38" s="15" t="inlineStr">
        <is>
          <t>Friends of Christine Drazan</t>
        </is>
      </c>
      <c r="F38" s="13" t="n">
        <v>2026</v>
      </c>
      <c r="G38" s="13" t="n">
        <v>250</v>
      </c>
      <c r="H38" s="15" t="inlineStr"/>
      <c r="I38" s="13" t="inlineStr">
        <is>
          <t>23295:5821026; 23295:5032672</t>
        </is>
      </c>
      <c r="J38" s="13" t="inlineStr">
        <is>
          <t>19050:5788216; 19050:5819478</t>
        </is>
      </c>
    </row>
    <row r="39">
      <c r="A39" s="13" t="inlineStr">
        <is>
          <t>Eli Arnold</t>
        </is>
      </c>
      <c r="B39" s="13" t="inlineStr">
        <is>
          <t>H121</t>
        </is>
      </c>
      <c r="C39" s="13" t="inlineStr">
        <is>
          <t>Confirmed</t>
        </is>
      </c>
      <c r="D39" s="13" t="inlineStr">
        <is>
          <t>Street address or PO box</t>
        </is>
      </c>
      <c r="E39" s="15" t="inlineStr">
        <is>
          <t>Friends of Christine Drazan</t>
        </is>
      </c>
      <c r="F39" s="13" t="n">
        <v>2026</v>
      </c>
      <c r="G39" s="13" t="n">
        <v>250</v>
      </c>
      <c r="H39" s="15" t="inlineStr"/>
      <c r="I39" s="13" t="inlineStr">
        <is>
          <t>23295:5459908; 23295:5032635; 23295:4993243; 23295:4967778; 23295:4926098</t>
        </is>
      </c>
      <c r="J39" s="13" t="inlineStr">
        <is>
          <t>19050:5829381</t>
        </is>
      </c>
    </row>
    <row r="40">
      <c r="A40" s="13" t="inlineStr">
        <is>
          <t>Eli Arnold</t>
        </is>
      </c>
      <c r="B40" s="13" t="inlineStr">
        <is>
          <t>H122</t>
        </is>
      </c>
      <c r="C40" s="13" t="inlineStr">
        <is>
          <t>Confirmed</t>
        </is>
      </c>
      <c r="D40" s="13" t="inlineStr">
        <is>
          <t>Street address or PO box</t>
        </is>
      </c>
      <c r="E40" s="15" t="inlineStr">
        <is>
          <t>Friends of Christine Drazan</t>
        </is>
      </c>
      <c r="F40" s="13" t="n">
        <v>2026</v>
      </c>
      <c r="G40" s="13" t="n">
        <v>250</v>
      </c>
      <c r="H40" s="15" t="inlineStr"/>
      <c r="I40" s="13" t="inlineStr">
        <is>
          <t>23295:5844731; 23295:5820890; 23295:5786173; 23295:5786107; 23295:5747156; 23295:5704092; 23295:5674960; 23295:5640860; 23295:5634477; 23295:5634478</t>
        </is>
      </c>
      <c r="J40" s="13" t="inlineStr">
        <is>
          <t>19050:5848283; 19050:5886615</t>
        </is>
      </c>
    </row>
    <row r="41">
      <c r="A41" s="13" t="inlineStr">
        <is>
          <t>Eli Arnold</t>
        </is>
      </c>
      <c r="B41" s="13" t="inlineStr">
        <is>
          <t>H124</t>
        </is>
      </c>
      <c r="C41" s="13" t="inlineStr">
        <is>
          <t>Confirmed</t>
        </is>
      </c>
      <c r="D41" s="13" t="inlineStr">
        <is>
          <t>Street address or PO box</t>
        </is>
      </c>
      <c r="E41" s="15" t="inlineStr">
        <is>
          <t>Friends of Christine Drazan</t>
        </is>
      </c>
      <c r="F41" s="13" t="n">
        <v>2026</v>
      </c>
      <c r="G41" s="13" t="n">
        <v>250</v>
      </c>
      <c r="H41" s="15" t="inlineStr"/>
      <c r="I41" s="13" t="inlineStr">
        <is>
          <t>23295:5122815; 23295:5083355</t>
        </is>
      </c>
      <c r="J41" s="13" t="inlineStr">
        <is>
          <t>19050:5861924</t>
        </is>
      </c>
    </row>
    <row r="42">
      <c r="A42" s="13" t="inlineStr">
        <is>
          <t>Eric Zimmerman</t>
        </is>
      </c>
      <c r="B42" s="13" t="inlineStr">
        <is>
          <t>H007</t>
        </is>
      </c>
      <c r="C42" s="13" t="inlineStr">
        <is>
          <t>Confirmed</t>
        </is>
      </c>
      <c r="D42" s="13" t="inlineStr">
        <is>
          <t>Street address or PO box</t>
        </is>
      </c>
      <c r="E42" s="15" t="inlineStr">
        <is>
          <t>Friends of Allen Alley</t>
        </is>
      </c>
      <c r="F42" s="13" t="n">
        <v>2010</v>
      </c>
      <c r="G42" s="13" t="n">
        <v>8000</v>
      </c>
      <c r="H42" s="15" t="inlineStr"/>
      <c r="I42" s="13" t="inlineStr">
        <is>
          <t>17629:5813937</t>
        </is>
      </c>
      <c r="J42" s="13" t="inlineStr">
        <is>
          <t>12878:467460; 12878:615753; 12878:730702</t>
        </is>
      </c>
    </row>
    <row r="43">
      <c r="A43" s="13" t="inlineStr">
        <is>
          <t>Eric Zimmerman</t>
        </is>
      </c>
      <c r="B43" s="13" t="inlineStr">
        <is>
          <t>H008</t>
        </is>
      </c>
      <c r="C43" s="13" t="inlineStr">
        <is>
          <t>Likely</t>
        </is>
      </c>
      <c r="D43" s="13" t="inlineStr">
        <is>
          <t>Hand review</t>
        </is>
      </c>
      <c r="E43" s="15" t="inlineStr">
        <is>
          <t>Friends of Allen Alley</t>
        </is>
      </c>
      <c r="F43" s="13" t="n">
        <v>2008</v>
      </c>
      <c r="G43" s="13" t="n">
        <v>500</v>
      </c>
      <c r="H43" s="15" t="inlineStr">
        <is>
          <t>The two gifts list the same law firm under two versions of its name, one from a home address and one from the office. No single filing ties the two addresses. Supporting filings (Tran Id): 467561.</t>
        </is>
      </c>
      <c r="I43" s="13" t="inlineStr">
        <is>
          <t>17629:5852827</t>
        </is>
      </c>
      <c r="J43" s="13" t="inlineStr">
        <is>
          <t>12878:467561</t>
        </is>
      </c>
    </row>
    <row r="44">
      <c r="A44" s="13" t="inlineStr">
        <is>
          <t>Eric Zimmerman</t>
        </is>
      </c>
      <c r="B44" s="13" t="inlineStr">
        <is>
          <t>H013</t>
        </is>
      </c>
      <c r="C44" s="13" t="inlineStr">
        <is>
          <t>Confirmed</t>
        </is>
      </c>
      <c r="D44" s="13" t="inlineStr">
        <is>
          <t>Street address or PO box</t>
        </is>
      </c>
      <c r="E44" s="15" t="inlineStr">
        <is>
          <t>Friends of Allen Alley; Friends of Chris Dudley; Friends of Christine Drazan; Knute for Governor</t>
        </is>
      </c>
      <c r="F44" s="13" t="n">
        <v>2026</v>
      </c>
      <c r="G44" s="13" t="n">
        <v>37000</v>
      </c>
      <c r="H44" s="15" t="inlineStr"/>
      <c r="I44" s="13" t="inlineStr">
        <is>
          <t>17629:5852794</t>
        </is>
      </c>
      <c r="J44" s="13" t="inlineStr">
        <is>
          <t>13998:704478; 13998:861561; 12878:2206664; 15192:2729829; 19050:4388949; 19050:5722342; 19050:5838902</t>
        </is>
      </c>
    </row>
    <row r="45">
      <c r="A45" s="13" t="inlineStr">
        <is>
          <t>Eric Zimmerman</t>
        </is>
      </c>
      <c r="B45" s="13" t="inlineStr">
        <is>
          <t>H017</t>
        </is>
      </c>
      <c r="C45" s="13" t="inlineStr">
        <is>
          <t>Likely</t>
        </is>
      </c>
      <c r="D45" s="13" t="inlineStr">
        <is>
          <t>Hand review</t>
        </is>
      </c>
      <c r="E45" s="15" t="inlineStr">
        <is>
          <t>Friends of Chris Dudley</t>
        </is>
      </c>
      <c r="F45" s="13" t="n">
        <v>2010</v>
      </c>
      <c r="G45" s="13" t="n">
        <v>1000</v>
      </c>
      <c r="H45" s="15" t="inlineStr">
        <is>
          <t>The two gifts list the same firm (one abbreviated), one from a home address and one from the office. Supporting filings (Tran Id): 949704.</t>
        </is>
      </c>
      <c r="I45" s="13" t="inlineStr">
        <is>
          <t>17629:5868399</t>
        </is>
      </c>
      <c r="J45" s="13" t="inlineStr">
        <is>
          <t>13998:797496; 13998:949704</t>
        </is>
      </c>
    </row>
    <row r="46">
      <c r="A46" s="13" t="inlineStr">
        <is>
          <t>Eric Zimmerman</t>
        </is>
      </c>
      <c r="B46" s="13" t="inlineStr">
        <is>
          <t>H019</t>
        </is>
      </c>
      <c r="C46" s="13" t="inlineStr">
        <is>
          <t>Likely</t>
        </is>
      </c>
      <c r="D46" s="13" t="inlineStr">
        <is>
          <t>Hand review</t>
        </is>
      </c>
      <c r="E46" s="15" t="inlineStr">
        <is>
          <t>Friends of Chris Dudley</t>
        </is>
      </c>
      <c r="F46" s="13" t="n">
        <v>2010</v>
      </c>
      <c r="G46" s="13" t="n">
        <v>1000</v>
      </c>
      <c r="H46" s="15" t="inlineStr">
        <is>
          <t>Another filing ties the Republican-gift address to the employer on the candidate gifts. Weakest link in the set: several relatives share that office. Supporting filings (Tran Id): 3510647, 890502.</t>
        </is>
      </c>
      <c r="I46" s="13" t="inlineStr">
        <is>
          <t>17629:5813892; 17629:5017065</t>
        </is>
      </c>
      <c r="J46" s="13" t="inlineStr">
        <is>
          <t>13998:890502</t>
        </is>
      </c>
    </row>
    <row r="47">
      <c r="A47" s="13" t="inlineStr">
        <is>
          <t>Eric Zimmerman</t>
        </is>
      </c>
      <c r="B47" s="13" t="inlineStr">
        <is>
          <t>H020</t>
        </is>
      </c>
      <c r="C47" s="13" t="inlineStr">
        <is>
          <t>Likely</t>
        </is>
      </c>
      <c r="D47" s="13" t="inlineStr">
        <is>
          <t>Hand review</t>
        </is>
      </c>
      <c r="E47" s="15" t="inlineStr">
        <is>
          <t>Starr, Bruce, for State Senate Committee</t>
        </is>
      </c>
      <c r="F47" s="13" t="n">
        <v>2010</v>
      </c>
      <c r="G47" s="13" t="n">
        <v>250</v>
      </c>
      <c r="H47" s="15" t="inlineStr">
        <is>
          <t>Same street and ZIP with house numbers one digit apart, and the same distinctive employer under two names. Supporting filings (Tran Id): 3991406, 944216.</t>
        </is>
      </c>
      <c r="I47" s="13" t="inlineStr">
        <is>
          <t>17629:5813959; 17629:5778160</t>
        </is>
      </c>
      <c r="J47" s="13" t="inlineStr">
        <is>
          <t>2752:944216</t>
        </is>
      </c>
    </row>
    <row r="48">
      <c r="A48" s="13" t="inlineStr">
        <is>
          <t>Eric Zimmerman</t>
        </is>
      </c>
      <c r="B48" s="13" t="inlineStr">
        <is>
          <t>H021</t>
        </is>
      </c>
      <c r="C48" s="13" t="inlineStr">
        <is>
          <t>Confirmed</t>
        </is>
      </c>
      <c r="D48" s="13" t="inlineStr">
        <is>
          <t>Street address or PO box</t>
        </is>
      </c>
      <c r="E48" s="15" t="inlineStr">
        <is>
          <t>Bud Pierce for a Better Oregon; Citizens to Elect Dennis Richardson; Friends of Christine Drazan; Friends of Kim Thatcher; Knute Buehler for Secretary of State; Knute for Governor; The Leadership Fund</t>
        </is>
      </c>
      <c r="F48" s="13" t="n">
        <v>2026</v>
      </c>
      <c r="G48" s="13" t="n">
        <v>5000</v>
      </c>
      <c r="H48" s="15" t="inlineStr"/>
      <c r="I48" s="13" t="inlineStr">
        <is>
          <t>17629:5813894</t>
        </is>
      </c>
      <c r="J48" s="13" t="inlineStr">
        <is>
          <t>15192:1125657; 4155:1832575; 17397:2294547; 15192:2887948; 2690:3164998; 4871:3474655; 19050:5804309</t>
        </is>
      </c>
    </row>
    <row r="49">
      <c r="A49" s="13" t="inlineStr">
        <is>
          <t>Eric Zimmerman</t>
        </is>
      </c>
      <c r="B49" s="13" t="inlineStr">
        <is>
          <t>H022</t>
        </is>
      </c>
      <c r="C49" s="13" t="inlineStr">
        <is>
          <t>Confirmed</t>
        </is>
      </c>
      <c r="D49" s="13" t="inlineStr">
        <is>
          <t>Street address or PO box</t>
        </is>
      </c>
      <c r="E49" s="15" t="inlineStr">
        <is>
          <t>Bruce Starr for State Senate Committee; Knute Buehler for Secretary of State; Knute for Governor; Working Families for Bruce Starr</t>
        </is>
      </c>
      <c r="F49" s="13" t="n">
        <v>2018</v>
      </c>
      <c r="G49" s="13" t="n">
        <v>22000</v>
      </c>
      <c r="H49" s="15" t="inlineStr"/>
      <c r="I49" s="13" t="inlineStr">
        <is>
          <t>17629:5679864</t>
        </is>
      </c>
      <c r="J49" s="13" t="inlineStr">
        <is>
          <t>2752:1155723; 2752:1389544; 15192:1412291; 2752:1799268; 15192:2622425; 15192:3050049</t>
        </is>
      </c>
    </row>
    <row r="50">
      <c r="A50" s="13" t="inlineStr">
        <is>
          <t>Eric Zimmerman</t>
        </is>
      </c>
      <c r="B50" s="13" t="inlineStr">
        <is>
          <t>H022</t>
        </is>
      </c>
      <c r="C50" s="13" t="inlineStr">
        <is>
          <t>Likely</t>
        </is>
      </c>
      <c r="D50" s="13" t="inlineStr">
        <is>
          <t>Hand review</t>
        </is>
      </c>
      <c r="E50" s="15" t="inlineStr">
        <is>
          <t>Friends of Will Lathrop</t>
        </is>
      </c>
      <c r="F50" s="13" t="n">
        <v>2024</v>
      </c>
      <c r="G50" s="13" t="n">
        <v>500</v>
      </c>
      <c r="H50" s="15" t="inlineStr">
        <is>
          <t>The candidate gift lists the employer at a home address; the Republican gift is from that employer's office. Other filings tie both addresses to the same person. Supporting filings (Tran Id): 4770292, 4778133, 5578333.</t>
        </is>
      </c>
      <c r="I50" s="13" t="inlineStr">
        <is>
          <t>17629:4993392</t>
        </is>
      </c>
      <c r="J50" s="13" t="inlineStr">
        <is>
          <t>21896:4770292</t>
        </is>
      </c>
    </row>
    <row r="51">
      <c r="A51" s="13" t="inlineStr">
        <is>
          <t>Eric Zimmerman</t>
        </is>
      </c>
      <c r="B51" s="13" t="inlineStr">
        <is>
          <t>H026</t>
        </is>
      </c>
      <c r="C51" s="13" t="inlineStr">
        <is>
          <t>Confirmed</t>
        </is>
      </c>
      <c r="D51" s="13" t="inlineStr">
        <is>
          <t>Street address or PO box</t>
        </is>
      </c>
      <c r="E51" s="15" t="inlineStr">
        <is>
          <t>Tim Knopp for State Senate</t>
        </is>
      </c>
      <c r="F51" s="13" t="n">
        <v>2022</v>
      </c>
      <c r="G51" s="13" t="n">
        <v>2000</v>
      </c>
      <c r="H51" s="15" t="inlineStr"/>
      <c r="I51" s="13" t="inlineStr">
        <is>
          <t>17629:5651895; 17629:4968603</t>
        </is>
      </c>
      <c r="J51" s="13" t="inlineStr">
        <is>
          <t>15627:1267733; 15627:1840306; 15627:2346191; 15627:4368289</t>
        </is>
      </c>
    </row>
    <row r="52">
      <c r="A52" s="13" t="inlineStr">
        <is>
          <t>Eric Zimmerman</t>
        </is>
      </c>
      <c r="B52" s="13" t="inlineStr">
        <is>
          <t>H033</t>
        </is>
      </c>
      <c r="C52" s="13" t="inlineStr">
        <is>
          <t>Likely</t>
        </is>
      </c>
      <c r="D52" s="13" t="inlineStr">
        <is>
          <t>Hand review</t>
        </is>
      </c>
      <c r="E52" s="15" t="inlineStr">
        <is>
          <t>Bruce Starr for State Senate Committee</t>
        </is>
      </c>
      <c r="F52" s="13" t="n">
        <v>2014</v>
      </c>
      <c r="G52" s="13" t="n">
        <v>250</v>
      </c>
      <c r="H52" s="15" t="inlineStr">
        <is>
          <t>A chain of other filings ties the candidate-gift address to the employer on the Republican gift. One gift, in 2014. Supporting filings (Tran Id): 1797354, 2140128, 4076909, 4323067.</t>
        </is>
      </c>
      <c r="I52" s="13" t="inlineStr">
        <is>
          <t>17629:5679849</t>
        </is>
      </c>
      <c r="J52" s="13" t="inlineStr">
        <is>
          <t>2752:1797354</t>
        </is>
      </c>
    </row>
    <row r="53">
      <c r="A53" s="13" t="inlineStr">
        <is>
          <t>Eric Zimmerman</t>
        </is>
      </c>
      <c r="B53" s="13" t="inlineStr">
        <is>
          <t>H035</t>
        </is>
      </c>
      <c r="C53" s="13" t="inlineStr">
        <is>
          <t>Confirmed</t>
        </is>
      </c>
      <c r="D53" s="13" t="inlineStr">
        <is>
          <t>Street address or PO box</t>
        </is>
      </c>
      <c r="E53" s="15" t="inlineStr">
        <is>
          <t>Bruce Starr for State Senate Committee</t>
        </is>
      </c>
      <c r="F53" s="13" t="n">
        <v>2014</v>
      </c>
      <c r="G53" s="13" t="n">
        <v>250</v>
      </c>
      <c r="H53" s="15" t="inlineStr"/>
      <c r="I53" s="13" t="inlineStr">
        <is>
          <t>17629:5778131</t>
        </is>
      </c>
      <c r="J53" s="13" t="inlineStr">
        <is>
          <t>2752:1873970</t>
        </is>
      </c>
    </row>
    <row r="54">
      <c r="A54" s="13" t="inlineStr">
        <is>
          <t>Eric Zimmerman</t>
        </is>
      </c>
      <c r="B54" s="13" t="inlineStr">
        <is>
          <t>H037</t>
        </is>
      </c>
      <c r="C54" s="13" t="inlineStr">
        <is>
          <t>Confirmed</t>
        </is>
      </c>
      <c r="D54" s="13" t="inlineStr">
        <is>
          <t>Street address or PO box</t>
        </is>
      </c>
      <c r="E54" s="15" t="inlineStr">
        <is>
          <t>Bruce Starr for State Senate Committee; Knute for Governor</t>
        </is>
      </c>
      <c r="F54" s="13" t="n">
        <v>2018</v>
      </c>
      <c r="G54" s="13" t="n">
        <v>8000</v>
      </c>
      <c r="H54" s="15" t="inlineStr"/>
      <c r="I54" s="13" t="inlineStr">
        <is>
          <t>17629:5778130</t>
        </is>
      </c>
      <c r="J54" s="13" t="inlineStr">
        <is>
          <t>2752:1896834; 15192:2652081; 15192:2784661; 15192:2853284; 15192:3021279</t>
        </is>
      </c>
    </row>
    <row r="55">
      <c r="A55" s="13" t="inlineStr">
        <is>
          <t>Eric Zimmerman</t>
        </is>
      </c>
      <c r="B55" s="13" t="inlineStr">
        <is>
          <t>H040</t>
        </is>
      </c>
      <c r="C55" s="13" t="inlineStr">
        <is>
          <t>Confirmed</t>
        </is>
      </c>
      <c r="D55" s="13" t="inlineStr">
        <is>
          <t>Street address or PO box</t>
        </is>
      </c>
      <c r="E55" s="15" t="inlineStr">
        <is>
          <t>Citizens to Elect Dennis Richardson</t>
        </is>
      </c>
      <c r="F55" s="13" t="n">
        <v>2016</v>
      </c>
      <c r="G55" s="13" t="n">
        <v>1000</v>
      </c>
      <c r="H55" s="15" t="inlineStr"/>
      <c r="I55" s="13" t="inlineStr">
        <is>
          <t>17629:5828875</t>
        </is>
      </c>
      <c r="J55" s="13" t="inlineStr">
        <is>
          <t>4155:2265543</t>
        </is>
      </c>
    </row>
    <row r="56">
      <c r="A56" s="13" t="inlineStr">
        <is>
          <t>Eric Zimmerman</t>
        </is>
      </c>
      <c r="B56" s="13" t="inlineStr">
        <is>
          <t>H043</t>
        </is>
      </c>
      <c r="C56" s="13" t="inlineStr">
        <is>
          <t>Confirmed</t>
        </is>
      </c>
      <c r="D56" s="13" t="inlineStr">
        <is>
          <t>Street address or PO box</t>
        </is>
      </c>
      <c r="E56" s="15" t="inlineStr">
        <is>
          <t>Friends of Will Lathrop</t>
        </is>
      </c>
      <c r="F56" s="13" t="n">
        <v>2024</v>
      </c>
      <c r="G56" s="13" t="n">
        <v>500</v>
      </c>
      <c r="H56" s="15" t="inlineStr"/>
      <c r="I56" s="13" t="inlineStr">
        <is>
          <t>17629:5828801</t>
        </is>
      </c>
      <c r="J56" s="13" t="inlineStr">
        <is>
          <t>21896:5123848</t>
        </is>
      </c>
    </row>
    <row r="57">
      <c r="A57" s="13" t="inlineStr">
        <is>
          <t>Eric Zimmerman</t>
        </is>
      </c>
      <c r="B57" s="13" t="inlineStr">
        <is>
          <t>H046</t>
        </is>
      </c>
      <c r="C57" s="13" t="inlineStr">
        <is>
          <t>Confirmed</t>
        </is>
      </c>
      <c r="D57" s="13" t="inlineStr">
        <is>
          <t>Street address or PO box</t>
        </is>
      </c>
      <c r="E57" s="15" t="inlineStr">
        <is>
          <t>Buehler For a United Oregon</t>
        </is>
      </c>
      <c r="F57" s="13" t="n">
        <v>2016</v>
      </c>
      <c r="G57" s="13" t="n">
        <v>250</v>
      </c>
      <c r="H57" s="15" t="inlineStr"/>
      <c r="I57" s="13" t="inlineStr">
        <is>
          <t>17629:5813942; 17629:5778116; 17629:4993338; 17629:4928139</t>
        </is>
      </c>
      <c r="J57" s="13" t="inlineStr">
        <is>
          <t>15192:2372574; 15192:2385463; 15192:2439363; 15192:2469214; 15192:2478440</t>
        </is>
      </c>
    </row>
    <row r="58">
      <c r="A58" s="13" t="inlineStr">
        <is>
          <t>Eric Zimmerman</t>
        </is>
      </c>
      <c r="B58" s="13" t="inlineStr">
        <is>
          <t>H051</t>
        </is>
      </c>
      <c r="C58" s="13" t="inlineStr">
        <is>
          <t>Confirmed</t>
        </is>
      </c>
      <c r="D58" s="13" t="inlineStr">
        <is>
          <t>Street address or PO box</t>
        </is>
      </c>
      <c r="E58" s="15" t="inlineStr">
        <is>
          <t>Knute for Governor</t>
        </is>
      </c>
      <c r="F58" s="13" t="n">
        <v>2018</v>
      </c>
      <c r="G58" s="13" t="n">
        <v>1000</v>
      </c>
      <c r="H58" s="15" t="inlineStr"/>
      <c r="I58" s="13" t="inlineStr">
        <is>
          <t>17629:5813995</t>
        </is>
      </c>
      <c r="J58" s="13" t="inlineStr">
        <is>
          <t>15192:2598126; 15192:2631877; 15192:2732002; 15192:2965588</t>
        </is>
      </c>
    </row>
    <row r="59">
      <c r="A59" s="13" t="inlineStr">
        <is>
          <t>Eric Zimmerman</t>
        </is>
      </c>
      <c r="B59" s="13" t="inlineStr">
        <is>
          <t>H055</t>
        </is>
      </c>
      <c r="C59" s="13" t="inlineStr">
        <is>
          <t>Confirmed</t>
        </is>
      </c>
      <c r="D59" s="13" t="inlineStr">
        <is>
          <t>Street address or PO box</t>
        </is>
      </c>
      <c r="E59" s="15" t="inlineStr">
        <is>
          <t>Knute for Governor</t>
        </is>
      </c>
      <c r="F59" s="13" t="n">
        <v>2018</v>
      </c>
      <c r="G59" s="13" t="n">
        <v>12000</v>
      </c>
      <c r="H59" s="15" t="inlineStr"/>
      <c r="I59" s="13" t="inlineStr">
        <is>
          <t>17629:4993430</t>
        </is>
      </c>
      <c r="J59" s="13" t="inlineStr">
        <is>
          <t>15192:2670230; 15192:2804186; 15192:2880177</t>
        </is>
      </c>
    </row>
    <row r="60">
      <c r="A60" s="13" t="inlineStr">
        <is>
          <t>Eric Zimmerman</t>
        </is>
      </c>
      <c r="B60" s="13" t="inlineStr">
        <is>
          <t>H062</t>
        </is>
      </c>
      <c r="C60" s="13" t="inlineStr">
        <is>
          <t>Confirmed</t>
        </is>
      </c>
      <c r="D60" s="13" t="inlineStr">
        <is>
          <t>Street address or PO box</t>
        </is>
      </c>
      <c r="E60" s="15" t="inlineStr">
        <is>
          <t>Bring Balance to Salem PAC; Knute for Governor</t>
        </is>
      </c>
      <c r="F60" s="13" t="n">
        <v>2026</v>
      </c>
      <c r="G60" s="13" t="n">
        <v>3000</v>
      </c>
      <c r="H60" s="15" t="inlineStr"/>
      <c r="I60" s="13" t="inlineStr">
        <is>
          <t>17629:5778159</t>
        </is>
      </c>
      <c r="J60" s="13" t="inlineStr">
        <is>
          <t>15192:2804189; 21717:5666459</t>
        </is>
      </c>
    </row>
    <row r="61">
      <c r="A61" s="13" t="inlineStr">
        <is>
          <t>Eric Zimmerman</t>
        </is>
      </c>
      <c r="B61" s="13" t="inlineStr">
        <is>
          <t>H063</t>
        </is>
      </c>
      <c r="C61" s="13" t="inlineStr">
        <is>
          <t>Confirmed</t>
        </is>
      </c>
      <c r="D61" s="13" t="inlineStr">
        <is>
          <t>Street address or PO box</t>
        </is>
      </c>
      <c r="E61" s="15" t="inlineStr">
        <is>
          <t>Friends of Christine Drazan; Friends of Jeff Helfrich; Friends of Will Lathrop; Knute for Governor; Multnomah County Republican Central Committee</t>
        </is>
      </c>
      <c r="F61" s="13" t="n">
        <v>2026</v>
      </c>
      <c r="G61" s="13" t="n">
        <v>10000</v>
      </c>
      <c r="H61" s="15" t="inlineStr"/>
      <c r="I61" s="13" t="inlineStr">
        <is>
          <t>17629:5704596; 17629:5704561</t>
        </is>
      </c>
      <c r="J61" s="13" t="inlineStr">
        <is>
          <t>15192:2832855; 15192:2895015; 15192:2924330; 15192:3018676; 15192:3073436; 19050:4268959; 19050:4389026; 21896:4741334; 21896:5046509; 21896:5123745; 21896:5123947; 21896:5134203; 21896:5134312; 15984:5197923; 15984:5516634; 21594:5548325; 19050:5813334; 19050:5866669</t>
        </is>
      </c>
    </row>
    <row r="62">
      <c r="A62" s="13" t="inlineStr">
        <is>
          <t>Eric Zimmerman</t>
        </is>
      </c>
      <c r="B62" s="13" t="inlineStr">
        <is>
          <t>H066</t>
        </is>
      </c>
      <c r="C62" s="13" t="inlineStr">
        <is>
          <t>Confirmed</t>
        </is>
      </c>
      <c r="D62" s="13" t="inlineStr">
        <is>
          <t>Street address or PO box</t>
        </is>
      </c>
      <c r="E62" s="15" t="inlineStr">
        <is>
          <t>Knute for Governor</t>
        </is>
      </c>
      <c r="F62" s="13" t="n">
        <v>2018</v>
      </c>
      <c r="G62" s="13" t="n">
        <v>250</v>
      </c>
      <c r="H62" s="15" t="inlineStr"/>
      <c r="I62" s="13" t="inlineStr">
        <is>
          <t>17629:5858311; 17629:5813946; 17629:5813878; 17629:5778065; 17629:5747532; 17629:5704592; 17629:5679863</t>
        </is>
      </c>
      <c r="J62" s="13" t="inlineStr">
        <is>
          <t>15192:2906820; 15192:3003976</t>
        </is>
      </c>
    </row>
    <row r="63">
      <c r="A63" s="13" t="inlineStr">
        <is>
          <t>Eric Zimmerman</t>
        </is>
      </c>
      <c r="B63" s="13" t="inlineStr">
        <is>
          <t>H067</t>
        </is>
      </c>
      <c r="C63" s="13" t="inlineStr">
        <is>
          <t>Confirmed</t>
        </is>
      </c>
      <c r="D63" s="13" t="inlineStr">
        <is>
          <t>Street address or PO box</t>
        </is>
      </c>
      <c r="E63" s="15" t="inlineStr">
        <is>
          <t>Knute for Governor</t>
        </is>
      </c>
      <c r="F63" s="13" t="n">
        <v>2018</v>
      </c>
      <c r="G63" s="13" t="n">
        <v>2000</v>
      </c>
      <c r="H63" s="15" t="inlineStr"/>
      <c r="I63" s="13" t="inlineStr">
        <is>
          <t>17629:5778150</t>
        </is>
      </c>
      <c r="J63" s="13" t="inlineStr">
        <is>
          <t>15192:2923951; 15192:2987847</t>
        </is>
      </c>
    </row>
    <row r="64">
      <c r="A64" s="13" t="inlineStr">
        <is>
          <t>Eric Zimmerman</t>
        </is>
      </c>
      <c r="B64" s="13" t="inlineStr">
        <is>
          <t>H068</t>
        </is>
      </c>
      <c r="C64" s="13" t="inlineStr">
        <is>
          <t>Confirmed</t>
        </is>
      </c>
      <c r="D64" s="13" t="inlineStr">
        <is>
          <t>Street address or PO box</t>
        </is>
      </c>
      <c r="E64" s="15" t="inlineStr">
        <is>
          <t>Knute for Governor</t>
        </is>
      </c>
      <c r="F64" s="13" t="n">
        <v>2018</v>
      </c>
      <c r="G64" s="13" t="n">
        <v>250</v>
      </c>
      <c r="H64" s="15" t="inlineStr"/>
      <c r="I64" s="13" t="inlineStr">
        <is>
          <t>17629:5828869</t>
        </is>
      </c>
      <c r="J64" s="13" t="inlineStr">
        <is>
          <t>15192:2930610</t>
        </is>
      </c>
    </row>
    <row r="65">
      <c r="A65" s="13" t="inlineStr">
        <is>
          <t>Eric Zimmerman</t>
        </is>
      </c>
      <c r="B65" s="13" t="inlineStr">
        <is>
          <t>H069</t>
        </is>
      </c>
      <c r="C65" s="13" t="inlineStr">
        <is>
          <t>Confirmed</t>
        </is>
      </c>
      <c r="D65" s="13" t="inlineStr">
        <is>
          <t>ZIP + employer</t>
        </is>
      </c>
      <c r="E65" s="15" t="inlineStr">
        <is>
          <t>Friends of Christine Drazan; Friends of Jeff Helfrich; Knute for Governor</t>
        </is>
      </c>
      <c r="F65" s="13" t="n">
        <v>2024</v>
      </c>
      <c r="G65" s="13" t="n">
        <v>4000</v>
      </c>
      <c r="H65" s="15" t="inlineStr"/>
      <c r="I65" s="13" t="inlineStr">
        <is>
          <t>17629:5852823</t>
        </is>
      </c>
      <c r="J65" s="13" t="inlineStr">
        <is>
          <t>15192:2937348; 15192:3043200; 19050:4374820; 15984:4938828</t>
        </is>
      </c>
    </row>
    <row r="66">
      <c r="A66" s="13" t="inlineStr">
        <is>
          <t>Eric Zimmerman</t>
        </is>
      </c>
      <c r="B66" s="13" t="inlineStr">
        <is>
          <t>H070</t>
        </is>
      </c>
      <c r="C66" s="13" t="inlineStr">
        <is>
          <t>Confirmed</t>
        </is>
      </c>
      <c r="D66" s="13" t="inlineStr">
        <is>
          <t>Street address or PO box</t>
        </is>
      </c>
      <c r="E66" s="15" t="inlineStr">
        <is>
          <t>Friends of Christine Drazan; Knute for Governor</t>
        </is>
      </c>
      <c r="F66" s="13" t="n">
        <v>2024</v>
      </c>
      <c r="G66" s="13" t="n">
        <v>4000</v>
      </c>
      <c r="H66" s="15" t="inlineStr"/>
      <c r="I66" s="13" t="inlineStr">
        <is>
          <t>17629:5051375</t>
        </is>
      </c>
      <c r="J66" s="13" t="inlineStr">
        <is>
          <t>15192:2958365; 19050:4309117; 19050:4877571</t>
        </is>
      </c>
    </row>
    <row r="67">
      <c r="A67" s="13" t="inlineStr">
        <is>
          <t>Eric Zimmerman</t>
        </is>
      </c>
      <c r="B67" s="13" t="inlineStr">
        <is>
          <t>H075</t>
        </is>
      </c>
      <c r="C67" s="13" t="inlineStr">
        <is>
          <t>Confirmed</t>
        </is>
      </c>
      <c r="D67" s="13" t="inlineStr">
        <is>
          <t>Street address or PO box</t>
        </is>
      </c>
      <c r="E67" s="15" t="inlineStr">
        <is>
          <t>Knute for Governor</t>
        </is>
      </c>
      <c r="F67" s="13" t="n">
        <v>2018</v>
      </c>
      <c r="G67" s="13" t="n">
        <v>2000</v>
      </c>
      <c r="H67" s="15" t="inlineStr"/>
      <c r="I67" s="13" t="inlineStr">
        <is>
          <t>17629:5813957; 17629:4993456</t>
        </is>
      </c>
      <c r="J67" s="13" t="inlineStr">
        <is>
          <t>15192:2982931; 15192:3054852; 15192:3069502</t>
        </is>
      </c>
    </row>
    <row r="68">
      <c r="A68" s="13" t="inlineStr">
        <is>
          <t>Eric Zimmerman</t>
        </is>
      </c>
      <c r="B68" s="13" t="inlineStr">
        <is>
          <t>H076</t>
        </is>
      </c>
      <c r="C68" s="13" t="inlineStr">
        <is>
          <t>Likely</t>
        </is>
      </c>
      <c r="D68" s="13" t="inlineStr">
        <is>
          <t>Hand review</t>
        </is>
      </c>
      <c r="E68" s="15" t="inlineStr">
        <is>
          <t>Knute for Governor</t>
        </is>
      </c>
      <c r="F68" s="13" t="n">
        <v>2018</v>
      </c>
      <c r="G68" s="13" t="n">
        <v>1000</v>
      </c>
      <c r="H68" s="15" t="inlineStr">
        <is>
          <t>The two gifts list the same firm under two versions of its name, one from a home address and one from the office. Other filings tie both addresses to that firm. Supporting filings (Tran Id): 2977979, 4743889, 4803134.</t>
        </is>
      </c>
      <c r="I68" s="13" t="inlineStr">
        <is>
          <t>17629:5598564</t>
        </is>
      </c>
      <c r="J68" s="13" t="inlineStr">
        <is>
          <t>15192:2977979</t>
        </is>
      </c>
    </row>
    <row r="69">
      <c r="A69" s="13" t="inlineStr">
        <is>
          <t>Eric Zimmerman</t>
        </is>
      </c>
      <c r="B69" s="13" t="inlineStr">
        <is>
          <t>H079</t>
        </is>
      </c>
      <c r="C69" s="13" t="inlineStr">
        <is>
          <t>Confirmed</t>
        </is>
      </c>
      <c r="D69" s="13" t="inlineStr">
        <is>
          <t>Street address or PO box</t>
        </is>
      </c>
      <c r="E69" s="15" t="inlineStr">
        <is>
          <t>Knute for Governor</t>
        </is>
      </c>
      <c r="F69" s="13" t="n">
        <v>2018</v>
      </c>
      <c r="G69" s="13" t="n">
        <v>250</v>
      </c>
      <c r="H69" s="15" t="inlineStr"/>
      <c r="I69" s="13" t="inlineStr">
        <is>
          <t>17629:4993366</t>
        </is>
      </c>
      <c r="J69" s="13" t="inlineStr">
        <is>
          <t>15192:3028353; 15192:3043061; 15192:3058304; 15192:3065292</t>
        </is>
      </c>
    </row>
    <row r="70">
      <c r="A70" s="13" t="inlineStr">
        <is>
          <t>Eric Zimmerman</t>
        </is>
      </c>
      <c r="B70" s="13" t="inlineStr">
        <is>
          <t>H082</t>
        </is>
      </c>
      <c r="C70" s="13" t="inlineStr">
        <is>
          <t>Confirmed</t>
        </is>
      </c>
      <c r="D70" s="13" t="inlineStr">
        <is>
          <t>Street address or PO box</t>
        </is>
      </c>
      <c r="E70" s="15" t="inlineStr">
        <is>
          <t>Knute for Governor</t>
        </is>
      </c>
      <c r="F70" s="13" t="n">
        <v>2018</v>
      </c>
      <c r="G70" s="13" t="n">
        <v>3000</v>
      </c>
      <c r="H70" s="15" t="inlineStr"/>
      <c r="I70" s="13" t="inlineStr">
        <is>
          <t>17629:5778125; 17629:5005275</t>
        </is>
      </c>
      <c r="J70" s="13" t="inlineStr">
        <is>
          <t>15192:3053040</t>
        </is>
      </c>
    </row>
    <row r="71">
      <c r="A71" s="13" t="inlineStr">
        <is>
          <t>Eric Zimmerman</t>
        </is>
      </c>
      <c r="B71" s="13" t="inlineStr">
        <is>
          <t>H083</t>
        </is>
      </c>
      <c r="C71" s="13" t="inlineStr">
        <is>
          <t>Confirmed</t>
        </is>
      </c>
      <c r="D71" s="13" t="inlineStr">
        <is>
          <t>Street address or PO box</t>
        </is>
      </c>
      <c r="E71" s="15" t="inlineStr">
        <is>
          <t>Knute for Governor</t>
        </is>
      </c>
      <c r="F71" s="13" t="n">
        <v>2018</v>
      </c>
      <c r="G71" s="13" t="n">
        <v>1000</v>
      </c>
      <c r="H71" s="15" t="inlineStr"/>
      <c r="I71" s="13" t="inlineStr">
        <is>
          <t>17629:5778143</t>
        </is>
      </c>
      <c r="J71" s="13" t="inlineStr">
        <is>
          <t>15192:3066973</t>
        </is>
      </c>
    </row>
    <row r="72">
      <c r="A72" s="13" t="inlineStr">
        <is>
          <t>Eric Zimmerman</t>
        </is>
      </c>
      <c r="B72" s="13" t="inlineStr">
        <is>
          <t>H092</t>
        </is>
      </c>
      <c r="C72" s="13" t="inlineStr">
        <is>
          <t>Confirmed</t>
        </is>
      </c>
      <c r="D72" s="13" t="inlineStr">
        <is>
          <t>Street address or PO box, ZIP + employer</t>
        </is>
      </c>
      <c r="E72" s="15" t="inlineStr">
        <is>
          <t>Dudley for Oregon; Friends of Christine Drazan</t>
        </is>
      </c>
      <c r="F72" s="13" t="n">
        <v>2026</v>
      </c>
      <c r="G72" s="13" t="n">
        <v>6000</v>
      </c>
      <c r="H72" s="15" t="inlineStr"/>
      <c r="I72" s="13" t="inlineStr">
        <is>
          <t>17629:5813973</t>
        </is>
      </c>
      <c r="J72" s="13" t="inlineStr">
        <is>
          <t>19050:4331006; 24693:5528888; 19050:5755553</t>
        </is>
      </c>
    </row>
    <row r="73">
      <c r="A73" s="13" t="inlineStr">
        <is>
          <t>Eric Zimmerman</t>
        </is>
      </c>
      <c r="B73" s="13" t="inlineStr">
        <is>
          <t>H098</t>
        </is>
      </c>
      <c r="C73" s="13" t="inlineStr">
        <is>
          <t>Confirmed</t>
        </is>
      </c>
      <c r="D73" s="13" t="inlineStr">
        <is>
          <t>Street address or PO box</t>
        </is>
      </c>
      <c r="E73" s="15" t="inlineStr">
        <is>
          <t>Committee to Elect Dennis Linthicum</t>
        </is>
      </c>
      <c r="F73" s="13" t="n">
        <v>2024</v>
      </c>
      <c r="G73" s="13" t="n">
        <v>250</v>
      </c>
      <c r="H73" s="15" t="inlineStr"/>
      <c r="I73" s="13" t="inlineStr">
        <is>
          <t>17629:5704579</t>
        </is>
      </c>
      <c r="J73" s="13" t="inlineStr">
        <is>
          <t>17895:4958938</t>
        </is>
      </c>
    </row>
    <row r="74">
      <c r="A74" s="13" t="inlineStr">
        <is>
          <t>Eric Zimmerman</t>
        </is>
      </c>
      <c r="B74" s="13" t="inlineStr">
        <is>
          <t>H102</t>
        </is>
      </c>
      <c r="C74" s="13" t="inlineStr">
        <is>
          <t>Confirmed</t>
        </is>
      </c>
      <c r="D74" s="13" t="inlineStr">
        <is>
          <t>Street address or PO box, ZIP + employer</t>
        </is>
      </c>
      <c r="E74" s="15" t="inlineStr">
        <is>
          <t>Bring Balance to Salem PAC; Dudley for Oregon; Friends of Christine Drazan; Friends of Will Lathrop</t>
        </is>
      </c>
      <c r="F74" s="13" t="n">
        <v>2026</v>
      </c>
      <c r="G74" s="13" t="n">
        <v>19000</v>
      </c>
      <c r="H74" s="15" t="inlineStr"/>
      <c r="I74" s="13" t="inlineStr">
        <is>
          <t>17629:5876489</t>
        </is>
      </c>
      <c r="J74" s="13" t="inlineStr">
        <is>
          <t>21896:5031388; 21717:5116455; 24693:5600244; 19050:5780437</t>
        </is>
      </c>
    </row>
    <row r="75">
      <c r="A75" s="13" t="inlineStr">
        <is>
          <t>Eric Zimmerman</t>
        </is>
      </c>
      <c r="B75" s="13" t="inlineStr">
        <is>
          <t>H103</t>
        </is>
      </c>
      <c r="C75" s="13" t="inlineStr">
        <is>
          <t>Confirmed</t>
        </is>
      </c>
      <c r="D75" s="13" t="inlineStr">
        <is>
          <t>Street address or PO box</t>
        </is>
      </c>
      <c r="E75" s="15" t="inlineStr">
        <is>
          <t>Bring Balance to Salem PAC; Friends of Will Lathrop</t>
        </is>
      </c>
      <c r="F75" s="13" t="n">
        <v>2024</v>
      </c>
      <c r="G75" s="13" t="n">
        <v>13000</v>
      </c>
      <c r="H75" s="15" t="inlineStr"/>
      <c r="I75" s="13" t="inlineStr">
        <is>
          <t>17629:5887697</t>
        </is>
      </c>
      <c r="J75" s="13" t="inlineStr">
        <is>
          <t>21896:5046603; 21717:5116453</t>
        </is>
      </c>
    </row>
    <row r="76">
      <c r="A76" s="13" t="inlineStr">
        <is>
          <t>Eric Zimmerman</t>
        </is>
      </c>
      <c r="B76" s="13" t="inlineStr">
        <is>
          <t>H113</t>
        </is>
      </c>
      <c r="C76" s="13" t="inlineStr">
        <is>
          <t>Confirmed</t>
        </is>
      </c>
      <c r="D76" s="13" t="inlineStr">
        <is>
          <t>Street address or PO box</t>
        </is>
      </c>
      <c r="E76" s="15" t="inlineStr">
        <is>
          <t>Hicks for Senate</t>
        </is>
      </c>
      <c r="F76" s="13" t="n">
        <v>2026</v>
      </c>
      <c r="G76" s="13" t="n">
        <v>3000</v>
      </c>
      <c r="H76" s="15" t="inlineStr"/>
      <c r="I76" s="13" t="inlineStr">
        <is>
          <t>17629:5858347</t>
        </is>
      </c>
      <c r="J76" s="13" t="inlineStr">
        <is>
          <t>24485:5711476</t>
        </is>
      </c>
    </row>
    <row r="77">
      <c r="A77" s="13" t="inlineStr">
        <is>
          <t>Eric Zimmerman</t>
        </is>
      </c>
      <c r="B77" s="13" t="inlineStr">
        <is>
          <t>H117</t>
        </is>
      </c>
      <c r="C77" s="13" t="inlineStr">
        <is>
          <t>Confirmed</t>
        </is>
      </c>
      <c r="D77" s="13" t="inlineStr">
        <is>
          <t>Street address or PO box</t>
        </is>
      </c>
      <c r="E77" s="15" t="inlineStr">
        <is>
          <t>Friends of Christine Drazan</t>
        </is>
      </c>
      <c r="F77" s="13" t="n">
        <v>2026</v>
      </c>
      <c r="G77" s="13" t="n">
        <v>250</v>
      </c>
      <c r="H77" s="15" t="inlineStr"/>
      <c r="I77" s="13" t="inlineStr">
        <is>
          <t>17629:5813886</t>
        </is>
      </c>
      <c r="J77" s="13" t="inlineStr">
        <is>
          <t>19050:5780447</t>
        </is>
      </c>
    </row>
    <row r="78">
      <c r="A78" s="13" t="inlineStr">
        <is>
          <t>Eric Zimmerman</t>
        </is>
      </c>
      <c r="B78" s="13" t="inlineStr">
        <is>
          <t>H121</t>
        </is>
      </c>
      <c r="C78" s="13" t="inlineStr">
        <is>
          <t>Confirmed</t>
        </is>
      </c>
      <c r="D78" s="13" t="inlineStr">
        <is>
          <t>Street address or PO box</t>
        </is>
      </c>
      <c r="E78" s="15" t="inlineStr">
        <is>
          <t>Friends of Christine Drazan</t>
        </is>
      </c>
      <c r="F78" s="13" t="n">
        <v>2026</v>
      </c>
      <c r="G78" s="13" t="n">
        <v>250</v>
      </c>
      <c r="H78" s="15" t="inlineStr"/>
      <c r="I78" s="13" t="inlineStr">
        <is>
          <t>17629:5562822</t>
        </is>
      </c>
      <c r="J78" s="13" t="inlineStr">
        <is>
          <t>19050:5829381</t>
        </is>
      </c>
    </row>
    <row r="79">
      <c r="A79" s="13" t="inlineStr">
        <is>
          <t>Julia Brim-Edwards</t>
        </is>
      </c>
      <c r="B79" s="13" t="inlineStr">
        <is>
          <t>H002</t>
        </is>
      </c>
      <c r="C79" s="13" t="inlineStr">
        <is>
          <t>Confirmed</t>
        </is>
      </c>
      <c r="D79" s="13" t="inlineStr">
        <is>
          <t>Street address or PO box</t>
        </is>
      </c>
      <c r="E79" s="15" t="inlineStr">
        <is>
          <t>Bud Pierce for a Better Oregon; Citizens to Elect Dennis Richardson; Friends of Allen Alley; Friends of Chris Dudley; Friends of Christine Drazan; Friends of Kim Thatcher; Knute for Governor</t>
        </is>
      </c>
      <c r="F79" s="13" t="n">
        <v>2026</v>
      </c>
      <c r="G79" s="13" t="n">
        <v>51000</v>
      </c>
      <c r="H79" s="15" t="inlineStr"/>
      <c r="I79" s="13" t="inlineStr">
        <is>
          <t>21206:4913049; 21206:4530514</t>
        </is>
      </c>
      <c r="J79" s="13" t="inlineStr">
        <is>
          <t>12878:346009; 12878:561926; 13998:737042; 13998:780531; 13998:810187; 13998:867527; 13998:889878; 4155:1691136; 12878:2214008; 12878:2255309; 17397:2338132; 17397:2400409; 15192:2800100; 15192:2903943; 15192:3008676; 4871:3576688; 19050:5753126; 19050:5771083</t>
        </is>
      </c>
    </row>
    <row r="80">
      <c r="A80" s="13" t="inlineStr">
        <is>
          <t>Julia Brim-Edwards</t>
        </is>
      </c>
      <c r="B80" s="13" t="inlineStr">
        <is>
          <t>H003</t>
        </is>
      </c>
      <c r="C80" s="13" t="inlineStr">
        <is>
          <t>Confirmed</t>
        </is>
      </c>
      <c r="D80" s="13" t="inlineStr">
        <is>
          <t>Street address or PO box</t>
        </is>
      </c>
      <c r="E80" s="15" t="inlineStr">
        <is>
          <t>Friends of Allen Alley</t>
        </is>
      </c>
      <c r="F80" s="13" t="n">
        <v>2008</v>
      </c>
      <c r="G80" s="13" t="n">
        <v>250</v>
      </c>
      <c r="H80" s="15" t="inlineStr"/>
      <c r="I80" s="13" t="inlineStr">
        <is>
          <t>21206:4853079; 21206:4536309</t>
        </is>
      </c>
      <c r="J80" s="13" t="inlineStr">
        <is>
          <t>12878:373393</t>
        </is>
      </c>
    </row>
    <row r="81">
      <c r="A81" s="13" t="inlineStr">
        <is>
          <t>Julia Brim-Edwards</t>
        </is>
      </c>
      <c r="B81" s="13" t="inlineStr">
        <is>
          <t>H004</t>
        </is>
      </c>
      <c r="C81" s="13" t="inlineStr">
        <is>
          <t>Confirmed</t>
        </is>
      </c>
      <c r="D81" s="13" t="inlineStr">
        <is>
          <t>Street address or PO box</t>
        </is>
      </c>
      <c r="E81" s="15" t="inlineStr">
        <is>
          <t>Friends of Allen Alley</t>
        </is>
      </c>
      <c r="F81" s="13" t="n">
        <v>2008</v>
      </c>
      <c r="G81" s="13" t="n">
        <v>500</v>
      </c>
      <c r="H81" s="15" t="inlineStr"/>
      <c r="I81" s="13" t="inlineStr">
        <is>
          <t>21206:5627329</t>
        </is>
      </c>
      <c r="J81" s="13" t="inlineStr">
        <is>
          <t>12878:406431</t>
        </is>
      </c>
    </row>
    <row r="82">
      <c r="A82" s="13" t="inlineStr">
        <is>
          <t>Julia Brim-Edwards</t>
        </is>
      </c>
      <c r="B82" s="13" t="inlineStr">
        <is>
          <t>H004</t>
        </is>
      </c>
      <c r="C82" s="13" t="inlineStr">
        <is>
          <t>Confirmed</t>
        </is>
      </c>
      <c r="D82" s="13" t="inlineStr">
        <is>
          <t>Street address or PO box</t>
        </is>
      </c>
      <c r="E82" s="15" t="inlineStr">
        <is>
          <t>Friends of Allen Alley</t>
        </is>
      </c>
      <c r="F82" s="13" t="n">
        <v>2008</v>
      </c>
      <c r="G82" s="13" t="n">
        <v>500</v>
      </c>
      <c r="H82" s="15" t="inlineStr"/>
      <c r="I82" s="13" t="inlineStr">
        <is>
          <t>21206:4572188</t>
        </is>
      </c>
      <c r="J82" s="13" t="inlineStr">
        <is>
          <t>12878:436939</t>
        </is>
      </c>
    </row>
    <row r="83">
      <c r="A83" s="13" t="inlineStr">
        <is>
          <t>Julia Brim-Edwards</t>
        </is>
      </c>
      <c r="B83" s="13" t="inlineStr">
        <is>
          <t>H005</t>
        </is>
      </c>
      <c r="C83" s="13" t="inlineStr">
        <is>
          <t>Confirmed</t>
        </is>
      </c>
      <c r="D83" s="13" t="inlineStr">
        <is>
          <t>Street address or PO box</t>
        </is>
      </c>
      <c r="E83" s="15" t="inlineStr">
        <is>
          <t>Friends of Allen Alley</t>
        </is>
      </c>
      <c r="F83" s="13" t="n">
        <v>2008</v>
      </c>
      <c r="G83" s="13" t="n">
        <v>500</v>
      </c>
      <c r="H83" s="15" t="inlineStr"/>
      <c r="I83" s="13" t="inlineStr">
        <is>
          <t>21206:5747271; 21206:4551175</t>
        </is>
      </c>
      <c r="J83" s="13" t="inlineStr">
        <is>
          <t>12878:449303</t>
        </is>
      </c>
    </row>
    <row r="84">
      <c r="A84" s="13" t="inlineStr">
        <is>
          <t>Julia Brim-Edwards</t>
        </is>
      </c>
      <c r="B84" s="13" t="inlineStr">
        <is>
          <t>H006</t>
        </is>
      </c>
      <c r="C84" s="13" t="inlineStr">
        <is>
          <t>Confirmed</t>
        </is>
      </c>
      <c r="D84" s="13" t="inlineStr">
        <is>
          <t>Street address or PO box</t>
        </is>
      </c>
      <c r="E84" s="15" t="inlineStr">
        <is>
          <t>Bring Balance to Salem PAC; Friends of Allen Alley; Friends of Chris Dudley; Friends of Will Lathrop; Knute Buehler for Secretary of State; Knute for Governor; The Leadership Fund; Working Families for Bruce Starr</t>
        </is>
      </c>
      <c r="F84" s="13" t="n">
        <v>2024</v>
      </c>
      <c r="G84" s="13" t="n">
        <v>62000</v>
      </c>
      <c r="H84" s="15" t="inlineStr"/>
      <c r="I84" s="13" t="inlineStr">
        <is>
          <t>21206:4860147</t>
        </is>
      </c>
      <c r="J84" s="13" t="inlineStr">
        <is>
          <t>12878:456114; 13998:931177; 2752:1197497; 2690:1221981; 2690:1272145; 15192:1283234; 15192:3012967; 21896:4788154; 21717:5108443; 21896:5124500</t>
        </is>
      </c>
    </row>
    <row r="85">
      <c r="A85" s="13" t="inlineStr">
        <is>
          <t>Julia Brim-Edwards</t>
        </is>
      </c>
      <c r="B85" s="13" t="inlineStr">
        <is>
          <t>H010</t>
        </is>
      </c>
      <c r="C85" s="13" t="inlineStr">
        <is>
          <t>Confirmed</t>
        </is>
      </c>
      <c r="D85" s="13" t="inlineStr">
        <is>
          <t>Street address or PO box</t>
        </is>
      </c>
      <c r="E85" s="15" t="inlineStr">
        <is>
          <t>Dudley for Oregon; Friends of Chris Dudley</t>
        </is>
      </c>
      <c r="F85" s="13" t="n">
        <v>2026</v>
      </c>
      <c r="G85" s="13" t="n">
        <v>3000</v>
      </c>
      <c r="H85" s="15" t="inlineStr"/>
      <c r="I85" s="13" t="inlineStr">
        <is>
          <t>21206:5704151</t>
        </is>
      </c>
      <c r="J85" s="13" t="inlineStr">
        <is>
          <t>13998:645691; 24693:5639462</t>
        </is>
      </c>
    </row>
    <row r="86">
      <c r="A86" s="13" t="inlineStr">
        <is>
          <t>Julia Brim-Edwards</t>
        </is>
      </c>
      <c r="B86" s="13" t="inlineStr">
        <is>
          <t>H012</t>
        </is>
      </c>
      <c r="C86" s="13" t="inlineStr">
        <is>
          <t>Confirmed</t>
        </is>
      </c>
      <c r="D86" s="13" t="inlineStr">
        <is>
          <t>Street address or PO box, ZIP + employer</t>
        </is>
      </c>
      <c r="E86" s="15" t="inlineStr">
        <is>
          <t>Buehler For a United Oregon; Friends of Chris Dudley; Friends of Christine Drazan</t>
        </is>
      </c>
      <c r="F86" s="13" t="n">
        <v>2018</v>
      </c>
      <c r="G86" s="13" t="n">
        <v>1000</v>
      </c>
      <c r="H86" s="15" t="inlineStr"/>
      <c r="I86" s="13" t="inlineStr">
        <is>
          <t>21206:4536329</t>
        </is>
      </c>
      <c r="J86" s="13" t="inlineStr">
        <is>
          <t>13998:677176; 13998:761247; 13998:846517; 13998:911093; 15192:1615784; 15192:2145598; 19050:2761997</t>
        </is>
      </c>
    </row>
    <row r="87">
      <c r="A87" s="13" t="inlineStr">
        <is>
          <t>Julia Brim-Edwards</t>
        </is>
      </c>
      <c r="B87" s="13" t="inlineStr">
        <is>
          <t>H014</t>
        </is>
      </c>
      <c r="C87" s="13" t="inlineStr">
        <is>
          <t>Confirmed</t>
        </is>
      </c>
      <c r="D87" s="13" t="inlineStr">
        <is>
          <t>ZIP + employer</t>
        </is>
      </c>
      <c r="E87" s="15" t="inlineStr">
        <is>
          <t>The Leadership Fund</t>
        </is>
      </c>
      <c r="F87" s="13" t="n">
        <v>2010</v>
      </c>
      <c r="G87" s="13" t="n">
        <v>500</v>
      </c>
      <c r="H87" s="15" t="inlineStr"/>
      <c r="I87" s="13" t="inlineStr">
        <is>
          <t>21206:4921375</t>
        </is>
      </c>
      <c r="J87" s="13" t="inlineStr">
        <is>
          <t>2690:723588</t>
        </is>
      </c>
    </row>
    <row r="88">
      <c r="A88" s="13" t="inlineStr">
        <is>
          <t>Julia Brim-Edwards</t>
        </is>
      </c>
      <c r="B88" s="13" t="inlineStr">
        <is>
          <t>H015</t>
        </is>
      </c>
      <c r="C88" s="13" t="inlineStr">
        <is>
          <t>Confirmed</t>
        </is>
      </c>
      <c r="D88" s="13" t="inlineStr">
        <is>
          <t>Street address or PO box</t>
        </is>
      </c>
      <c r="E88" s="15" t="inlineStr">
        <is>
          <t>The Leadership Fund</t>
        </is>
      </c>
      <c r="F88" s="13" t="n">
        <v>2010</v>
      </c>
      <c r="G88" s="13" t="n">
        <v>250</v>
      </c>
      <c r="H88" s="15" t="inlineStr"/>
      <c r="I88" s="13" t="inlineStr">
        <is>
          <t>21206:5857115; 21206:4536341</t>
        </is>
      </c>
      <c r="J88" s="13" t="inlineStr">
        <is>
          <t>2690:726280</t>
        </is>
      </c>
    </row>
    <row r="89">
      <c r="A89" s="13" t="inlineStr">
        <is>
          <t>Julia Brim-Edwards</t>
        </is>
      </c>
      <c r="B89" s="13" t="inlineStr">
        <is>
          <t>H019</t>
        </is>
      </c>
      <c r="C89" s="13" t="inlineStr">
        <is>
          <t>Likely</t>
        </is>
      </c>
      <c r="D89" s="13" t="inlineStr">
        <is>
          <t>Hand review</t>
        </is>
      </c>
      <c r="E89" s="15" t="inlineStr">
        <is>
          <t>Friends of Chris Dudley</t>
        </is>
      </c>
      <c r="F89" s="13" t="n">
        <v>2010</v>
      </c>
      <c r="G89" s="13" t="n">
        <v>1000</v>
      </c>
      <c r="H89" s="15" t="inlineStr">
        <is>
          <t>Another filing ties the Republican-gift address to the employer on the candidate gifts. Weakest link in the set: several relatives share that office. Supporting filings (Tran Id): 3510647, 890502.</t>
        </is>
      </c>
      <c r="I89" s="13" t="inlineStr">
        <is>
          <t>21206:5555015; 21206:4913050; 21206:4530526</t>
        </is>
      </c>
      <c r="J89" s="13" t="inlineStr">
        <is>
          <t>13998:890502</t>
        </is>
      </c>
    </row>
    <row r="90">
      <c r="A90" s="13" t="inlineStr">
        <is>
          <t>Julia Brim-Edwards</t>
        </is>
      </c>
      <c r="B90" s="13" t="inlineStr">
        <is>
          <t>H020</t>
        </is>
      </c>
      <c r="C90" s="13" t="inlineStr">
        <is>
          <t>Likely</t>
        </is>
      </c>
      <c r="D90" s="13" t="inlineStr">
        <is>
          <t>ZIP + employer</t>
        </is>
      </c>
      <c r="E90" s="15" t="inlineStr">
        <is>
          <t>Starr, Bruce, for State Senate Committee</t>
        </is>
      </c>
      <c r="F90" s="13" t="n">
        <v>2010</v>
      </c>
      <c r="G90" s="13" t="n">
        <v>250</v>
      </c>
      <c r="H90" s="15" t="inlineStr">
        <is>
          <t>Same street and ZIP with house numbers one digit apart, and the same distinctive employer under two names. Supporting filings (Tran Id): 3991406, 944216.</t>
        </is>
      </c>
      <c r="I90" s="13" t="inlineStr">
        <is>
          <t>21206:4551189</t>
        </is>
      </c>
      <c r="J90" s="13" t="inlineStr">
        <is>
          <t>2752:944216</t>
        </is>
      </c>
    </row>
    <row r="91">
      <c r="A91" s="13" t="inlineStr">
        <is>
          <t>Julia Brim-Edwards</t>
        </is>
      </c>
      <c r="B91" s="13" t="inlineStr">
        <is>
          <t>H021</t>
        </is>
      </c>
      <c r="C91" s="13" t="inlineStr">
        <is>
          <t>Confirmed</t>
        </is>
      </c>
      <c r="D91" s="13" t="inlineStr">
        <is>
          <t>Street address or PO box</t>
        </is>
      </c>
      <c r="E91" s="15" t="inlineStr">
        <is>
          <t>Bud Pierce for a Better Oregon; Citizens to Elect Dennis Richardson; Friends of Christine Drazan; Friends of Kim Thatcher; Knute Buehler for Secretary of State; Knute for Governor; The Leadership Fund</t>
        </is>
      </c>
      <c r="F91" s="13" t="n">
        <v>2026</v>
      </c>
      <c r="G91" s="13" t="n">
        <v>5000</v>
      </c>
      <c r="H91" s="15" t="inlineStr"/>
      <c r="I91" s="13" t="inlineStr">
        <is>
          <t>21206:4921372; 21206:4568202</t>
        </is>
      </c>
      <c r="J91" s="13" t="inlineStr">
        <is>
          <t>15192:1125657; 4155:1832575; 17397:2294547; 15192:2887948; 2690:3164998; 4871:3474655; 19050:5804309</t>
        </is>
      </c>
    </row>
    <row r="92">
      <c r="A92" s="13" t="inlineStr">
        <is>
          <t>Julia Brim-Edwards</t>
        </is>
      </c>
      <c r="B92" s="13" t="inlineStr">
        <is>
          <t>H022</t>
        </is>
      </c>
      <c r="C92" s="13" t="inlineStr">
        <is>
          <t>Confirmed</t>
        </is>
      </c>
      <c r="D92" s="13" t="inlineStr">
        <is>
          <t>Street address or PO box</t>
        </is>
      </c>
      <c r="E92" s="15" t="inlineStr">
        <is>
          <t>Friends of Will Lathrop</t>
        </is>
      </c>
      <c r="F92" s="13" t="n">
        <v>2024</v>
      </c>
      <c r="G92" s="13" t="n">
        <v>500</v>
      </c>
      <c r="H92" s="15" t="inlineStr"/>
      <c r="I92" s="13" t="inlineStr">
        <is>
          <t>21206:5578333; 21206:4568186</t>
        </is>
      </c>
      <c r="J92" s="13" t="inlineStr">
        <is>
          <t>21896:4770292</t>
        </is>
      </c>
    </row>
    <row r="93">
      <c r="A93" s="13" t="inlineStr">
        <is>
          <t>Julia Brim-Edwards</t>
        </is>
      </c>
      <c r="B93" s="13" t="inlineStr">
        <is>
          <t>H023</t>
        </is>
      </c>
      <c r="C93" s="13" t="inlineStr">
        <is>
          <t>Confirmed</t>
        </is>
      </c>
      <c r="D93" s="13" t="inlineStr">
        <is>
          <t>Street address or PO box</t>
        </is>
      </c>
      <c r="E93" s="15" t="inlineStr">
        <is>
          <t>Friends of Will Lathrop</t>
        </is>
      </c>
      <c r="F93" s="13" t="n">
        <v>2024</v>
      </c>
      <c r="G93" s="13" t="n">
        <v>500</v>
      </c>
      <c r="H93" s="15" t="inlineStr"/>
      <c r="I93" s="13" t="inlineStr">
        <is>
          <t>21206:5578345</t>
        </is>
      </c>
      <c r="J93" s="13" t="inlineStr">
        <is>
          <t>21896:4775465; 21896:5086955</t>
        </is>
      </c>
    </row>
    <row r="94">
      <c r="A94" s="13" t="inlineStr">
        <is>
          <t>Julia Brim-Edwards</t>
        </is>
      </c>
      <c r="B94" s="13" t="inlineStr">
        <is>
          <t>H023</t>
        </is>
      </c>
      <c r="C94" s="13" t="inlineStr">
        <is>
          <t>Confirmed</t>
        </is>
      </c>
      <c r="D94" s="13" t="inlineStr">
        <is>
          <t>Street address or PO box</t>
        </is>
      </c>
      <c r="E94" s="15" t="inlineStr">
        <is>
          <t>Bud Pierce for a Better Oregon; Knute Buehler for Secretary of State; Knute for Governor</t>
        </is>
      </c>
      <c r="F94" s="13" t="n">
        <v>2018</v>
      </c>
      <c r="G94" s="13" t="n">
        <v>3000</v>
      </c>
      <c r="H94" s="15" t="inlineStr"/>
      <c r="I94" s="13" t="inlineStr">
        <is>
          <t>21206:4536304</t>
        </is>
      </c>
      <c r="J94" s="13" t="inlineStr">
        <is>
          <t>15192:1176724; 15192:1413842; 17397:2293621; 15192:2733414; 15192:2790090</t>
        </is>
      </c>
    </row>
    <row r="95">
      <c r="A95" s="13" t="inlineStr">
        <is>
          <t>Julia Brim-Edwards</t>
        </is>
      </c>
      <c r="B95" s="13" t="inlineStr">
        <is>
          <t>H024</t>
        </is>
      </c>
      <c r="C95" s="13" t="inlineStr">
        <is>
          <t>Confirmed</t>
        </is>
      </c>
      <c r="D95" s="13" t="inlineStr">
        <is>
          <t>Street address or PO box</t>
        </is>
      </c>
      <c r="E95" s="15" t="inlineStr">
        <is>
          <t>Buehler For a United Oregon; Knute Buehler for Secretary of State; Knute for Governor</t>
        </is>
      </c>
      <c r="F95" s="13" t="n">
        <v>2018</v>
      </c>
      <c r="G95" s="13" t="n">
        <v>7000</v>
      </c>
      <c r="H95" s="15" t="inlineStr"/>
      <c r="I95" s="13" t="inlineStr">
        <is>
          <t>21206:5555061; 21206:4853135; 21206:4563014</t>
        </is>
      </c>
      <c r="J95" s="13" t="inlineStr">
        <is>
          <t>15192:1223332; 15192:1639297; 15192:1845152; 15192:2599519; 15192:2814827; 15192:3043271</t>
        </is>
      </c>
    </row>
    <row r="96">
      <c r="A96" s="13" t="inlineStr">
        <is>
          <t>Julia Brim-Edwards</t>
        </is>
      </c>
      <c r="B96" s="13" t="inlineStr">
        <is>
          <t>H025</t>
        </is>
      </c>
      <c r="C96" s="13" t="inlineStr">
        <is>
          <t>Confirmed</t>
        </is>
      </c>
      <c r="D96" s="13" t="inlineStr">
        <is>
          <t>Street address or PO box</t>
        </is>
      </c>
      <c r="E96" s="15" t="inlineStr">
        <is>
          <t>Friends of Christine Drazan; Friends of Will Lathrop; Working Families for Bruce Starr</t>
        </is>
      </c>
      <c r="F96" s="13" t="n">
        <v>2024</v>
      </c>
      <c r="G96" s="13" t="n">
        <v>23000</v>
      </c>
      <c r="H96" s="15" t="inlineStr"/>
      <c r="I96" s="13" t="inlineStr">
        <is>
          <t>21206:5647917; 21206:5578344; 21206:4572241</t>
        </is>
      </c>
      <c r="J96" s="13" t="inlineStr">
        <is>
          <t>2752:1254706; 2752:1277399; 2752:1404944; 19050:4145981; 19050:4350989; 19050:4399899; 19050:4399900; 19050:4399901; 19050:4402475; 21896:4861611; 21896:5123890</t>
        </is>
      </c>
    </row>
    <row r="97">
      <c r="A97" s="13" t="inlineStr">
        <is>
          <t>Julia Brim-Edwards</t>
        </is>
      </c>
      <c r="B97" s="13" t="inlineStr">
        <is>
          <t>H026</t>
        </is>
      </c>
      <c r="C97" s="13" t="inlineStr">
        <is>
          <t>Confirmed</t>
        </is>
      </c>
      <c r="D97" s="13" t="inlineStr">
        <is>
          <t>Street address or PO box</t>
        </is>
      </c>
      <c r="E97" s="15" t="inlineStr">
        <is>
          <t>Knute Buehler for Secretary of State</t>
        </is>
      </c>
      <c r="F97" s="13" t="n">
        <v>2012</v>
      </c>
      <c r="G97" s="13" t="n">
        <v>1000</v>
      </c>
      <c r="H97" s="15" t="inlineStr"/>
      <c r="I97" s="13" t="inlineStr">
        <is>
          <t>21206:5704160</t>
        </is>
      </c>
      <c r="J97" s="13" t="inlineStr">
        <is>
          <t>15192:1412312</t>
        </is>
      </c>
    </row>
    <row r="98">
      <c r="A98" s="13" t="inlineStr">
        <is>
          <t>Julia Brim-Edwards</t>
        </is>
      </c>
      <c r="B98" s="13" t="inlineStr">
        <is>
          <t>H026</t>
        </is>
      </c>
      <c r="C98" s="13" t="inlineStr">
        <is>
          <t>Confirmed</t>
        </is>
      </c>
      <c r="D98" s="13" t="inlineStr">
        <is>
          <t>Street address or PO box</t>
        </is>
      </c>
      <c r="E98" s="15" t="inlineStr">
        <is>
          <t>Citizens to Elect Dennis Richardson; Friends of Christine Drazan; Hicks for Senate; Knute for Governor</t>
        </is>
      </c>
      <c r="F98" s="13" t="n">
        <v>2025</v>
      </c>
      <c r="G98" s="13" t="n">
        <v>2000</v>
      </c>
      <c r="H98" s="15" t="inlineStr"/>
      <c r="I98" s="13" t="inlineStr">
        <is>
          <t>21206:5647915</t>
        </is>
      </c>
      <c r="J98" s="13" t="inlineStr">
        <is>
          <t>4155:2350441; 4155:2428898; 15192:2591021; 19050:3033736; 24485:5485678</t>
        </is>
      </c>
    </row>
    <row r="99">
      <c r="A99" s="13" t="inlineStr">
        <is>
          <t>Julia Brim-Edwards</t>
        </is>
      </c>
      <c r="B99" s="13" t="inlineStr">
        <is>
          <t>H026</t>
        </is>
      </c>
      <c r="C99" s="13" t="inlineStr">
        <is>
          <t>Confirmed</t>
        </is>
      </c>
      <c r="D99" s="13" t="inlineStr">
        <is>
          <t>Street address or PO box</t>
        </is>
      </c>
      <c r="E99" s="15" t="inlineStr">
        <is>
          <t>Tim Knopp for State Senate</t>
        </is>
      </c>
      <c r="F99" s="13" t="n">
        <v>2022</v>
      </c>
      <c r="G99" s="13" t="n">
        <v>2000</v>
      </c>
      <c r="H99" s="15" t="inlineStr"/>
      <c r="I99" s="13" t="inlineStr">
        <is>
          <t>21206:4853174; 21206:4530578</t>
        </is>
      </c>
      <c r="J99" s="13" t="inlineStr">
        <is>
          <t>15627:1267733; 15627:1840306; 15627:2346191; 15627:4368289</t>
        </is>
      </c>
    </row>
    <row r="100">
      <c r="A100" s="13" t="inlineStr">
        <is>
          <t>Julia Brim-Edwards</t>
        </is>
      </c>
      <c r="B100" s="13" t="inlineStr">
        <is>
          <t>H028</t>
        </is>
      </c>
      <c r="C100" s="13" t="inlineStr">
        <is>
          <t>Confirmed</t>
        </is>
      </c>
      <c r="D100" s="13" t="inlineStr">
        <is>
          <t>Street address or PO box</t>
        </is>
      </c>
      <c r="E100" s="15" t="inlineStr">
        <is>
          <t>Citizens to Elect Dennis Richardson; Knute Buehler for Secretary of State; Knute for Governor</t>
        </is>
      </c>
      <c r="F100" s="13" t="n">
        <v>2018</v>
      </c>
      <c r="G100" s="13" t="n">
        <v>6000</v>
      </c>
      <c r="H100" s="15" t="inlineStr"/>
      <c r="I100" s="13" t="inlineStr">
        <is>
          <t>21206:5555087</t>
        </is>
      </c>
      <c r="J100" s="13" t="inlineStr">
        <is>
          <t>15192:1334390; 4155:2321617; 15192:2621761; 15192:2651802; 15192:2652083; 15192:2672555; 15192:2701925; 15192:2743422; 15192:2784660; 15192:2910692</t>
        </is>
      </c>
    </row>
    <row r="101">
      <c r="A101" s="13" t="inlineStr">
        <is>
          <t>Julia Brim-Edwards</t>
        </is>
      </c>
      <c r="B101" s="13" t="inlineStr">
        <is>
          <t>H031</t>
        </is>
      </c>
      <c r="C101" s="13" t="inlineStr">
        <is>
          <t>Confirmed</t>
        </is>
      </c>
      <c r="D101" s="13" t="inlineStr">
        <is>
          <t>Street address or PO box</t>
        </is>
      </c>
      <c r="E101" s="15" t="inlineStr">
        <is>
          <t>Friends of Jeff Helfrich</t>
        </is>
      </c>
      <c r="F101" s="13" t="n">
        <v>2026</v>
      </c>
      <c r="G101" s="13" t="n">
        <v>250</v>
      </c>
      <c r="H101" s="15" t="inlineStr"/>
      <c r="I101" s="13" t="inlineStr">
        <is>
          <t>21206:5555028; 21206:4853139; 21206:4530557</t>
        </is>
      </c>
      <c r="J101" s="13" t="inlineStr">
        <is>
          <t>15984:1379009; 15984:5516614</t>
        </is>
      </c>
    </row>
    <row r="102">
      <c r="A102" s="13" t="inlineStr">
        <is>
          <t>Julia Brim-Edwards</t>
        </is>
      </c>
      <c r="B102" s="13" t="inlineStr">
        <is>
          <t>H032</t>
        </is>
      </c>
      <c r="C102" s="13" t="inlineStr">
        <is>
          <t>Confirmed</t>
        </is>
      </c>
      <c r="D102" s="13" t="inlineStr">
        <is>
          <t>ZIP + employer</t>
        </is>
      </c>
      <c r="E102" s="15" t="inlineStr">
        <is>
          <t>Knute Buehler for Secretary of State</t>
        </is>
      </c>
      <c r="F102" s="13" t="n">
        <v>2012</v>
      </c>
      <c r="G102" s="13" t="n">
        <v>500</v>
      </c>
      <c r="H102" s="15" t="inlineStr"/>
      <c r="I102" s="13" t="inlineStr">
        <is>
          <t>21206:5627280</t>
        </is>
      </c>
      <c r="J102" s="13" t="inlineStr">
        <is>
          <t>15192:1414427</t>
        </is>
      </c>
    </row>
    <row r="103">
      <c r="A103" s="13" t="inlineStr">
        <is>
          <t>Julia Brim-Edwards</t>
        </is>
      </c>
      <c r="B103" s="13" t="inlineStr">
        <is>
          <t>H033</t>
        </is>
      </c>
      <c r="C103" s="13" t="inlineStr">
        <is>
          <t>Likely</t>
        </is>
      </c>
      <c r="D103" s="13" t="inlineStr">
        <is>
          <t>Hand review</t>
        </is>
      </c>
      <c r="E103" s="15" t="inlineStr">
        <is>
          <t>Bruce Starr for State Senate Committee</t>
        </is>
      </c>
      <c r="F103" s="13" t="n">
        <v>2014</v>
      </c>
      <c r="G103" s="13" t="n">
        <v>250</v>
      </c>
      <c r="H103" s="15" t="inlineStr">
        <is>
          <t>A chain of other filings ties the candidate-gift address to the employer on the Republican gift. One gift, in 2014. Supporting filings (Tran Id): 1797354, 2140128, 4076909, 4323067.</t>
        </is>
      </c>
      <c r="I103" s="13" t="inlineStr">
        <is>
          <t>21206:5497844; 21206:4530484</t>
        </is>
      </c>
      <c r="J103" s="13" t="inlineStr">
        <is>
          <t>2752:1797354</t>
        </is>
      </c>
    </row>
    <row r="104">
      <c r="A104" s="13" t="inlineStr">
        <is>
          <t>Julia Brim-Edwards</t>
        </is>
      </c>
      <c r="B104" s="13" t="inlineStr">
        <is>
          <t>H034</t>
        </is>
      </c>
      <c r="C104" s="13" t="inlineStr">
        <is>
          <t>Confirmed</t>
        </is>
      </c>
      <c r="D104" s="13" t="inlineStr">
        <is>
          <t>Street address or PO box</t>
        </is>
      </c>
      <c r="E104" s="15" t="inlineStr">
        <is>
          <t>Bruce Starr for State Senate Committee</t>
        </is>
      </c>
      <c r="F104" s="13" t="n">
        <v>2014</v>
      </c>
      <c r="G104" s="13" t="n">
        <v>1000</v>
      </c>
      <c r="H104" s="15" t="inlineStr"/>
      <c r="I104" s="13" t="inlineStr">
        <is>
          <t>21206:4574705</t>
        </is>
      </c>
      <c r="J104" s="13" t="inlineStr">
        <is>
          <t>2752:1856576</t>
        </is>
      </c>
    </row>
    <row r="105">
      <c r="A105" s="13" t="inlineStr">
        <is>
          <t>Julia Brim-Edwards</t>
        </is>
      </c>
      <c r="B105" s="13" t="inlineStr">
        <is>
          <t>H035</t>
        </is>
      </c>
      <c r="C105" s="13" t="inlineStr">
        <is>
          <t>Confirmed</t>
        </is>
      </c>
      <c r="D105" s="13" t="inlineStr">
        <is>
          <t>Street address or PO box</t>
        </is>
      </c>
      <c r="E105" s="15" t="inlineStr">
        <is>
          <t>Bruce Starr for State Senate Committee</t>
        </is>
      </c>
      <c r="F105" s="13" t="n">
        <v>2014</v>
      </c>
      <c r="G105" s="13" t="n">
        <v>250</v>
      </c>
      <c r="H105" s="15" t="inlineStr"/>
      <c r="I105" s="13" t="inlineStr">
        <is>
          <t>21206:5555055; 21206:4551187</t>
        </is>
      </c>
      <c r="J105" s="13" t="inlineStr">
        <is>
          <t>2752:1873970</t>
        </is>
      </c>
    </row>
    <row r="106">
      <c r="A106" s="13" t="inlineStr">
        <is>
          <t>Julia Brim-Edwards</t>
        </is>
      </c>
      <c r="B106" s="13" t="inlineStr">
        <is>
          <t>H037</t>
        </is>
      </c>
      <c r="C106" s="13" t="inlineStr">
        <is>
          <t>Confirmed</t>
        </is>
      </c>
      <c r="D106" s="13" t="inlineStr">
        <is>
          <t>Street address or PO box</t>
        </is>
      </c>
      <c r="E106" s="15" t="inlineStr">
        <is>
          <t>Bruce Starr for State Senate Committee; Knute for Governor</t>
        </is>
      </c>
      <c r="F106" s="13" t="n">
        <v>2018</v>
      </c>
      <c r="G106" s="13" t="n">
        <v>8000</v>
      </c>
      <c r="H106" s="15" t="inlineStr"/>
      <c r="I106" s="13" t="inlineStr">
        <is>
          <t>21206:5554984; 21206:4853068; 21206:4530522</t>
        </is>
      </c>
      <c r="J106" s="13" t="inlineStr">
        <is>
          <t>2752:1896834; 15192:2652081; 15192:2784661; 15192:2853284; 15192:3021279</t>
        </is>
      </c>
    </row>
    <row r="107">
      <c r="A107" s="13" t="inlineStr">
        <is>
          <t>Julia Brim-Edwards</t>
        </is>
      </c>
      <c r="B107" s="13" t="inlineStr">
        <is>
          <t>H041</t>
        </is>
      </c>
      <c r="C107" s="13" t="inlineStr">
        <is>
          <t>Confirmed</t>
        </is>
      </c>
      <c r="D107" s="13" t="inlineStr">
        <is>
          <t>Street address or PO box</t>
        </is>
      </c>
      <c r="E107" s="15" t="inlineStr">
        <is>
          <t>Friends of Allen Alley</t>
        </is>
      </c>
      <c r="F107" s="13" t="n">
        <v>2016</v>
      </c>
      <c r="G107" s="13" t="n">
        <v>250</v>
      </c>
      <c r="H107" s="15" t="inlineStr"/>
      <c r="I107" s="13" t="inlineStr">
        <is>
          <t>21206:4909928; 21206:4853149; 21206:4551199</t>
        </is>
      </c>
      <c r="J107" s="13" t="inlineStr">
        <is>
          <t>12878:2228615</t>
        </is>
      </c>
    </row>
    <row r="108">
      <c r="A108" s="13" t="inlineStr">
        <is>
          <t>Julia Brim-Edwards</t>
        </is>
      </c>
      <c r="B108" s="13" t="inlineStr">
        <is>
          <t>H042</t>
        </is>
      </c>
      <c r="C108" s="13" t="inlineStr">
        <is>
          <t>Confirmed</t>
        </is>
      </c>
      <c r="D108" s="13" t="inlineStr">
        <is>
          <t>Street address or PO box</t>
        </is>
      </c>
      <c r="E108" s="15" t="inlineStr">
        <is>
          <t>Citizens to Elect Dennis Richardson; Friends of Allen Alley; Knute for Governor</t>
        </is>
      </c>
      <c r="F108" s="13" t="n">
        <v>2018</v>
      </c>
      <c r="G108" s="13" t="n">
        <v>5000</v>
      </c>
      <c r="H108" s="15" t="inlineStr"/>
      <c r="I108" s="13" t="inlineStr">
        <is>
          <t>21206:5678169</t>
        </is>
      </c>
      <c r="J108" s="13" t="inlineStr">
        <is>
          <t>12878:2235689; 4155:2400857; 15192:2636276; 15192:2712241; 15192:3004434</t>
        </is>
      </c>
    </row>
    <row r="109">
      <c r="A109" s="13" t="inlineStr">
        <is>
          <t>Julia Brim-Edwards</t>
        </is>
      </c>
      <c r="B109" s="13" t="inlineStr">
        <is>
          <t>H043</t>
        </is>
      </c>
      <c r="C109" s="13" t="inlineStr">
        <is>
          <t>Confirmed</t>
        </is>
      </c>
      <c r="D109" s="13" t="inlineStr">
        <is>
          <t>Street address or PO box</t>
        </is>
      </c>
      <c r="E109" s="15" t="inlineStr">
        <is>
          <t>Friends of Will Lathrop</t>
        </is>
      </c>
      <c r="F109" s="13" t="n">
        <v>2024</v>
      </c>
      <c r="G109" s="13" t="n">
        <v>500</v>
      </c>
      <c r="H109" s="15" t="inlineStr"/>
      <c r="I109" s="13" t="inlineStr">
        <is>
          <t>21206:5555057; 21206:4572194</t>
        </is>
      </c>
      <c r="J109" s="13" t="inlineStr">
        <is>
          <t>21896:5123848</t>
        </is>
      </c>
    </row>
    <row r="110">
      <c r="A110" s="13" t="inlineStr">
        <is>
          <t>Julia Brim-Edwards</t>
        </is>
      </c>
      <c r="B110" s="13" t="inlineStr">
        <is>
          <t>H047</t>
        </is>
      </c>
      <c r="C110" s="13" t="inlineStr">
        <is>
          <t>Confirmed</t>
        </is>
      </c>
      <c r="D110" s="13" t="inlineStr">
        <is>
          <t>Street address or PO box</t>
        </is>
      </c>
      <c r="E110" s="15" t="inlineStr">
        <is>
          <t>Buehler For a United Oregon; Knute for Governor</t>
        </is>
      </c>
      <c r="F110" s="13" t="n">
        <v>2018</v>
      </c>
      <c r="G110" s="13" t="n">
        <v>12000</v>
      </c>
      <c r="H110" s="15" t="inlineStr"/>
      <c r="I110" s="13" t="inlineStr">
        <is>
          <t>21206:5567236; 21206:4909921; 21206:4591203; 21206:4536311</t>
        </is>
      </c>
      <c r="J110" s="13" t="inlineStr">
        <is>
          <t>15192:2377910; 15192:2888479; 15192:3043318; 15192:3065142</t>
        </is>
      </c>
    </row>
    <row r="111">
      <c r="A111" s="13" t="inlineStr">
        <is>
          <t>Julia Brim-Edwards</t>
        </is>
      </c>
      <c r="B111" s="13" t="inlineStr">
        <is>
          <t>H050</t>
        </is>
      </c>
      <c r="C111" s="13" t="inlineStr">
        <is>
          <t>Confirmed</t>
        </is>
      </c>
      <c r="D111" s="13" t="inlineStr">
        <is>
          <t>Street address or PO box</t>
        </is>
      </c>
      <c r="E111" s="15" t="inlineStr">
        <is>
          <t>Buehler For a United Oregon; The Leadership Fund</t>
        </is>
      </c>
      <c r="F111" s="13" t="n">
        <v>2016</v>
      </c>
      <c r="G111" s="13" t="n">
        <v>1000</v>
      </c>
      <c r="H111" s="15" t="inlineStr"/>
      <c r="I111" s="13" t="inlineStr">
        <is>
          <t>21206:4921371</t>
        </is>
      </c>
      <c r="J111" s="13" t="inlineStr">
        <is>
          <t>15192:2446180; 2690:2441264</t>
        </is>
      </c>
    </row>
    <row r="112">
      <c r="A112" s="13" t="inlineStr">
        <is>
          <t>Julia Brim-Edwards</t>
        </is>
      </c>
      <c r="B112" s="13" t="inlineStr">
        <is>
          <t>H051</t>
        </is>
      </c>
      <c r="C112" s="13" t="inlineStr">
        <is>
          <t>Confirmed</t>
        </is>
      </c>
      <c r="D112" s="13" t="inlineStr">
        <is>
          <t>Street address or PO box</t>
        </is>
      </c>
      <c r="E112" s="15" t="inlineStr">
        <is>
          <t>Knute for Governor</t>
        </is>
      </c>
      <c r="F112" s="13" t="n">
        <v>2018</v>
      </c>
      <c r="G112" s="13" t="n">
        <v>1000</v>
      </c>
      <c r="H112" s="15" t="inlineStr"/>
      <c r="I112" s="13" t="inlineStr">
        <is>
          <t>21206:5567230</t>
        </is>
      </c>
      <c r="J112" s="13" t="inlineStr">
        <is>
          <t>15192:2598126; 15192:2631877; 15192:2732002; 15192:2965588</t>
        </is>
      </c>
    </row>
    <row r="113">
      <c r="A113" s="13" t="inlineStr">
        <is>
          <t>Julia Brim-Edwards</t>
        </is>
      </c>
      <c r="B113" s="13" t="inlineStr">
        <is>
          <t>H055</t>
        </is>
      </c>
      <c r="C113" s="13" t="inlineStr">
        <is>
          <t>Confirmed</t>
        </is>
      </c>
      <c r="D113" s="13" t="inlineStr">
        <is>
          <t>Street address or PO box</t>
        </is>
      </c>
      <c r="E113" s="15" t="inlineStr">
        <is>
          <t>Knute for Governor</t>
        </is>
      </c>
      <c r="F113" s="13" t="n">
        <v>2018</v>
      </c>
      <c r="G113" s="13" t="n">
        <v>12000</v>
      </c>
      <c r="H113" s="15" t="inlineStr"/>
      <c r="I113" s="13" t="inlineStr">
        <is>
          <t>21206:5555005; 21206:4853064; 21206:4530510</t>
        </is>
      </c>
      <c r="J113" s="13" t="inlineStr">
        <is>
          <t>15192:2670230; 15192:2804186; 15192:2880177</t>
        </is>
      </c>
    </row>
    <row r="114">
      <c r="A114" s="13" t="inlineStr">
        <is>
          <t>Julia Brim-Edwards</t>
        </is>
      </c>
      <c r="B114" s="13" t="inlineStr">
        <is>
          <t>H056</t>
        </is>
      </c>
      <c r="C114" s="13" t="inlineStr">
        <is>
          <t>Confirmed</t>
        </is>
      </c>
      <c r="D114" s="13" t="inlineStr">
        <is>
          <t>Street address or PO box</t>
        </is>
      </c>
      <c r="E114" s="15" t="inlineStr">
        <is>
          <t>Knute for Governor</t>
        </is>
      </c>
      <c r="F114" s="13" t="n">
        <v>2018</v>
      </c>
      <c r="G114" s="13" t="n">
        <v>13000</v>
      </c>
      <c r="H114" s="15" t="inlineStr"/>
      <c r="I114" s="13" t="inlineStr">
        <is>
          <t>21206:4572213</t>
        </is>
      </c>
      <c r="J114" s="13" t="inlineStr">
        <is>
          <t>15192:2652082; 15192:3043256</t>
        </is>
      </c>
    </row>
    <row r="115">
      <c r="A115" s="13" t="inlineStr">
        <is>
          <t>Julia Brim-Edwards</t>
        </is>
      </c>
      <c r="B115" s="13" t="inlineStr">
        <is>
          <t>H058</t>
        </is>
      </c>
      <c r="C115" s="13" t="inlineStr">
        <is>
          <t>Confirmed</t>
        </is>
      </c>
      <c r="D115" s="13" t="inlineStr">
        <is>
          <t>Street address or PO box</t>
        </is>
      </c>
      <c r="E115" s="15" t="inlineStr">
        <is>
          <t>Friends of Christine Drazan; Knute for Governor</t>
        </is>
      </c>
      <c r="F115" s="13" t="n">
        <v>2020</v>
      </c>
      <c r="G115" s="13" t="n">
        <v>35000</v>
      </c>
      <c r="H115" s="15" t="inlineStr"/>
      <c r="I115" s="13" t="inlineStr">
        <is>
          <t>21206:4572224</t>
        </is>
      </c>
      <c r="J115" s="13" t="inlineStr">
        <is>
          <t>15192:2715613; 15192:3040502; 19050:3637386</t>
        </is>
      </c>
    </row>
    <row r="116">
      <c r="A116" s="13" t="inlineStr">
        <is>
          <t>Julia Brim-Edwards</t>
        </is>
      </c>
      <c r="B116" s="13" t="inlineStr">
        <is>
          <t>H059</t>
        </is>
      </c>
      <c r="C116" s="13" t="inlineStr">
        <is>
          <t>Confirmed</t>
        </is>
      </c>
      <c r="D116" s="13" t="inlineStr">
        <is>
          <t>Street address or PO box</t>
        </is>
      </c>
      <c r="E116" s="15" t="inlineStr">
        <is>
          <t>Knute for Governor</t>
        </is>
      </c>
      <c r="F116" s="13" t="n">
        <v>2018</v>
      </c>
      <c r="G116" s="13" t="n">
        <v>500</v>
      </c>
      <c r="H116" s="15" t="inlineStr"/>
      <c r="I116" s="13" t="inlineStr">
        <is>
          <t>21206:4530521</t>
        </is>
      </c>
      <c r="J116" s="13" t="inlineStr">
        <is>
          <t>15192:2777491</t>
        </is>
      </c>
    </row>
    <row r="117">
      <c r="A117" s="13" t="inlineStr">
        <is>
          <t>Julia Brim-Edwards</t>
        </is>
      </c>
      <c r="B117" s="13" t="inlineStr">
        <is>
          <t>H060</t>
        </is>
      </c>
      <c r="C117" s="13" t="inlineStr">
        <is>
          <t>Confirmed</t>
        </is>
      </c>
      <c r="D117" s="13" t="inlineStr">
        <is>
          <t>Street address or PO box</t>
        </is>
      </c>
      <c r="E117" s="15" t="inlineStr">
        <is>
          <t>Knute for Governor</t>
        </is>
      </c>
      <c r="F117" s="13" t="n">
        <v>2018</v>
      </c>
      <c r="G117" s="13" t="n">
        <v>3000</v>
      </c>
      <c r="H117" s="15" t="inlineStr"/>
      <c r="I117" s="13" t="inlineStr">
        <is>
          <t>21206:5704169</t>
        </is>
      </c>
      <c r="J117" s="13" t="inlineStr">
        <is>
          <t>15192:2787825; 15192:2825696; 15192:2832027; 15192:2836617; 15192:2843858; 15192:2888765; 15192:2888766; 15192:2897524; 15192:2904500; 15192:2997866</t>
        </is>
      </c>
    </row>
    <row r="118">
      <c r="A118" s="13" t="inlineStr">
        <is>
          <t>Julia Brim-Edwards</t>
        </is>
      </c>
      <c r="B118" s="13" t="inlineStr">
        <is>
          <t>H062</t>
        </is>
      </c>
      <c r="C118" s="13" t="inlineStr">
        <is>
          <t>Confirmed</t>
        </is>
      </c>
      <c r="D118" s="13" t="inlineStr">
        <is>
          <t>Street address or PO box</t>
        </is>
      </c>
      <c r="E118" s="15" t="inlineStr">
        <is>
          <t>Bring Balance to Salem PAC; Knute for Governor</t>
        </is>
      </c>
      <c r="F118" s="13" t="n">
        <v>2026</v>
      </c>
      <c r="G118" s="13" t="n">
        <v>3000</v>
      </c>
      <c r="H118" s="15" t="inlineStr"/>
      <c r="I118" s="13" t="inlineStr">
        <is>
          <t>21206:5555100; 21206:4530518</t>
        </is>
      </c>
      <c r="J118" s="13" t="inlineStr">
        <is>
          <t>15192:2804189; 21717:5666459</t>
        </is>
      </c>
    </row>
    <row r="119">
      <c r="A119" s="13" t="inlineStr">
        <is>
          <t>Julia Brim-Edwards</t>
        </is>
      </c>
      <c r="B119" s="13" t="inlineStr">
        <is>
          <t>H065</t>
        </is>
      </c>
      <c r="C119" s="13" t="inlineStr">
        <is>
          <t>Confirmed</t>
        </is>
      </c>
      <c r="D119" s="13" t="inlineStr">
        <is>
          <t>Street address or PO box</t>
        </is>
      </c>
      <c r="E119" s="15" t="inlineStr">
        <is>
          <t>Knute for Governor</t>
        </is>
      </c>
      <c r="F119" s="13" t="n">
        <v>2018</v>
      </c>
      <c r="G119" s="13" t="n">
        <v>3000</v>
      </c>
      <c r="H119" s="15" t="inlineStr"/>
      <c r="I119" s="13" t="inlineStr">
        <is>
          <t>21206:4867891; 21206:4551192</t>
        </is>
      </c>
      <c r="J119" s="13" t="inlineStr">
        <is>
          <t>15192:2904945</t>
        </is>
      </c>
    </row>
    <row r="120">
      <c r="A120" s="13" t="inlineStr">
        <is>
          <t>Julia Brim-Edwards</t>
        </is>
      </c>
      <c r="B120" s="13" t="inlineStr">
        <is>
          <t>H068</t>
        </is>
      </c>
      <c r="C120" s="13" t="inlineStr">
        <is>
          <t>Confirmed</t>
        </is>
      </c>
      <c r="D120" s="13" t="inlineStr">
        <is>
          <t>Street address or PO box</t>
        </is>
      </c>
      <c r="E120" s="15" t="inlineStr">
        <is>
          <t>Knute for Governor</t>
        </is>
      </c>
      <c r="F120" s="13" t="n">
        <v>2018</v>
      </c>
      <c r="G120" s="13" t="n">
        <v>250</v>
      </c>
      <c r="H120" s="15" t="inlineStr"/>
      <c r="I120" s="13" t="inlineStr">
        <is>
          <t>21206:5704183; 21206:5578348; 21206:4557176</t>
        </is>
      </c>
      <c r="J120" s="13" t="inlineStr">
        <is>
          <t>15192:2930610</t>
        </is>
      </c>
    </row>
    <row r="121">
      <c r="A121" s="13" t="inlineStr">
        <is>
          <t>Julia Brim-Edwards</t>
        </is>
      </c>
      <c r="B121" s="13" t="inlineStr">
        <is>
          <t>H070</t>
        </is>
      </c>
      <c r="C121" s="13" t="inlineStr">
        <is>
          <t>Confirmed</t>
        </is>
      </c>
      <c r="D121" s="13" t="inlineStr">
        <is>
          <t>Street address or PO box</t>
        </is>
      </c>
      <c r="E121" s="15" t="inlineStr">
        <is>
          <t>Friends of Christine Drazan; Knute for Governor</t>
        </is>
      </c>
      <c r="F121" s="13" t="n">
        <v>2024</v>
      </c>
      <c r="G121" s="13" t="n">
        <v>4000</v>
      </c>
      <c r="H121" s="15" t="inlineStr"/>
      <c r="I121" s="13" t="inlineStr">
        <is>
          <t>21206:5584304</t>
        </is>
      </c>
      <c r="J121" s="13" t="inlineStr">
        <is>
          <t>15192:2958365; 19050:4309117; 19050:4877571</t>
        </is>
      </c>
    </row>
    <row r="122">
      <c r="A122" s="13" t="inlineStr">
        <is>
          <t>Julia Brim-Edwards</t>
        </is>
      </c>
      <c r="B122" s="13" t="inlineStr">
        <is>
          <t>H071</t>
        </is>
      </c>
      <c r="C122" s="13" t="inlineStr">
        <is>
          <t>Confirmed</t>
        </is>
      </c>
      <c r="D122" s="13" t="inlineStr">
        <is>
          <t>Street address or PO box</t>
        </is>
      </c>
      <c r="E122" s="15" t="inlineStr">
        <is>
          <t>Dudley for Oregon; Friends of Christine Drazan; Friends of Jeff Helfrich; Knute for Governor</t>
        </is>
      </c>
      <c r="F122" s="13" t="n">
        <v>2026</v>
      </c>
      <c r="G122" s="13" t="n">
        <v>3000</v>
      </c>
      <c r="H122" s="15" t="inlineStr"/>
      <c r="I122" s="13" t="inlineStr">
        <is>
          <t>21206:5704173</t>
        </is>
      </c>
      <c r="J122" s="13" t="inlineStr">
        <is>
          <t>15192:2958381; 15192:2961054; 15192:2997848; 15192:3011700; 15192:3021339; 15192:3034413; 15192:3046113; 15192:3059099; 15192:3068749; 15192:3071834; 15984:4948163; 15984:5136698; 15984:5197917; 24693:5577062; 19050:5700997; 19050:5770870</t>
        </is>
      </c>
    </row>
    <row r="123">
      <c r="A123" s="13" t="inlineStr">
        <is>
          <t>Julia Brim-Edwards</t>
        </is>
      </c>
      <c r="B123" s="13" t="inlineStr">
        <is>
          <t>H072</t>
        </is>
      </c>
      <c r="C123" s="13" t="inlineStr">
        <is>
          <t>Confirmed</t>
        </is>
      </c>
      <c r="D123" s="13" t="inlineStr">
        <is>
          <t>Street address or PO box</t>
        </is>
      </c>
      <c r="E123" s="15" t="inlineStr">
        <is>
          <t>Knute for Governor</t>
        </is>
      </c>
      <c r="F123" s="13" t="n">
        <v>2018</v>
      </c>
      <c r="G123" s="13" t="n">
        <v>1000</v>
      </c>
      <c r="H123" s="15" t="inlineStr"/>
      <c r="I123" s="13" t="inlineStr">
        <is>
          <t>21206:5567226</t>
        </is>
      </c>
      <c r="J123" s="13" t="inlineStr">
        <is>
          <t>15192:2957088</t>
        </is>
      </c>
    </row>
    <row r="124">
      <c r="A124" s="13" t="inlineStr">
        <is>
          <t>Julia Brim-Edwards</t>
        </is>
      </c>
      <c r="B124" s="13" t="inlineStr">
        <is>
          <t>H073</t>
        </is>
      </c>
      <c r="C124" s="13" t="inlineStr">
        <is>
          <t>Confirmed</t>
        </is>
      </c>
      <c r="D124" s="13" t="inlineStr">
        <is>
          <t>Street address or PO box</t>
        </is>
      </c>
      <c r="E124" s="15" t="inlineStr">
        <is>
          <t>Knute for Governor</t>
        </is>
      </c>
      <c r="F124" s="13" t="n">
        <v>2018</v>
      </c>
      <c r="G124" s="13" t="n">
        <v>500</v>
      </c>
      <c r="H124" s="15" t="inlineStr"/>
      <c r="I124" s="13" t="inlineStr">
        <is>
          <t>21206:4536327</t>
        </is>
      </c>
      <c r="J124" s="13" t="inlineStr">
        <is>
          <t>15192:2969341</t>
        </is>
      </c>
    </row>
    <row r="125">
      <c r="A125" s="13" t="inlineStr">
        <is>
          <t>Julia Brim-Edwards</t>
        </is>
      </c>
      <c r="B125" s="13" t="inlineStr">
        <is>
          <t>H074</t>
        </is>
      </c>
      <c r="C125" s="13" t="inlineStr">
        <is>
          <t>Confirmed</t>
        </is>
      </c>
      <c r="D125" s="13" t="inlineStr">
        <is>
          <t>Street address or PO box</t>
        </is>
      </c>
      <c r="E125" s="15" t="inlineStr">
        <is>
          <t>Friends of Christine Drazan</t>
        </is>
      </c>
      <c r="F125" s="13" t="n">
        <v>2018</v>
      </c>
      <c r="G125" s="13" t="n">
        <v>250</v>
      </c>
      <c r="H125" s="15" t="inlineStr"/>
      <c r="I125" s="13" t="inlineStr">
        <is>
          <t>21206:5704147; 21206:4554403</t>
        </is>
      </c>
      <c r="J125" s="13" t="inlineStr">
        <is>
          <t>19050:2971143</t>
        </is>
      </c>
    </row>
    <row r="126">
      <c r="A126" s="13" t="inlineStr">
        <is>
          <t>Julia Brim-Edwards</t>
        </is>
      </c>
      <c r="B126" s="13" t="inlineStr">
        <is>
          <t>H075</t>
        </is>
      </c>
      <c r="C126" s="13" t="inlineStr">
        <is>
          <t>Confirmed</t>
        </is>
      </c>
      <c r="D126" s="13" t="inlineStr">
        <is>
          <t>Street address or PO box</t>
        </is>
      </c>
      <c r="E126" s="15" t="inlineStr">
        <is>
          <t>Knute for Governor</t>
        </is>
      </c>
      <c r="F126" s="13" t="n">
        <v>2018</v>
      </c>
      <c r="G126" s="13" t="n">
        <v>2000</v>
      </c>
      <c r="H126" s="15" t="inlineStr"/>
      <c r="I126" s="13" t="inlineStr">
        <is>
          <t>21206:4853109; 21206:4551179</t>
        </is>
      </c>
      <c r="J126" s="13" t="inlineStr">
        <is>
          <t>15192:2982931; 15192:3054852; 15192:3069502</t>
        </is>
      </c>
    </row>
    <row r="127">
      <c r="A127" s="13" t="inlineStr">
        <is>
          <t>Julia Brim-Edwards</t>
        </is>
      </c>
      <c r="B127" s="13" t="inlineStr">
        <is>
          <t>H076</t>
        </is>
      </c>
      <c r="C127" s="13" t="inlineStr">
        <is>
          <t>Likely</t>
        </is>
      </c>
      <c r="D127" s="13" t="inlineStr">
        <is>
          <t>Hand review</t>
        </is>
      </c>
      <c r="E127" s="15" t="inlineStr">
        <is>
          <t>Knute for Governor</t>
        </is>
      </c>
      <c r="F127" s="13" t="n">
        <v>2018</v>
      </c>
      <c r="G127" s="13" t="n">
        <v>1000</v>
      </c>
      <c r="H127" s="15" t="inlineStr">
        <is>
          <t>The two gifts list the same firm under two versions of its name, one from a home address and one from the office. Other filings tie both addresses to that firm. Supporting filings (Tran Id): 2977979, 4743889, 4803134.</t>
        </is>
      </c>
      <c r="I127" s="13" t="inlineStr">
        <is>
          <t>21206:5578340; 21206:4536323</t>
        </is>
      </c>
      <c r="J127" s="13" t="inlineStr">
        <is>
          <t>15192:2977979</t>
        </is>
      </c>
    </row>
    <row r="128">
      <c r="A128" s="13" t="inlineStr">
        <is>
          <t>Julia Brim-Edwards</t>
        </is>
      </c>
      <c r="B128" s="13" t="inlineStr">
        <is>
          <t>H077</t>
        </is>
      </c>
      <c r="C128" s="13" t="inlineStr">
        <is>
          <t>Confirmed</t>
        </is>
      </c>
      <c r="D128" s="13" t="inlineStr">
        <is>
          <t>Street address or PO box</t>
        </is>
      </c>
      <c r="E128" s="15" t="inlineStr">
        <is>
          <t>Knute for Governor</t>
        </is>
      </c>
      <c r="F128" s="13" t="n">
        <v>2018</v>
      </c>
      <c r="G128" s="13" t="n">
        <v>1000</v>
      </c>
      <c r="H128" s="15" t="inlineStr"/>
      <c r="I128" s="13" t="inlineStr">
        <is>
          <t>21206:4572228</t>
        </is>
      </c>
      <c r="J128" s="13" t="inlineStr">
        <is>
          <t>15192:3011754</t>
        </is>
      </c>
    </row>
    <row r="129">
      <c r="A129" s="13" t="inlineStr">
        <is>
          <t>Julia Brim-Edwards</t>
        </is>
      </c>
      <c r="B129" s="13" t="inlineStr">
        <is>
          <t>H078</t>
        </is>
      </c>
      <c r="C129" s="13" t="inlineStr">
        <is>
          <t>Confirmed</t>
        </is>
      </c>
      <c r="D129" s="13" t="inlineStr">
        <is>
          <t>Street address or PO box</t>
        </is>
      </c>
      <c r="E129" s="15" t="inlineStr">
        <is>
          <t>Knute for Governor</t>
        </is>
      </c>
      <c r="F129" s="13" t="n">
        <v>2018</v>
      </c>
      <c r="G129" s="13" t="n">
        <v>500</v>
      </c>
      <c r="H129" s="15" t="inlineStr"/>
      <c r="I129" s="13" t="inlineStr">
        <is>
          <t>21206:5627317</t>
        </is>
      </c>
      <c r="J129" s="13" t="inlineStr">
        <is>
          <t>15192:3026413; 15192:3037360</t>
        </is>
      </c>
    </row>
    <row r="130">
      <c r="A130" s="13" t="inlineStr">
        <is>
          <t>Julia Brim-Edwards</t>
        </is>
      </c>
      <c r="B130" s="13" t="inlineStr">
        <is>
          <t>H081</t>
        </is>
      </c>
      <c r="C130" s="13" t="inlineStr">
        <is>
          <t>Confirmed</t>
        </is>
      </c>
      <c r="D130" s="13" t="inlineStr">
        <is>
          <t>Street address or PO box</t>
        </is>
      </c>
      <c r="E130" s="15" t="inlineStr">
        <is>
          <t>Knute for Governor</t>
        </is>
      </c>
      <c r="F130" s="13" t="n">
        <v>2018</v>
      </c>
      <c r="G130" s="13" t="n">
        <v>25000</v>
      </c>
      <c r="H130" s="15" t="inlineStr"/>
      <c r="I130" s="13" t="inlineStr">
        <is>
          <t>21206:5555099; 21206:4572220</t>
        </is>
      </c>
      <c r="J130" s="13" t="inlineStr">
        <is>
          <t>15192:3043250</t>
        </is>
      </c>
    </row>
    <row r="131">
      <c r="A131" s="13" t="inlineStr">
        <is>
          <t>Julia Brim-Edwards</t>
        </is>
      </c>
      <c r="B131" s="13" t="inlineStr">
        <is>
          <t>H082</t>
        </is>
      </c>
      <c r="C131" s="13" t="inlineStr">
        <is>
          <t>Confirmed</t>
        </is>
      </c>
      <c r="D131" s="13" t="inlineStr">
        <is>
          <t>Street address or PO box</t>
        </is>
      </c>
      <c r="E131" s="15" t="inlineStr">
        <is>
          <t>Knute for Governor</t>
        </is>
      </c>
      <c r="F131" s="13" t="n">
        <v>2018</v>
      </c>
      <c r="G131" s="13" t="n">
        <v>3000</v>
      </c>
      <c r="H131" s="15" t="inlineStr"/>
      <c r="I131" s="13" t="inlineStr">
        <is>
          <t>21206:5555053; 21206:4536325</t>
        </is>
      </c>
      <c r="J131" s="13" t="inlineStr">
        <is>
          <t>15192:3053040</t>
        </is>
      </c>
    </row>
    <row r="132">
      <c r="A132" s="13" t="inlineStr">
        <is>
          <t>Julia Brim-Edwards</t>
        </is>
      </c>
      <c r="B132" s="13" t="inlineStr">
        <is>
          <t>H083</t>
        </is>
      </c>
      <c r="C132" s="13" t="inlineStr">
        <is>
          <t>Confirmed</t>
        </is>
      </c>
      <c r="D132" s="13" t="inlineStr">
        <is>
          <t>Street address or PO box</t>
        </is>
      </c>
      <c r="E132" s="15" t="inlineStr">
        <is>
          <t>Knute for Governor</t>
        </is>
      </c>
      <c r="F132" s="13" t="n">
        <v>2018</v>
      </c>
      <c r="G132" s="13" t="n">
        <v>1000</v>
      </c>
      <c r="H132" s="15" t="inlineStr"/>
      <c r="I132" s="13" t="inlineStr">
        <is>
          <t>21206:5647922; 21206:4861356; 21206:4572232</t>
        </is>
      </c>
      <c r="J132" s="13" t="inlineStr">
        <is>
          <t>15192:3066973</t>
        </is>
      </c>
    </row>
    <row r="133">
      <c r="A133" s="13" t="inlineStr">
        <is>
          <t>Julia Brim-Edwards</t>
        </is>
      </c>
      <c r="B133" s="13" t="inlineStr">
        <is>
          <t>H085</t>
        </is>
      </c>
      <c r="C133" s="13" t="inlineStr">
        <is>
          <t>Confirmed</t>
        </is>
      </c>
      <c r="D133" s="13" t="inlineStr">
        <is>
          <t>Hand review</t>
        </is>
      </c>
      <c r="E133" s="15" t="inlineStr">
        <is>
          <t>Knute for Governor</t>
        </is>
      </c>
      <c r="F133" s="13" t="n">
        <v>2018</v>
      </c>
      <c r="G133" s="13" t="n">
        <v>5000</v>
      </c>
      <c r="H133" s="15" t="inlineStr">
        <is>
          <t>A 2022 Drazan gift comes from the same home address as the candidate gift. Federal (FEC) filings tie that home to the office address on the Republican gift. Supporting filings (Tran Id): 3075371, 4358312.</t>
        </is>
      </c>
      <c r="I133" s="13" t="inlineStr">
        <is>
          <t>21206:4572236</t>
        </is>
      </c>
      <c r="J133" s="13" t="inlineStr">
        <is>
          <t>15192:3075371</t>
        </is>
      </c>
    </row>
    <row r="134">
      <c r="A134" s="13" t="inlineStr">
        <is>
          <t>Julia Brim-Edwards</t>
        </is>
      </c>
      <c r="B134" s="13" t="inlineStr">
        <is>
          <t>H086</t>
        </is>
      </c>
      <c r="C134" s="13" t="inlineStr">
        <is>
          <t>Confirmed</t>
        </is>
      </c>
      <c r="D134" s="13" t="inlineStr">
        <is>
          <t>Street address or PO box</t>
        </is>
      </c>
      <c r="E134" s="15" t="inlineStr">
        <is>
          <t>Friends of Christine Drazan; Friends of Kim Thatcher</t>
        </is>
      </c>
      <c r="F134" s="13" t="n">
        <v>2026</v>
      </c>
      <c r="G134" s="13" t="n">
        <v>16000</v>
      </c>
      <c r="H134" s="15" t="inlineStr"/>
      <c r="I134" s="13" t="inlineStr">
        <is>
          <t>21206:5647916</t>
        </is>
      </c>
      <c r="J134" s="13" t="inlineStr">
        <is>
          <t>4871:3519484; 19050:5438241; 19050:5851026</t>
        </is>
      </c>
    </row>
    <row r="135">
      <c r="A135" s="13" t="inlineStr">
        <is>
          <t>Julia Brim-Edwards</t>
        </is>
      </c>
      <c r="B135" s="13" t="inlineStr">
        <is>
          <t>H089</t>
        </is>
      </c>
      <c r="C135" s="13" t="inlineStr">
        <is>
          <t>Confirmed</t>
        </is>
      </c>
      <c r="D135" s="13" t="inlineStr">
        <is>
          <t>Street address or PO box</t>
        </is>
      </c>
      <c r="E135" s="15" t="inlineStr">
        <is>
          <t>Friends of Christine Drazan</t>
        </is>
      </c>
      <c r="F135" s="13" t="n">
        <v>2022</v>
      </c>
      <c r="G135" s="13" t="n">
        <v>250</v>
      </c>
      <c r="H135" s="15" t="inlineStr"/>
      <c r="I135" s="13" t="inlineStr">
        <is>
          <t>21206:5747274</t>
        </is>
      </c>
      <c r="J135" s="13" t="inlineStr">
        <is>
          <t>19050:3990333</t>
        </is>
      </c>
    </row>
    <row r="136">
      <c r="A136" s="13" t="inlineStr">
        <is>
          <t>Julia Brim-Edwards</t>
        </is>
      </c>
      <c r="B136" s="13" t="inlineStr">
        <is>
          <t>H089</t>
        </is>
      </c>
      <c r="C136" s="13" t="inlineStr">
        <is>
          <t>Confirmed</t>
        </is>
      </c>
      <c r="D136" s="13" t="inlineStr">
        <is>
          <t>Street address or PO box</t>
        </is>
      </c>
      <c r="E136" s="15" t="inlineStr">
        <is>
          <t>Friends of Christine Drazan</t>
        </is>
      </c>
      <c r="F136" s="13" t="n">
        <v>2022</v>
      </c>
      <c r="G136" s="13" t="n">
        <v>250</v>
      </c>
      <c r="H136" s="15" t="inlineStr"/>
      <c r="I136" s="13" t="inlineStr">
        <is>
          <t>21206:5647956; 21206:4563017</t>
        </is>
      </c>
      <c r="J136" s="13" t="inlineStr">
        <is>
          <t>19050:3990334</t>
        </is>
      </c>
    </row>
    <row r="137">
      <c r="A137" s="13" t="inlineStr">
        <is>
          <t>Julia Brim-Edwards</t>
        </is>
      </c>
      <c r="B137" s="13" t="inlineStr">
        <is>
          <t>H090</t>
        </is>
      </c>
      <c r="C137" s="13" t="inlineStr">
        <is>
          <t>Confirmed</t>
        </is>
      </c>
      <c r="D137" s="13" t="inlineStr">
        <is>
          <t>Street address or PO box</t>
        </is>
      </c>
      <c r="E137" s="15" t="inlineStr">
        <is>
          <t>Friends of Christine Drazan</t>
        </is>
      </c>
      <c r="F137" s="13" t="n">
        <v>2026</v>
      </c>
      <c r="G137" s="13" t="n">
        <v>5000</v>
      </c>
      <c r="H137" s="15" t="inlineStr"/>
      <c r="I137" s="13" t="inlineStr">
        <is>
          <t>21206:5627297</t>
        </is>
      </c>
      <c r="J137" s="13" t="inlineStr">
        <is>
          <t>19050:4020650; 19050:4111500; 19050:4111499; 19050:4174973; 19050:4201000; 19050:4326395; 19050:5335680; 19050:5400944; 19050:5500849; 19050:5622672; 19050:5753118; 19050:5829352</t>
        </is>
      </c>
    </row>
    <row r="138">
      <c r="A138" s="13" t="inlineStr">
        <is>
          <t>Julia Brim-Edwards</t>
        </is>
      </c>
      <c r="B138" s="13" t="inlineStr">
        <is>
          <t>H091</t>
        </is>
      </c>
      <c r="C138" s="13" t="inlineStr">
        <is>
          <t>Confirmed</t>
        </is>
      </c>
      <c r="D138" s="13" t="inlineStr">
        <is>
          <t>Street address or PO box</t>
        </is>
      </c>
      <c r="E138" s="15" t="inlineStr">
        <is>
          <t>Friends of Christine Drazan</t>
        </is>
      </c>
      <c r="F138" s="13" t="n">
        <v>2026</v>
      </c>
      <c r="G138" s="13" t="n">
        <v>1000</v>
      </c>
      <c r="H138" s="15" t="inlineStr"/>
      <c r="I138" s="13" t="inlineStr">
        <is>
          <t>21206:5704191</t>
        </is>
      </c>
      <c r="J138" s="13" t="inlineStr">
        <is>
          <t>19050:4090915; 19050:4912748; 19050:5187525; 19050:5532125; 19050:5662581</t>
        </is>
      </c>
    </row>
    <row r="139">
      <c r="A139" s="13" t="inlineStr">
        <is>
          <t>Julia Brim-Edwards</t>
        </is>
      </c>
      <c r="B139" s="13" t="inlineStr">
        <is>
          <t>H092</t>
        </is>
      </c>
      <c r="C139" s="13" t="inlineStr">
        <is>
          <t>Confirmed</t>
        </is>
      </c>
      <c r="D139" s="13" t="inlineStr">
        <is>
          <t>Street address or PO box, ZIP + employer</t>
        </is>
      </c>
      <c r="E139" s="15" t="inlineStr">
        <is>
          <t>Dudley for Oregon; Friends of Christine Drazan</t>
        </is>
      </c>
      <c r="F139" s="13" t="n">
        <v>2026</v>
      </c>
      <c r="G139" s="13" t="n">
        <v>6000</v>
      </c>
      <c r="H139" s="15" t="inlineStr"/>
      <c r="I139" s="13" t="inlineStr">
        <is>
          <t>21206:5747279</t>
        </is>
      </c>
      <c r="J139" s="13" t="inlineStr">
        <is>
          <t>19050:4331006; 24693:5528888; 19050:5755553</t>
        </is>
      </c>
    </row>
    <row r="140">
      <c r="A140" s="13" t="inlineStr">
        <is>
          <t>Julia Brim-Edwards</t>
        </is>
      </c>
      <c r="B140" s="13" t="inlineStr">
        <is>
          <t>H093</t>
        </is>
      </c>
      <c r="C140" s="13" t="inlineStr">
        <is>
          <t>Confirmed</t>
        </is>
      </c>
      <c r="D140" s="13" t="inlineStr">
        <is>
          <t>Street address or PO box</t>
        </is>
      </c>
      <c r="E140" s="15" t="inlineStr">
        <is>
          <t>Friends of Christine Drazan</t>
        </is>
      </c>
      <c r="F140" s="13" t="n">
        <v>2022</v>
      </c>
      <c r="G140" s="13" t="n">
        <v>500</v>
      </c>
      <c r="H140" s="15" t="inlineStr"/>
      <c r="I140" s="13" t="inlineStr">
        <is>
          <t>21206:4536320</t>
        </is>
      </c>
      <c r="J140" s="13" t="inlineStr">
        <is>
          <t>19050:4371959</t>
        </is>
      </c>
    </row>
    <row r="141">
      <c r="A141" s="13" t="inlineStr">
        <is>
          <t>Julia Brim-Edwards</t>
        </is>
      </c>
      <c r="B141" s="13" t="inlineStr">
        <is>
          <t>H094</t>
        </is>
      </c>
      <c r="C141" s="13" t="inlineStr">
        <is>
          <t>Confirmed</t>
        </is>
      </c>
      <c r="D141" s="13" t="inlineStr">
        <is>
          <t>ZIP + employer</t>
        </is>
      </c>
      <c r="E141" s="15" t="inlineStr">
        <is>
          <t>Friends of Christine Drazan</t>
        </is>
      </c>
      <c r="F141" s="13" t="n">
        <v>2022</v>
      </c>
      <c r="G141" s="13" t="n">
        <v>500</v>
      </c>
      <c r="H141" s="15" t="inlineStr"/>
      <c r="I141" s="13" t="inlineStr">
        <is>
          <t>21206:4876639</t>
        </is>
      </c>
      <c r="J141" s="13" t="inlineStr">
        <is>
          <t>19050:4402717</t>
        </is>
      </c>
    </row>
    <row r="142">
      <c r="A142" s="13" t="inlineStr">
        <is>
          <t>Julia Brim-Edwards</t>
        </is>
      </c>
      <c r="B142" s="13" t="inlineStr">
        <is>
          <t>H098</t>
        </is>
      </c>
      <c r="C142" s="13" t="inlineStr">
        <is>
          <t>Confirmed</t>
        </is>
      </c>
      <c r="D142" s="13" t="inlineStr">
        <is>
          <t>Street address or PO box</t>
        </is>
      </c>
      <c r="E142" s="15" t="inlineStr">
        <is>
          <t>Committee to Elect Dennis Linthicum</t>
        </is>
      </c>
      <c r="F142" s="13" t="n">
        <v>2024</v>
      </c>
      <c r="G142" s="13" t="n">
        <v>250</v>
      </c>
      <c r="H142" s="15" t="inlineStr"/>
      <c r="I142" s="13" t="inlineStr">
        <is>
          <t>21206:5852754</t>
        </is>
      </c>
      <c r="J142" s="13" t="inlineStr">
        <is>
          <t>17895:4958938</t>
        </is>
      </c>
    </row>
    <row r="143">
      <c r="A143" s="13" t="inlineStr">
        <is>
          <t>Julia Brim-Edwards</t>
        </is>
      </c>
      <c r="B143" s="13" t="inlineStr">
        <is>
          <t>H099</t>
        </is>
      </c>
      <c r="C143" s="13" t="inlineStr">
        <is>
          <t>Confirmed</t>
        </is>
      </c>
      <c r="D143" s="13" t="inlineStr">
        <is>
          <t>Street address or PO box</t>
        </is>
      </c>
      <c r="E143" s="15" t="inlineStr">
        <is>
          <t>Friends of Will Lathrop</t>
        </is>
      </c>
      <c r="F143" s="13" t="n">
        <v>2024</v>
      </c>
      <c r="G143" s="13" t="n">
        <v>250</v>
      </c>
      <c r="H143" s="15" t="inlineStr"/>
      <c r="I143" s="13" t="inlineStr">
        <is>
          <t>21206:5567167</t>
        </is>
      </c>
      <c r="J143" s="13" t="inlineStr">
        <is>
          <t>21896:4987581</t>
        </is>
      </c>
    </row>
    <row r="144">
      <c r="A144" s="13" t="inlineStr">
        <is>
          <t>Julia Brim-Edwards</t>
        </is>
      </c>
      <c r="B144" s="13" t="inlineStr">
        <is>
          <t>H102</t>
        </is>
      </c>
      <c r="C144" s="13" t="inlineStr">
        <is>
          <t>Confirmed</t>
        </is>
      </c>
      <c r="D144" s="13" t="inlineStr">
        <is>
          <t>Street address or PO box, ZIP + employer</t>
        </is>
      </c>
      <c r="E144" s="15" t="inlineStr">
        <is>
          <t>Bring Balance to Salem PAC; Dudley for Oregon; Friends of Christine Drazan; Friends of Will Lathrop</t>
        </is>
      </c>
      <c r="F144" s="13" t="n">
        <v>2026</v>
      </c>
      <c r="G144" s="13" t="n">
        <v>19000</v>
      </c>
      <c r="H144" s="15" t="inlineStr"/>
      <c r="I144" s="13" t="inlineStr">
        <is>
          <t>21206:5555072; 21206:4913051; 21206:4530537</t>
        </is>
      </c>
      <c r="J144" s="13" t="inlineStr">
        <is>
          <t>21896:5031388; 21717:5116455; 24693:5600244; 19050:5780437</t>
        </is>
      </c>
    </row>
    <row r="145">
      <c r="A145" s="13" t="inlineStr">
        <is>
          <t>Julia Brim-Edwards</t>
        </is>
      </c>
      <c r="B145" s="13" t="inlineStr">
        <is>
          <t>H104</t>
        </is>
      </c>
      <c r="C145" s="13" t="inlineStr">
        <is>
          <t>Confirmed</t>
        </is>
      </c>
      <c r="D145" s="13" t="inlineStr">
        <is>
          <t>Street address or PO box</t>
        </is>
      </c>
      <c r="E145" s="15" t="inlineStr">
        <is>
          <t>Courtney Bangs PAC; Friends of Anna Scharf; Friends of Jeff Helfrich; Friends of Will Lathrop; Hicks for Senate</t>
        </is>
      </c>
      <c r="F145" s="13" t="n">
        <v>2026</v>
      </c>
      <c r="G145" s="13" t="n">
        <v>65000</v>
      </c>
      <c r="H145" s="15" t="inlineStr"/>
      <c r="I145" s="13" t="inlineStr">
        <is>
          <t>21206:5555045</t>
        </is>
      </c>
      <c r="J145" s="13" t="inlineStr">
        <is>
          <t>21896:5099537; 20246:5452339; 24485:5735739; 21575:5793914; 15984:5831641</t>
        </is>
      </c>
    </row>
    <row r="146">
      <c r="A146" s="13" t="inlineStr">
        <is>
          <t>Julia Brim-Edwards</t>
        </is>
      </c>
      <c r="B146" s="13" t="inlineStr">
        <is>
          <t>H107</t>
        </is>
      </c>
      <c r="C146" s="13" t="inlineStr">
        <is>
          <t>Confirmed</t>
        </is>
      </c>
      <c r="D146" s="13" t="inlineStr">
        <is>
          <t>Street address or PO box</t>
        </is>
      </c>
      <c r="E146" s="15" t="inlineStr">
        <is>
          <t>Dudley for Oregon</t>
        </is>
      </c>
      <c r="F146" s="13" t="n">
        <v>2026</v>
      </c>
      <c r="G146" s="13" t="n">
        <v>10000</v>
      </c>
      <c r="H146" s="15" t="inlineStr"/>
      <c r="I146" s="13" t="inlineStr">
        <is>
          <t>21206:5647953; 21206:4572249</t>
        </is>
      </c>
      <c r="J146" s="13" t="inlineStr">
        <is>
          <t>24693:5535926</t>
        </is>
      </c>
    </row>
    <row r="147">
      <c r="A147" s="13" t="inlineStr">
        <is>
          <t>Julia Brim-Edwards</t>
        </is>
      </c>
      <c r="B147" s="13" t="inlineStr">
        <is>
          <t>H108</t>
        </is>
      </c>
      <c r="C147" s="13" t="inlineStr">
        <is>
          <t>Confirmed</t>
        </is>
      </c>
      <c r="D147" s="13" t="inlineStr">
        <is>
          <t>Street address or PO box</t>
        </is>
      </c>
      <c r="E147" s="15" t="inlineStr">
        <is>
          <t>Dudley for Oregon</t>
        </is>
      </c>
      <c r="F147" s="13" t="n">
        <v>2026</v>
      </c>
      <c r="G147" s="13" t="n">
        <v>2000</v>
      </c>
      <c r="H147" s="15" t="inlineStr"/>
      <c r="I147" s="13" t="inlineStr">
        <is>
          <t>21206:5678189</t>
        </is>
      </c>
      <c r="J147" s="13" t="inlineStr">
        <is>
          <t>24693:5537128; 24693:5601852</t>
        </is>
      </c>
    </row>
    <row r="148">
      <c r="A148" s="13" t="inlineStr">
        <is>
          <t>Julia Brim-Edwards</t>
        </is>
      </c>
      <c r="B148" s="13" t="inlineStr">
        <is>
          <t>H109</t>
        </is>
      </c>
      <c r="C148" s="13" t="inlineStr">
        <is>
          <t>Confirmed</t>
        </is>
      </c>
      <c r="D148" s="13" t="inlineStr">
        <is>
          <t>ZIP + employer</t>
        </is>
      </c>
      <c r="E148" s="15" t="inlineStr">
        <is>
          <t>Dudley for Oregon</t>
        </is>
      </c>
      <c r="F148" s="13" t="n">
        <v>2026</v>
      </c>
      <c r="G148" s="13" t="n">
        <v>5000</v>
      </c>
      <c r="H148" s="15" t="inlineStr"/>
      <c r="I148" s="13" t="inlineStr">
        <is>
          <t>21206:4536303</t>
        </is>
      </c>
      <c r="J148" s="13" t="inlineStr">
        <is>
          <t>24693:5594723</t>
        </is>
      </c>
    </row>
    <row r="149">
      <c r="A149" s="13" t="inlineStr">
        <is>
          <t>Julia Brim-Edwards</t>
        </is>
      </c>
      <c r="B149" s="13" t="inlineStr">
        <is>
          <t>H111</t>
        </is>
      </c>
      <c r="C149" s="13" t="inlineStr">
        <is>
          <t>Confirmed</t>
        </is>
      </c>
      <c r="D149" s="13" t="inlineStr">
        <is>
          <t>Street address or PO box</t>
        </is>
      </c>
      <c r="E149" s="15" t="inlineStr">
        <is>
          <t>Dudley for Oregon</t>
        </is>
      </c>
      <c r="F149" s="13" t="n">
        <v>2026</v>
      </c>
      <c r="G149" s="13" t="n">
        <v>10000</v>
      </c>
      <c r="H149" s="15" t="inlineStr"/>
      <c r="I149" s="13" t="inlineStr">
        <is>
          <t>21206:5555068</t>
        </is>
      </c>
      <c r="J149" s="13" t="inlineStr">
        <is>
          <t>24693:5645593</t>
        </is>
      </c>
    </row>
    <row r="150">
      <c r="A150" s="13" t="inlineStr">
        <is>
          <t>Julia Brim-Edwards</t>
        </is>
      </c>
      <c r="B150" s="13" t="inlineStr">
        <is>
          <t>H113</t>
        </is>
      </c>
      <c r="C150" s="13" t="inlineStr">
        <is>
          <t>Confirmed</t>
        </is>
      </c>
      <c r="D150" s="13" t="inlineStr">
        <is>
          <t>Street address or PO box</t>
        </is>
      </c>
      <c r="E150" s="15" t="inlineStr">
        <is>
          <t>Hicks for Senate</t>
        </is>
      </c>
      <c r="F150" s="13" t="n">
        <v>2026</v>
      </c>
      <c r="G150" s="13" t="n">
        <v>3000</v>
      </c>
      <c r="H150" s="15" t="inlineStr"/>
      <c r="I150" s="13" t="inlineStr">
        <is>
          <t>21206:5857113</t>
        </is>
      </c>
      <c r="J150" s="13" t="inlineStr">
        <is>
          <t>24485:5711476</t>
        </is>
      </c>
    </row>
    <row r="151">
      <c r="A151" s="13" t="inlineStr">
        <is>
          <t>Julia Brim-Edwards</t>
        </is>
      </c>
      <c r="B151" s="13" t="inlineStr">
        <is>
          <t>H115</t>
        </is>
      </c>
      <c r="C151" s="13" t="inlineStr">
        <is>
          <t>Confirmed</t>
        </is>
      </c>
      <c r="D151" s="13" t="inlineStr">
        <is>
          <t>Street address or PO box</t>
        </is>
      </c>
      <c r="E151" s="15" t="inlineStr">
        <is>
          <t>Friends of Christine Drazan</t>
        </is>
      </c>
      <c r="F151" s="13" t="n">
        <v>2026</v>
      </c>
      <c r="G151" s="13" t="n">
        <v>250</v>
      </c>
      <c r="H151" s="15" t="inlineStr"/>
      <c r="I151" s="13" t="inlineStr">
        <is>
          <t>21206:5852756</t>
        </is>
      </c>
      <c r="J151" s="13" t="inlineStr">
        <is>
          <t>19050:5761396; 19050:5888130</t>
        </is>
      </c>
    </row>
    <row r="152">
      <c r="A152" s="13" t="inlineStr">
        <is>
          <t>Julia Brim-Edwards</t>
        </is>
      </c>
      <c r="B152" s="13" t="inlineStr">
        <is>
          <t>H119</t>
        </is>
      </c>
      <c r="C152" s="13" t="inlineStr">
        <is>
          <t>Confirmed</t>
        </is>
      </c>
      <c r="D152" s="13" t="inlineStr">
        <is>
          <t>Street address or PO box</t>
        </is>
      </c>
      <c r="E152" s="15" t="inlineStr">
        <is>
          <t>Friends of Christine Drazan</t>
        </is>
      </c>
      <c r="F152" s="13" t="n">
        <v>2026</v>
      </c>
      <c r="G152" s="13" t="n">
        <v>250</v>
      </c>
      <c r="H152" s="15" t="inlineStr"/>
      <c r="I152" s="13" t="inlineStr">
        <is>
          <t>21206:4530520</t>
        </is>
      </c>
      <c r="J152" s="13" t="inlineStr">
        <is>
          <t>19050:5812344</t>
        </is>
      </c>
    </row>
    <row r="153">
      <c r="A153" s="13" t="inlineStr">
        <is>
          <t>Julia Brim-Edwards</t>
        </is>
      </c>
      <c r="B153" s="13" t="inlineStr">
        <is>
          <t>H120</t>
        </is>
      </c>
      <c r="C153" s="13" t="inlineStr">
        <is>
          <t>Confirmed</t>
        </is>
      </c>
      <c r="D153" s="13" t="inlineStr">
        <is>
          <t>Street address or PO box</t>
        </is>
      </c>
      <c r="E153" s="15" t="inlineStr">
        <is>
          <t>Friends of Christine Drazan</t>
        </is>
      </c>
      <c r="F153" s="13" t="n">
        <v>2026</v>
      </c>
      <c r="G153" s="13" t="n">
        <v>250</v>
      </c>
      <c r="H153" s="15" t="inlineStr"/>
      <c r="I153" s="13" t="inlineStr">
        <is>
          <t>21206:5555081</t>
        </is>
      </c>
      <c r="J153" s="13" t="inlineStr">
        <is>
          <t>19050:5818021</t>
        </is>
      </c>
    </row>
    <row r="154">
      <c r="A154" s="13" t="inlineStr">
        <is>
          <t>Julia Brim-Edwards</t>
        </is>
      </c>
      <c r="B154" s="13" t="inlineStr">
        <is>
          <t>H123</t>
        </is>
      </c>
      <c r="C154" s="13" t="inlineStr">
        <is>
          <t>Confirmed</t>
        </is>
      </c>
      <c r="D154" s="13" t="inlineStr">
        <is>
          <t>Street address or PO box</t>
        </is>
      </c>
      <c r="E154" s="15" t="inlineStr">
        <is>
          <t>Friends of Christine Drazan</t>
        </is>
      </c>
      <c r="F154" s="13" t="n">
        <v>2026</v>
      </c>
      <c r="G154" s="13" t="n">
        <v>500</v>
      </c>
      <c r="H154" s="15" t="inlineStr"/>
      <c r="I154" s="13" t="inlineStr">
        <is>
          <t>21206:5627302; 21206:4574707</t>
        </is>
      </c>
      <c r="J154" s="13" t="inlineStr">
        <is>
          <t>19050:5854542</t>
        </is>
      </c>
    </row>
    <row r="155">
      <c r="A155" s="13" t="inlineStr">
        <is>
          <t>Julia Brim-Edwards</t>
        </is>
      </c>
      <c r="B155" s="13" t="inlineStr">
        <is>
          <t>H125</t>
        </is>
      </c>
      <c r="C155" s="13" t="inlineStr">
        <is>
          <t>Confirmed</t>
        </is>
      </c>
      <c r="D155" s="13" t="inlineStr">
        <is>
          <t>Street address or PO box</t>
        </is>
      </c>
      <c r="E155" s="15" t="inlineStr">
        <is>
          <t>Friends of Christine Drazan</t>
        </is>
      </c>
      <c r="F155" s="13" t="n">
        <v>2026</v>
      </c>
      <c r="G155" s="13" t="n">
        <v>250</v>
      </c>
      <c r="H155" s="15" t="inlineStr"/>
      <c r="I155" s="13" t="inlineStr">
        <is>
          <t>21206:5627308</t>
        </is>
      </c>
      <c r="J155" s="13" t="inlineStr">
        <is>
          <t>19050:5878886</t>
        </is>
      </c>
    </row>
    <row r="156">
      <c r="A156" s="13" t="inlineStr">
        <is>
          <t>Kellie Torres</t>
        </is>
      </c>
      <c r="B156" s="13" t="inlineStr">
        <is>
          <t>H005</t>
        </is>
      </c>
      <c r="C156" s="13" t="inlineStr">
        <is>
          <t>Confirmed</t>
        </is>
      </c>
      <c r="D156" s="13" t="inlineStr">
        <is>
          <t>Street address or PO box</t>
        </is>
      </c>
      <c r="E156" s="15" t="inlineStr">
        <is>
          <t>Friends of Allen Alley</t>
        </is>
      </c>
      <c r="F156" s="13" t="n">
        <v>2008</v>
      </c>
      <c r="G156" s="13" t="n">
        <v>500</v>
      </c>
      <c r="H156" s="15" t="inlineStr"/>
      <c r="I156" s="13" t="inlineStr">
        <is>
          <t>24897:5846576; 24897:5846642</t>
        </is>
      </c>
      <c r="J156" s="13" t="inlineStr">
        <is>
          <t>12878:449303</t>
        </is>
      </c>
    </row>
    <row r="157">
      <c r="A157" s="13" t="inlineStr">
        <is>
          <t>Kellie Torres</t>
        </is>
      </c>
      <c r="B157" s="13" t="inlineStr">
        <is>
          <t>H008</t>
        </is>
      </c>
      <c r="C157" s="13" t="inlineStr">
        <is>
          <t>Likely</t>
        </is>
      </c>
      <c r="D157" s="13" t="inlineStr">
        <is>
          <t>Hand review</t>
        </is>
      </c>
      <c r="E157" s="15" t="inlineStr">
        <is>
          <t>Friends of Allen Alley</t>
        </is>
      </c>
      <c r="F157" s="13" t="n">
        <v>2008</v>
      </c>
      <c r="G157" s="13" t="n">
        <v>500</v>
      </c>
      <c r="H157" s="15" t="inlineStr">
        <is>
          <t>The two gifts list the same law firm under two versions of its name, one from a home address and one from the office. No single filing ties the two addresses.</t>
        </is>
      </c>
      <c r="I157" s="13" t="inlineStr">
        <is>
          <t>24897:5873385</t>
        </is>
      </c>
      <c r="J157" s="13" t="inlineStr">
        <is>
          <t>12878:467561</t>
        </is>
      </c>
    </row>
    <row r="158">
      <c r="A158" s="13" t="inlineStr">
        <is>
          <t>Kellie Torres</t>
        </is>
      </c>
      <c r="B158" s="13" t="inlineStr">
        <is>
          <t>H013</t>
        </is>
      </c>
      <c r="C158" s="13" t="inlineStr">
        <is>
          <t>Confirmed</t>
        </is>
      </c>
      <c r="D158" s="13" t="inlineStr">
        <is>
          <t>Street address or PO box</t>
        </is>
      </c>
      <c r="E158" s="15" t="inlineStr">
        <is>
          <t>Friends of Allen Alley; Friends of Chris Dudley; Friends of Christine Drazan; Knute for Governor</t>
        </is>
      </c>
      <c r="F158" s="13" t="n">
        <v>2026</v>
      </c>
      <c r="G158" s="13" t="n">
        <v>37000</v>
      </c>
      <c r="H158" s="15" t="inlineStr"/>
      <c r="I158" s="13" t="inlineStr">
        <is>
          <t>24897:5873453; 24897:5760928</t>
        </is>
      </c>
      <c r="J158" s="13" t="inlineStr">
        <is>
          <t>13998:704478; 13998:861561; 12878:2206664; 15192:2729829; 19050:4388949; 19050:5722342; 19050:5838902</t>
        </is>
      </c>
    </row>
    <row r="159">
      <c r="A159" s="13" t="inlineStr">
        <is>
          <t>Kellie Torres</t>
        </is>
      </c>
      <c r="B159" s="13" t="inlineStr">
        <is>
          <t>H017</t>
        </is>
      </c>
      <c r="C159" s="13" t="inlineStr">
        <is>
          <t>Likely</t>
        </is>
      </c>
      <c r="D159" s="13" t="inlineStr">
        <is>
          <t>Hand review</t>
        </is>
      </c>
      <c r="E159" s="15" t="inlineStr">
        <is>
          <t>Friends of Chris Dudley</t>
        </is>
      </c>
      <c r="F159" s="13" t="n">
        <v>2010</v>
      </c>
      <c r="G159" s="13" t="n">
        <v>1000</v>
      </c>
      <c r="H159" s="15" t="inlineStr">
        <is>
          <t>The two gifts list the same firm (one abbreviated), one from a home address and one from the office.</t>
        </is>
      </c>
      <c r="I159" s="13" t="inlineStr">
        <is>
          <t>24897:5812169</t>
        </is>
      </c>
      <c r="J159" s="13" t="inlineStr">
        <is>
          <t>13998:797496; 13998:949704</t>
        </is>
      </c>
    </row>
    <row r="160">
      <c r="A160" s="13" t="inlineStr">
        <is>
          <t>Kellie Torres</t>
        </is>
      </c>
      <c r="B160" s="13" t="inlineStr">
        <is>
          <t>H018</t>
        </is>
      </c>
      <c r="C160" s="13" t="inlineStr">
        <is>
          <t>Confirmed</t>
        </is>
      </c>
      <c r="D160" s="13" t="inlineStr">
        <is>
          <t>Street address or PO box</t>
        </is>
      </c>
      <c r="E160" s="15" t="inlineStr">
        <is>
          <t>Bud Pierce for a Better Oregon; Citizens to Elect Dennis Richardson; Evergreen Oregon PAC; Friends of Allen Alley; Friends of Chris Dudley; Friends of Christine Drazan; Knute Buehler for Secretary of State; Knute for Governor</t>
        </is>
      </c>
      <c r="F160" s="13" t="n">
        <v>2026</v>
      </c>
      <c r="G160" s="13" t="n">
        <v>16000</v>
      </c>
      <c r="H160" s="15" t="inlineStr"/>
      <c r="I160" s="13" t="inlineStr">
        <is>
          <t>24897:5760945</t>
        </is>
      </c>
      <c r="J160" s="13" t="inlineStr">
        <is>
          <t>13998:949689; 13998:949688; 15192:1270034; 15192:1382465; 15192:1414274; 4155:1764279; 4155:1862480; 12878:2204149; 12878:2227651; 17397:2227560; 17397:2275366; 17397:2402657; 15192:2871059; 20202:3282978; 20202:3824692; 19050:4312835; 19050:5099437; 19050:5672089; 19050:5778485</t>
        </is>
      </c>
    </row>
    <row r="161">
      <c r="A161" s="13" t="inlineStr">
        <is>
          <t>Kellie Torres</t>
        </is>
      </c>
      <c r="B161" s="13" t="inlineStr">
        <is>
          <t>H019</t>
        </is>
      </c>
      <c r="C161" s="13" t="inlineStr">
        <is>
          <t>Likely</t>
        </is>
      </c>
      <c r="D161" s="13" t="inlineStr">
        <is>
          <t>Hand review</t>
        </is>
      </c>
      <c r="E161" s="15" t="inlineStr">
        <is>
          <t>Friends of Chris Dudley</t>
        </is>
      </c>
      <c r="F161" s="13" t="n">
        <v>2010</v>
      </c>
      <c r="G161" s="13" t="n">
        <v>1000</v>
      </c>
      <c r="H161" s="15" t="inlineStr">
        <is>
          <t>Another filing ties the Republican-gift address to the employer on the candidate gifts. Weakest link in the set: several relatives share that office. Supporting filings (Tran Id): 3510647.</t>
        </is>
      </c>
      <c r="I161" s="13" t="inlineStr">
        <is>
          <t>24897:5658420</t>
        </is>
      </c>
      <c r="J161" s="13" t="inlineStr">
        <is>
          <t>13998:890502</t>
        </is>
      </c>
    </row>
    <row r="162">
      <c r="A162" s="13" t="inlineStr">
        <is>
          <t>Kellie Torres</t>
        </is>
      </c>
      <c r="B162" s="13" t="inlineStr">
        <is>
          <t>H020</t>
        </is>
      </c>
      <c r="C162" s="13" t="inlineStr">
        <is>
          <t>Likely</t>
        </is>
      </c>
      <c r="D162" s="13" t="inlineStr">
        <is>
          <t>Hand review</t>
        </is>
      </c>
      <c r="E162" s="15" t="inlineStr">
        <is>
          <t>Starr, Bruce, for State Senate Committee</t>
        </is>
      </c>
      <c r="F162" s="13" t="n">
        <v>2010</v>
      </c>
      <c r="G162" s="13" t="n">
        <v>250</v>
      </c>
      <c r="H162" s="15" t="inlineStr">
        <is>
          <t>Same street and ZIP with house numbers one digit apart, and the same distinctive employer under two names.</t>
        </is>
      </c>
      <c r="I162" s="13" t="inlineStr">
        <is>
          <t>24897:5846625</t>
        </is>
      </c>
      <c r="J162" s="13" t="inlineStr">
        <is>
          <t>2752:944216</t>
        </is>
      </c>
    </row>
    <row r="163">
      <c r="A163" s="13" t="inlineStr">
        <is>
          <t>Kellie Torres</t>
        </is>
      </c>
      <c r="B163" s="13" t="inlineStr">
        <is>
          <t>H021</t>
        </is>
      </c>
      <c r="C163" s="13" t="inlineStr">
        <is>
          <t>Confirmed</t>
        </is>
      </c>
      <c r="D163" s="13" t="inlineStr">
        <is>
          <t>Street address or PO box</t>
        </is>
      </c>
      <c r="E163" s="15" t="inlineStr">
        <is>
          <t>Bud Pierce for a Better Oregon; Citizens to Elect Dennis Richardson; Friends of Christine Drazan; Friends of Kim Thatcher; Knute Buehler for Secretary of State; Knute for Governor; The Leadership Fund</t>
        </is>
      </c>
      <c r="F163" s="13" t="n">
        <v>2026</v>
      </c>
      <c r="G163" s="13" t="n">
        <v>5000</v>
      </c>
      <c r="H163" s="15" t="inlineStr"/>
      <c r="I163" s="13" t="inlineStr">
        <is>
          <t>24897:5878236</t>
        </is>
      </c>
      <c r="J163" s="13" t="inlineStr">
        <is>
          <t>15192:1125657; 4155:1832575; 17397:2294547; 15192:2887948; 2690:3164998; 4871:3474655; 19050:5804309</t>
        </is>
      </c>
    </row>
    <row r="164">
      <c r="A164" s="13" t="inlineStr">
        <is>
          <t>Kellie Torres</t>
        </is>
      </c>
      <c r="B164" s="13" t="inlineStr">
        <is>
          <t>H022</t>
        </is>
      </c>
      <c r="C164" s="13" t="inlineStr">
        <is>
          <t>Likely</t>
        </is>
      </c>
      <c r="D164" s="13" t="inlineStr">
        <is>
          <t>Hand review</t>
        </is>
      </c>
      <c r="E164" s="15" t="inlineStr">
        <is>
          <t>Friends of Will Lathrop</t>
        </is>
      </c>
      <c r="F164" s="13" t="n">
        <v>2024</v>
      </c>
      <c r="G164" s="13" t="n">
        <v>500</v>
      </c>
      <c r="H164" s="15" t="inlineStr">
        <is>
          <t>The candidate gift lists the employer at a home address; the Republican gift is from that employer's office. Other filings tie both addresses to the same person.</t>
        </is>
      </c>
      <c r="I164" s="13" t="inlineStr">
        <is>
          <t>24897:5831612; 24897:5780400</t>
        </is>
      </c>
      <c r="J164" s="13" t="inlineStr">
        <is>
          <t>21896:4770292</t>
        </is>
      </c>
    </row>
    <row r="165">
      <c r="A165" s="13" t="inlineStr">
        <is>
          <t>Kellie Torres</t>
        </is>
      </c>
      <c r="B165" s="13" t="inlineStr">
        <is>
          <t>H023</t>
        </is>
      </c>
      <c r="C165" s="13" t="inlineStr">
        <is>
          <t>Confirmed</t>
        </is>
      </c>
      <c r="D165" s="13" t="inlineStr">
        <is>
          <t>Street address or PO box</t>
        </is>
      </c>
      <c r="E165" s="15" t="inlineStr">
        <is>
          <t>Friends of Will Lathrop</t>
        </is>
      </c>
      <c r="F165" s="13" t="n">
        <v>2024</v>
      </c>
      <c r="G165" s="13" t="n">
        <v>500</v>
      </c>
      <c r="H165" s="15" t="inlineStr"/>
      <c r="I165" s="13" t="inlineStr">
        <is>
          <t>24897:5761006</t>
        </is>
      </c>
      <c r="J165" s="13" t="inlineStr">
        <is>
          <t>21896:4775465; 21896:5086955</t>
        </is>
      </c>
    </row>
    <row r="166">
      <c r="A166" s="13" t="inlineStr">
        <is>
          <t>Kellie Torres</t>
        </is>
      </c>
      <c r="B166" s="13" t="inlineStr">
        <is>
          <t>H026</t>
        </is>
      </c>
      <c r="C166" s="13" t="inlineStr">
        <is>
          <t>Confirmed</t>
        </is>
      </c>
      <c r="D166" s="13" t="inlineStr">
        <is>
          <t>Street address or PO box</t>
        </is>
      </c>
      <c r="E166" s="15" t="inlineStr">
        <is>
          <t>Citizens to Elect Dennis Richardson; Friends of Christine Drazan; Hicks for Senate; Knute for Governor</t>
        </is>
      </c>
      <c r="F166" s="13" t="n">
        <v>2025</v>
      </c>
      <c r="G166" s="13" t="n">
        <v>2000</v>
      </c>
      <c r="H166" s="15" t="inlineStr"/>
      <c r="I166" s="13" t="inlineStr">
        <is>
          <t>24897:5846627</t>
        </is>
      </c>
      <c r="J166" s="13" t="inlineStr">
        <is>
          <t>4155:2350441; 4155:2428898; 15192:2591021; 19050:3033736; 24485:5485678</t>
        </is>
      </c>
    </row>
    <row r="167">
      <c r="A167" s="13" t="inlineStr">
        <is>
          <t>Kellie Torres</t>
        </is>
      </c>
      <c r="B167" s="13" t="inlineStr">
        <is>
          <t>H033</t>
        </is>
      </c>
      <c r="C167" s="13" t="inlineStr">
        <is>
          <t>Likely</t>
        </is>
      </c>
      <c r="D167" s="13" t="inlineStr">
        <is>
          <t>Hand review</t>
        </is>
      </c>
      <c r="E167" s="15" t="inlineStr">
        <is>
          <t>Bruce Starr for State Senate Committee</t>
        </is>
      </c>
      <c r="F167" s="13" t="n">
        <v>2014</v>
      </c>
      <c r="G167" s="13" t="n">
        <v>250</v>
      </c>
      <c r="H167" s="15" t="inlineStr">
        <is>
          <t>A chain of other filings ties the candidate-gift address to the employer on the Republican gift. One gift, in 2014. Supporting filings (Tran Id): 2140128, 4076909, 4323067.</t>
        </is>
      </c>
      <c r="I167" s="13" t="inlineStr">
        <is>
          <t>24897:5846650</t>
        </is>
      </c>
      <c r="J167" s="13" t="inlineStr">
        <is>
          <t>2752:1797354</t>
        </is>
      </c>
    </row>
    <row r="168">
      <c r="A168" s="13" t="inlineStr">
        <is>
          <t>Kellie Torres</t>
        </is>
      </c>
      <c r="B168" s="13" t="inlineStr">
        <is>
          <t>H035</t>
        </is>
      </c>
      <c r="C168" s="13" t="inlineStr">
        <is>
          <t>Confirmed</t>
        </is>
      </c>
      <c r="D168" s="13" t="inlineStr">
        <is>
          <t>Hand review</t>
        </is>
      </c>
      <c r="E168" s="15" t="inlineStr">
        <is>
          <t>Bruce Starr for State Senate Committee</t>
        </is>
      </c>
      <c r="F168" s="13" t="n">
        <v>2014</v>
      </c>
      <c r="G168" s="13" t="n">
        <v>250</v>
      </c>
      <c r="H168" s="15" t="inlineStr">
        <is>
          <t>Same address; one filing misspells the street name.</t>
        </is>
      </c>
      <c r="I168" s="13" t="inlineStr">
        <is>
          <t>24897:5633829</t>
        </is>
      </c>
      <c r="J168" s="13" t="inlineStr">
        <is>
          <t>2752:1873970</t>
        </is>
      </c>
    </row>
    <row r="169">
      <c r="A169" s="13" t="inlineStr">
        <is>
          <t>Kellie Torres</t>
        </is>
      </c>
      <c r="B169" s="13" t="inlineStr">
        <is>
          <t>H040</t>
        </is>
      </c>
      <c r="C169" s="13" t="inlineStr">
        <is>
          <t>Confirmed</t>
        </is>
      </c>
      <c r="D169" s="13" t="inlineStr">
        <is>
          <t>Street address or PO box</t>
        </is>
      </c>
      <c r="E169" s="15" t="inlineStr">
        <is>
          <t>Buehler For a United Oregon; Friends of Courtney Bangs</t>
        </is>
      </c>
      <c r="F169" s="13" t="n">
        <v>2020</v>
      </c>
      <c r="G169" s="13" t="n">
        <v>1000</v>
      </c>
      <c r="H169" s="15" t="inlineStr"/>
      <c r="I169" s="13" t="inlineStr">
        <is>
          <t>24897:5850025</t>
        </is>
      </c>
      <c r="J169" s="13" t="inlineStr">
        <is>
          <t>15192:2101867; 20246:3426791</t>
        </is>
      </c>
    </row>
    <row r="170">
      <c r="A170" s="13" t="inlineStr">
        <is>
          <t>Kellie Torres</t>
        </is>
      </c>
      <c r="B170" s="13" t="inlineStr">
        <is>
          <t>H043</t>
        </is>
      </c>
      <c r="C170" s="13" t="inlineStr">
        <is>
          <t>Confirmed</t>
        </is>
      </c>
      <c r="D170" s="13" t="inlineStr">
        <is>
          <t>Street address or PO box</t>
        </is>
      </c>
      <c r="E170" s="15" t="inlineStr">
        <is>
          <t>Friends of Allen Alley</t>
        </is>
      </c>
      <c r="F170" s="13" t="n">
        <v>2016</v>
      </c>
      <c r="G170" s="13" t="n">
        <v>1000</v>
      </c>
      <c r="H170" s="15" t="inlineStr"/>
      <c r="I170" s="13" t="inlineStr">
        <is>
          <t>24897:5733633</t>
        </is>
      </c>
      <c r="J170" s="13" t="inlineStr">
        <is>
          <t>12878:2235669</t>
        </is>
      </c>
    </row>
    <row r="171">
      <c r="A171" s="13" t="inlineStr">
        <is>
          <t>Kellie Torres</t>
        </is>
      </c>
      <c r="B171" s="13" t="inlineStr">
        <is>
          <t>H049</t>
        </is>
      </c>
      <c r="C171" s="13" t="inlineStr">
        <is>
          <t>Confirmed</t>
        </is>
      </c>
      <c r="D171" s="13" t="inlineStr">
        <is>
          <t>Street address or PO box</t>
        </is>
      </c>
      <c r="E171" s="15" t="inlineStr">
        <is>
          <t>Bud Pierce for a Better Oregon; Knute for Governor</t>
        </is>
      </c>
      <c r="F171" s="13" t="n">
        <v>2018</v>
      </c>
      <c r="G171" s="13" t="n">
        <v>3000</v>
      </c>
      <c r="H171" s="15" t="inlineStr"/>
      <c r="I171" s="13" t="inlineStr">
        <is>
          <t>24897:5873463</t>
        </is>
      </c>
      <c r="J171" s="13" t="inlineStr">
        <is>
          <t>17397:2428778; 15192:2598132; 15192:2897641; 15192:3061372</t>
        </is>
      </c>
    </row>
    <row r="172">
      <c r="A172" s="13" t="inlineStr">
        <is>
          <t>Kellie Torres</t>
        </is>
      </c>
      <c r="B172" s="13" t="inlineStr">
        <is>
          <t>H053</t>
        </is>
      </c>
      <c r="C172" s="13" t="inlineStr">
        <is>
          <t>Confirmed</t>
        </is>
      </c>
      <c r="D172" s="13" t="inlineStr">
        <is>
          <t>Street address or PO box</t>
        </is>
      </c>
      <c r="E172" s="15" t="inlineStr">
        <is>
          <t>Knute for Governor</t>
        </is>
      </c>
      <c r="F172" s="13" t="n">
        <v>2018</v>
      </c>
      <c r="G172" s="13" t="n">
        <v>500</v>
      </c>
      <c r="H172" s="15" t="inlineStr"/>
      <c r="I172" s="13" t="inlineStr">
        <is>
          <t>24897:5873390</t>
        </is>
      </c>
      <c r="J172" s="13" t="inlineStr">
        <is>
          <t>15192:2622423; 15192:2948048</t>
        </is>
      </c>
    </row>
    <row r="173">
      <c r="A173" s="13" t="inlineStr">
        <is>
          <t>Kellie Torres</t>
        </is>
      </c>
      <c r="B173" s="13" t="inlineStr">
        <is>
          <t>H054</t>
        </is>
      </c>
      <c r="C173" s="13" t="inlineStr">
        <is>
          <t>Confirmed</t>
        </is>
      </c>
      <c r="D173" s="13" t="inlineStr">
        <is>
          <t>Street address or PO box</t>
        </is>
      </c>
      <c r="E173" s="15" t="inlineStr">
        <is>
          <t>Knute for Governor</t>
        </is>
      </c>
      <c r="F173" s="13" t="n">
        <v>2017</v>
      </c>
      <c r="G173" s="13" t="n">
        <v>5000</v>
      </c>
      <c r="H173" s="15" t="inlineStr"/>
      <c r="I173" s="13" t="inlineStr">
        <is>
          <t>24897:5780403</t>
        </is>
      </c>
      <c r="J173" s="13" t="inlineStr">
        <is>
          <t>15192:2626751</t>
        </is>
      </c>
    </row>
    <row r="174">
      <c r="A174" s="13" t="inlineStr">
        <is>
          <t>Kellie Torres</t>
        </is>
      </c>
      <c r="B174" s="13" t="inlineStr">
        <is>
          <t>H057</t>
        </is>
      </c>
      <c r="C174" s="13" t="inlineStr">
        <is>
          <t>Confirmed</t>
        </is>
      </c>
      <c r="D174" s="13" t="inlineStr">
        <is>
          <t>Street address or PO box</t>
        </is>
      </c>
      <c r="E174" s="15" t="inlineStr">
        <is>
          <t>Knute for Governor</t>
        </is>
      </c>
      <c r="F174" s="13" t="n">
        <v>2018</v>
      </c>
      <c r="G174" s="13" t="n">
        <v>15000</v>
      </c>
      <c r="H174" s="15" t="inlineStr"/>
      <c r="I174" s="13" t="inlineStr">
        <is>
          <t>24897:5780404</t>
        </is>
      </c>
      <c r="J174" s="13" t="inlineStr">
        <is>
          <t>15192:2662894; 15192:2982743</t>
        </is>
      </c>
    </row>
    <row r="175">
      <c r="A175" s="13" t="inlineStr">
        <is>
          <t>Kellie Torres</t>
        </is>
      </c>
      <c r="B175" s="13" t="inlineStr">
        <is>
          <t>H059</t>
        </is>
      </c>
      <c r="C175" s="13" t="inlineStr">
        <is>
          <t>Confirmed</t>
        </is>
      </c>
      <c r="D175" s="13" t="inlineStr">
        <is>
          <t>Street address or PO box</t>
        </is>
      </c>
      <c r="E175" s="15" t="inlineStr">
        <is>
          <t>Knute for Governor</t>
        </is>
      </c>
      <c r="F175" s="13" t="n">
        <v>2018</v>
      </c>
      <c r="G175" s="13" t="n">
        <v>500</v>
      </c>
      <c r="H175" s="15" t="inlineStr"/>
      <c r="I175" s="13" t="inlineStr">
        <is>
          <t>24897:5760893</t>
        </is>
      </c>
      <c r="J175" s="13" t="inlineStr">
        <is>
          <t>15192:2777491</t>
        </is>
      </c>
    </row>
    <row r="176">
      <c r="A176" s="13" t="inlineStr">
        <is>
          <t>Kellie Torres</t>
        </is>
      </c>
      <c r="B176" s="13" t="inlineStr">
        <is>
          <t>H065</t>
        </is>
      </c>
      <c r="C176" s="13" t="inlineStr">
        <is>
          <t>Likely</t>
        </is>
      </c>
      <c r="D176" s="13" t="inlineStr">
        <is>
          <t>Hand review</t>
        </is>
      </c>
      <c r="E176" s="15" t="inlineStr">
        <is>
          <t>Knute for Governor</t>
        </is>
      </c>
      <c r="F176" s="13" t="n">
        <v>2018</v>
      </c>
      <c r="G176" s="13" t="n">
        <v>3000</v>
      </c>
      <c r="H176" s="15" t="inlineStr">
        <is>
          <t>Other filings tie both addresses to the same employer. Supporting filings (Tran Id): 4100085, 4922899.</t>
        </is>
      </c>
      <c r="I176" s="13" t="inlineStr">
        <is>
          <t>24897:5780412</t>
        </is>
      </c>
      <c r="J176" s="13" t="inlineStr">
        <is>
          <t>15192:2904945</t>
        </is>
      </c>
    </row>
    <row r="177">
      <c r="A177" s="13" t="inlineStr">
        <is>
          <t>Kellie Torres</t>
        </is>
      </c>
      <c r="B177" s="13" t="inlineStr">
        <is>
          <t>H068</t>
        </is>
      </c>
      <c r="C177" s="13" t="inlineStr">
        <is>
          <t>Confirmed</t>
        </is>
      </c>
      <c r="D177" s="13" t="inlineStr">
        <is>
          <t>Street address or PO box</t>
        </is>
      </c>
      <c r="E177" s="15" t="inlineStr">
        <is>
          <t>Knute for Governor</t>
        </is>
      </c>
      <c r="F177" s="13" t="n">
        <v>2018</v>
      </c>
      <c r="G177" s="13" t="n">
        <v>250</v>
      </c>
      <c r="H177" s="15" t="inlineStr"/>
      <c r="I177" s="13" t="inlineStr">
        <is>
          <t>24897:5850084</t>
        </is>
      </c>
      <c r="J177" s="13" t="inlineStr">
        <is>
          <t>15192:2930610</t>
        </is>
      </c>
    </row>
    <row r="178">
      <c r="A178" s="13" t="inlineStr">
        <is>
          <t>Kellie Torres</t>
        </is>
      </c>
      <c r="B178" s="13" t="inlineStr">
        <is>
          <t>H075</t>
        </is>
      </c>
      <c r="C178" s="13" t="inlineStr">
        <is>
          <t>Confirmed</t>
        </is>
      </c>
      <c r="D178" s="13" t="inlineStr">
        <is>
          <t>Street address or PO box</t>
        </is>
      </c>
      <c r="E178" s="15" t="inlineStr">
        <is>
          <t>Knute for Governor</t>
        </is>
      </c>
      <c r="F178" s="13" t="n">
        <v>2018</v>
      </c>
      <c r="G178" s="13" t="n">
        <v>2000</v>
      </c>
      <c r="H178" s="15" t="inlineStr"/>
      <c r="I178" s="13" t="inlineStr">
        <is>
          <t>24897:5846623</t>
        </is>
      </c>
      <c r="J178" s="13" t="inlineStr">
        <is>
          <t>15192:2982931; 15192:3054852; 15192:3069502</t>
        </is>
      </c>
    </row>
    <row r="179">
      <c r="A179" s="13" t="inlineStr">
        <is>
          <t>Kellie Torres</t>
        </is>
      </c>
      <c r="B179" s="13" t="inlineStr">
        <is>
          <t>H076</t>
        </is>
      </c>
      <c r="C179" s="13" t="inlineStr">
        <is>
          <t>Likely</t>
        </is>
      </c>
      <c r="D179" s="13" t="inlineStr">
        <is>
          <t>Hand review</t>
        </is>
      </c>
      <c r="E179" s="15" t="inlineStr">
        <is>
          <t>Knute for Governor</t>
        </is>
      </c>
      <c r="F179" s="13" t="n">
        <v>2018</v>
      </c>
      <c r="G179" s="13" t="n">
        <v>1000</v>
      </c>
      <c r="H179" s="15" t="inlineStr">
        <is>
          <t>The two gifts list the same firm under two versions of its name, one from a home address and one from the office. Other filings tie both addresses to that firm.</t>
        </is>
      </c>
      <c r="I179" s="13" t="inlineStr">
        <is>
          <t>24897:5873378</t>
        </is>
      </c>
      <c r="J179" s="13" t="inlineStr">
        <is>
          <t>15192:2977979</t>
        </is>
      </c>
    </row>
    <row r="180">
      <c r="A180" s="13" t="inlineStr">
        <is>
          <t>Kellie Torres</t>
        </is>
      </c>
      <c r="B180" s="13" t="inlineStr">
        <is>
          <t>H082</t>
        </is>
      </c>
      <c r="C180" s="13" t="inlineStr">
        <is>
          <t>Confirmed</t>
        </is>
      </c>
      <c r="D180" s="13" t="inlineStr">
        <is>
          <t>Street address or PO box</t>
        </is>
      </c>
      <c r="E180" s="15" t="inlineStr">
        <is>
          <t>Knute for Governor</t>
        </is>
      </c>
      <c r="F180" s="13" t="n">
        <v>2018</v>
      </c>
      <c r="G180" s="13" t="n">
        <v>3000</v>
      </c>
      <c r="H180" s="15" t="inlineStr"/>
      <c r="I180" s="13" t="inlineStr">
        <is>
          <t>24897:5760900</t>
        </is>
      </c>
      <c r="J180" s="13" t="inlineStr">
        <is>
          <t>15192:3053040</t>
        </is>
      </c>
    </row>
    <row r="181">
      <c r="A181" s="13" t="inlineStr">
        <is>
          <t>Kellie Torres</t>
        </is>
      </c>
      <c r="B181" s="13" t="inlineStr">
        <is>
          <t>H083</t>
        </is>
      </c>
      <c r="C181" s="13" t="inlineStr">
        <is>
          <t>Confirmed</t>
        </is>
      </c>
      <c r="D181" s="13" t="inlineStr">
        <is>
          <t>Street address or PO box</t>
        </is>
      </c>
      <c r="E181" s="15" t="inlineStr">
        <is>
          <t>Knute for Governor</t>
        </is>
      </c>
      <c r="F181" s="13" t="n">
        <v>2018</v>
      </c>
      <c r="G181" s="13" t="n">
        <v>1000</v>
      </c>
      <c r="H181" s="15" t="inlineStr"/>
      <c r="I181" s="13" t="inlineStr">
        <is>
          <t>24897:5761015</t>
        </is>
      </c>
      <c r="J181" s="13" t="inlineStr">
        <is>
          <t>15192:3066973</t>
        </is>
      </c>
    </row>
    <row r="182">
      <c r="A182" s="13" t="inlineStr">
        <is>
          <t>Kellie Torres</t>
        </is>
      </c>
      <c r="B182" s="13" t="inlineStr">
        <is>
          <t>H097</t>
        </is>
      </c>
      <c r="C182" s="13" t="inlineStr">
        <is>
          <t>Confirmed</t>
        </is>
      </c>
      <c r="D182" s="13" t="inlineStr">
        <is>
          <t>ZIP + employer</t>
        </is>
      </c>
      <c r="E182" s="15" t="inlineStr">
        <is>
          <t>Friends of Christine Drazan</t>
        </is>
      </c>
      <c r="F182" s="13" t="n">
        <v>2026</v>
      </c>
      <c r="G182" s="13" t="n">
        <v>10000</v>
      </c>
      <c r="H182" s="15" t="inlineStr"/>
      <c r="I182" s="13" t="inlineStr">
        <is>
          <t>24897:5760957</t>
        </is>
      </c>
      <c r="J182" s="13" t="inlineStr">
        <is>
          <t>19050:4839586; 19050:5850513</t>
        </is>
      </c>
    </row>
    <row r="183">
      <c r="A183" s="13" t="inlineStr">
        <is>
          <t>Kellie Torres</t>
        </is>
      </c>
      <c r="B183" s="13" t="inlineStr">
        <is>
          <t>H102</t>
        </is>
      </c>
      <c r="C183" s="13" t="inlineStr">
        <is>
          <t>Confirmed</t>
        </is>
      </c>
      <c r="D183" s="13" t="inlineStr">
        <is>
          <t>Street address or PO box, ZIP + employer</t>
        </is>
      </c>
      <c r="E183" s="15" t="inlineStr">
        <is>
          <t>Bring Balance to Salem PAC; Dudley for Oregon; Friends of Christine Drazan; Friends of Will Lathrop</t>
        </is>
      </c>
      <c r="F183" s="13" t="n">
        <v>2026</v>
      </c>
      <c r="G183" s="13" t="n">
        <v>19000</v>
      </c>
      <c r="H183" s="15" t="inlineStr"/>
      <c r="I183" s="13" t="inlineStr">
        <is>
          <t>24897:5888824; 24897:5760925</t>
        </is>
      </c>
      <c r="J183" s="13" t="inlineStr">
        <is>
          <t>21896:5031388; 21717:5116455; 24693:5600244; 19050:5780437</t>
        </is>
      </c>
    </row>
    <row r="184">
      <c r="A184" s="13" t="inlineStr">
        <is>
          <t>Kellie Torres</t>
        </is>
      </c>
      <c r="B184" s="13" t="inlineStr">
        <is>
          <t>H104</t>
        </is>
      </c>
      <c r="C184" s="13" t="inlineStr">
        <is>
          <t>Confirmed</t>
        </is>
      </c>
      <c r="D184" s="13" t="inlineStr">
        <is>
          <t>Street address or PO box</t>
        </is>
      </c>
      <c r="E184" s="15" t="inlineStr">
        <is>
          <t>Courtney Bangs PAC; Friends of Anna Scharf; Friends of Jeff Helfrich; Friends of Will Lathrop; Hicks for Senate</t>
        </is>
      </c>
      <c r="F184" s="13" t="n">
        <v>2026</v>
      </c>
      <c r="G184" s="13" t="n">
        <v>65000</v>
      </c>
      <c r="H184" s="15" t="inlineStr"/>
      <c r="I184" s="13" t="inlineStr">
        <is>
          <t>24897:5873386</t>
        </is>
      </c>
      <c r="J184" s="13" t="inlineStr">
        <is>
          <t>21896:5099537; 20246:5452339; 24485:5735739; 21575:5793914; 15984:5831641</t>
        </is>
      </c>
    </row>
    <row r="185">
      <c r="A185" s="13" t="inlineStr">
        <is>
          <t>Kellie Torres</t>
        </is>
      </c>
      <c r="B185" s="13" t="inlineStr">
        <is>
          <t>H110</t>
        </is>
      </c>
      <c r="C185" s="13" t="inlineStr">
        <is>
          <t>Likely</t>
        </is>
      </c>
      <c r="D185" s="13" t="inlineStr">
        <is>
          <t>Hand review</t>
        </is>
      </c>
      <c r="E185" s="15" t="inlineStr">
        <is>
          <t>Dudley for Oregon</t>
        </is>
      </c>
      <c r="F185" s="13" t="n">
        <v>2026</v>
      </c>
      <c r="G185" s="13" t="n">
        <v>5000</v>
      </c>
      <c r="H185" s="15" t="inlineStr">
        <is>
          <t>Same employer under two versions of its name, at the business's address.</t>
        </is>
      </c>
      <c r="I185" s="13" t="inlineStr">
        <is>
          <t>24897:5760909</t>
        </is>
      </c>
      <c r="J185" s="13" t="inlineStr">
        <is>
          <t>24693:5645585</t>
        </is>
      </c>
    </row>
    <row r="186">
      <c r="A186" s="13" t="inlineStr">
        <is>
          <t>Kellie Torres</t>
        </is>
      </c>
      <c r="B186" s="13" t="inlineStr">
        <is>
          <t>H113</t>
        </is>
      </c>
      <c r="C186" s="13" t="inlineStr">
        <is>
          <t>Confirmed</t>
        </is>
      </c>
      <c r="D186" s="13" t="inlineStr">
        <is>
          <t>Street address or PO box</t>
        </is>
      </c>
      <c r="E186" s="15" t="inlineStr">
        <is>
          <t>Hicks for Senate</t>
        </is>
      </c>
      <c r="F186" s="13" t="n">
        <v>2026</v>
      </c>
      <c r="G186" s="13" t="n">
        <v>3000</v>
      </c>
      <c r="H186" s="15" t="inlineStr"/>
      <c r="I186" s="13" t="inlineStr">
        <is>
          <t>24897:5873439</t>
        </is>
      </c>
      <c r="J186" s="13" t="inlineStr">
        <is>
          <t>24485:5711476</t>
        </is>
      </c>
    </row>
    <row r="187">
      <c r="A187" s="13" t="inlineStr">
        <is>
          <t>Kellie Torres</t>
        </is>
      </c>
      <c r="B187" s="13" t="inlineStr">
        <is>
          <t>H119</t>
        </is>
      </c>
      <c r="C187" s="13" t="inlineStr">
        <is>
          <t>Confirmed</t>
        </is>
      </c>
      <c r="D187" s="13" t="inlineStr">
        <is>
          <t>Street address or PO box</t>
        </is>
      </c>
      <c r="E187" s="15" t="inlineStr">
        <is>
          <t>Friends of Christine Drazan</t>
        </is>
      </c>
      <c r="F187" s="13" t="n">
        <v>2026</v>
      </c>
      <c r="G187" s="13" t="n">
        <v>250</v>
      </c>
      <c r="H187" s="15" t="inlineStr"/>
      <c r="I187" s="13" t="inlineStr">
        <is>
          <t>24897:5780402</t>
        </is>
      </c>
      <c r="J187" s="13" t="inlineStr">
        <is>
          <t>19050:5812344</t>
        </is>
      </c>
    </row>
    <row r="188">
      <c r="A188" s="13" t="inlineStr">
        <is>
          <t>Olivia Clark</t>
        </is>
      </c>
      <c r="B188" s="13" t="inlineStr">
        <is>
          <t>H003</t>
        </is>
      </c>
      <c r="C188" s="13" t="inlineStr">
        <is>
          <t>Confirmed</t>
        </is>
      </c>
      <c r="D188" s="13" t="inlineStr">
        <is>
          <t>Street address or PO box</t>
        </is>
      </c>
      <c r="E188" s="15" t="inlineStr">
        <is>
          <t>Friends of Allen Alley</t>
        </is>
      </c>
      <c r="F188" s="13" t="n">
        <v>2008</v>
      </c>
      <c r="G188" s="13" t="n">
        <v>250</v>
      </c>
      <c r="H188" s="15" t="inlineStr"/>
      <c r="I188" s="13" t="inlineStr">
        <is>
          <t>23199:4712016</t>
        </is>
      </c>
      <c r="J188" s="13" t="inlineStr">
        <is>
          <t>12878:373393</t>
        </is>
      </c>
    </row>
    <row r="189">
      <c r="A189" s="13" t="inlineStr">
        <is>
          <t>Olivia Clark</t>
        </is>
      </c>
      <c r="B189" s="13" t="inlineStr">
        <is>
          <t>H005</t>
        </is>
      </c>
      <c r="C189" s="13" t="inlineStr">
        <is>
          <t>Confirmed</t>
        </is>
      </c>
      <c r="D189" s="13" t="inlineStr">
        <is>
          <t>Street address or PO box</t>
        </is>
      </c>
      <c r="E189" s="15" t="inlineStr">
        <is>
          <t>Friends of Allen Alley</t>
        </is>
      </c>
      <c r="F189" s="13" t="n">
        <v>2008</v>
      </c>
      <c r="G189" s="13" t="n">
        <v>500</v>
      </c>
      <c r="H189" s="15" t="inlineStr"/>
      <c r="I189" s="13" t="inlineStr">
        <is>
          <t>23199:5633047; 23199:5085923</t>
        </is>
      </c>
      <c r="J189" s="13" t="inlineStr">
        <is>
          <t>12878:449303</t>
        </is>
      </c>
    </row>
    <row r="190">
      <c r="A190" s="13" t="inlineStr">
        <is>
          <t>Olivia Clark</t>
        </is>
      </c>
      <c r="B190" s="13" t="inlineStr">
        <is>
          <t>H009</t>
        </is>
      </c>
      <c r="C190" s="13" t="inlineStr">
        <is>
          <t>Confirmed</t>
        </is>
      </c>
      <c r="D190" s="13" t="inlineStr">
        <is>
          <t>Street address or PO box, ZIP + employer</t>
        </is>
      </c>
      <c r="E190" s="15" t="inlineStr">
        <is>
          <t>Dudley for Oregon; Friends of Chris Dudley</t>
        </is>
      </c>
      <c r="F190" s="13" t="n">
        <v>2026</v>
      </c>
      <c r="G190" s="13" t="n">
        <v>6000</v>
      </c>
      <c r="H190" s="15" t="inlineStr"/>
      <c r="I190" s="13" t="inlineStr">
        <is>
          <t>23199:5868497</t>
        </is>
      </c>
      <c r="J190" s="13" t="inlineStr">
        <is>
          <t>13998:645475; 24693:5578379</t>
        </is>
      </c>
    </row>
    <row r="191">
      <c r="A191" s="13" t="inlineStr">
        <is>
          <t>Olivia Clark</t>
        </is>
      </c>
      <c r="B191" s="13" t="inlineStr">
        <is>
          <t>H012</t>
        </is>
      </c>
      <c r="C191" s="13" t="inlineStr">
        <is>
          <t>Confirmed</t>
        </is>
      </c>
      <c r="D191" s="13" t="inlineStr">
        <is>
          <t>Street address or PO box, ZIP + employer</t>
        </is>
      </c>
      <c r="E191" s="15" t="inlineStr">
        <is>
          <t>Buehler For a United Oregon; Friends of Chris Dudley; Friends of Christine Drazan</t>
        </is>
      </c>
      <c r="F191" s="13" t="n">
        <v>2018</v>
      </c>
      <c r="G191" s="13" t="n">
        <v>1000</v>
      </c>
      <c r="H191" s="15" t="inlineStr"/>
      <c r="I191" s="13" t="inlineStr">
        <is>
          <t>23199:4778922</t>
        </is>
      </c>
      <c r="J191" s="13" t="inlineStr">
        <is>
          <t>13998:677176; 13998:761247; 13998:846517; 13998:911093; 15192:1615784; 15192:2145598; 19050:2761997</t>
        </is>
      </c>
    </row>
    <row r="192">
      <c r="A192" s="13" t="inlineStr">
        <is>
          <t>Olivia Clark</t>
        </is>
      </c>
      <c r="B192" s="13" t="inlineStr">
        <is>
          <t>H019</t>
        </is>
      </c>
      <c r="C192" s="13" t="inlineStr">
        <is>
          <t>Likely</t>
        </is>
      </c>
      <c r="D192" s="13" t="inlineStr">
        <is>
          <t>Hand review</t>
        </is>
      </c>
      <c r="E192" s="15" t="inlineStr">
        <is>
          <t>Friends of Chris Dudley</t>
        </is>
      </c>
      <c r="F192" s="13" t="n">
        <v>2010</v>
      </c>
      <c r="G192" s="13" t="n">
        <v>1000</v>
      </c>
      <c r="H192" s="15" t="inlineStr">
        <is>
          <t>Another filing ties the Republican-gift address to the employer on the candidate gifts. Weakest link in the set: several relatives share that office.</t>
        </is>
      </c>
      <c r="I192" s="13" t="inlineStr">
        <is>
          <t>23199:5473737; 23199:5375105</t>
        </is>
      </c>
      <c r="J192" s="13" t="inlineStr">
        <is>
          <t>13998:890502</t>
        </is>
      </c>
    </row>
    <row r="193">
      <c r="A193" s="13" t="inlineStr">
        <is>
          <t>Olivia Clark</t>
        </is>
      </c>
      <c r="B193" s="13" t="inlineStr">
        <is>
          <t>H020</t>
        </is>
      </c>
      <c r="C193" s="13" t="inlineStr">
        <is>
          <t>Likely</t>
        </is>
      </c>
      <c r="D193" s="13" t="inlineStr">
        <is>
          <t>ZIP + employer</t>
        </is>
      </c>
      <c r="E193" s="15" t="inlineStr">
        <is>
          <t>Starr, Bruce, for State Senate Committee</t>
        </is>
      </c>
      <c r="F193" s="13" t="n">
        <v>2010</v>
      </c>
      <c r="G193" s="13" t="n">
        <v>250</v>
      </c>
      <c r="H193" s="15" t="inlineStr">
        <is>
          <t>Same street and ZIP with house numbers one digit apart, and the same distinctive employer under two names.</t>
        </is>
      </c>
      <c r="I193" s="13" t="inlineStr">
        <is>
          <t>23199:5844223; 23199:4931476</t>
        </is>
      </c>
      <c r="J193" s="13" t="inlineStr">
        <is>
          <t>2752:944216</t>
        </is>
      </c>
    </row>
    <row r="194">
      <c r="A194" s="13" t="inlineStr">
        <is>
          <t>Olivia Clark</t>
        </is>
      </c>
      <c r="B194" s="13" t="inlineStr">
        <is>
          <t>H021</t>
        </is>
      </c>
      <c r="C194" s="13" t="inlineStr">
        <is>
          <t>Confirmed</t>
        </is>
      </c>
      <c r="D194" s="13" t="inlineStr">
        <is>
          <t>Street address or PO box</t>
        </is>
      </c>
      <c r="E194" s="15" t="inlineStr">
        <is>
          <t>Bud Pierce for a Better Oregon; Citizens to Elect Dennis Richardson; Friends of Christine Drazan; Friends of Kim Thatcher; Knute Buehler for Secretary of State; Knute for Governor; The Leadership Fund</t>
        </is>
      </c>
      <c r="F194" s="13" t="n">
        <v>2026</v>
      </c>
      <c r="G194" s="13" t="n">
        <v>5000</v>
      </c>
      <c r="H194" s="15" t="inlineStr"/>
      <c r="I194" s="13" t="inlineStr">
        <is>
          <t>23199:5800302</t>
        </is>
      </c>
      <c r="J194" s="13" t="inlineStr">
        <is>
          <t>15192:1125657; 4155:1832575; 17397:2294547; 15192:2887948; 2690:3164998; 4871:3474655; 19050:5804309</t>
        </is>
      </c>
    </row>
    <row r="195">
      <c r="A195" s="13" t="inlineStr">
        <is>
          <t>Olivia Clark</t>
        </is>
      </c>
      <c r="B195" s="13" t="inlineStr">
        <is>
          <t>H023</t>
        </is>
      </c>
      <c r="C195" s="13" t="inlineStr">
        <is>
          <t>Confirmed</t>
        </is>
      </c>
      <c r="D195" s="13" t="inlineStr">
        <is>
          <t>Street address or PO box</t>
        </is>
      </c>
      <c r="E195" s="15" t="inlineStr">
        <is>
          <t>Citizens to Elect Dennis Richardson</t>
        </is>
      </c>
      <c r="F195" s="13" t="n">
        <v>2014</v>
      </c>
      <c r="G195" s="13" t="n">
        <v>500</v>
      </c>
      <c r="H195" s="15" t="inlineStr"/>
      <c r="I195" s="13" t="inlineStr">
        <is>
          <t>23199:5633082</t>
        </is>
      </c>
      <c r="J195" s="13" t="inlineStr">
        <is>
          <t>4155:1793078; 4155:1852194</t>
        </is>
      </c>
    </row>
    <row r="196">
      <c r="A196" s="13" t="inlineStr">
        <is>
          <t>Olivia Clark</t>
        </is>
      </c>
      <c r="B196" s="13" t="inlineStr">
        <is>
          <t>H024</t>
        </is>
      </c>
      <c r="C196" s="13" t="inlineStr">
        <is>
          <t>Confirmed</t>
        </is>
      </c>
      <c r="D196" s="13" t="inlineStr">
        <is>
          <t>Street address or PO box</t>
        </is>
      </c>
      <c r="E196" s="15" t="inlineStr">
        <is>
          <t>Buehler For a United Oregon; Knute Buehler for Secretary of State; Knute for Governor</t>
        </is>
      </c>
      <c r="F196" s="13" t="n">
        <v>2018</v>
      </c>
      <c r="G196" s="13" t="n">
        <v>7000</v>
      </c>
      <c r="H196" s="15" t="inlineStr"/>
      <c r="I196" s="13" t="inlineStr">
        <is>
          <t>23199:5868476</t>
        </is>
      </c>
      <c r="J196" s="13" t="inlineStr">
        <is>
          <t>15192:1223332; 15192:1639297; 15192:1845152; 15192:2599519; 15192:2814827; 15192:3043271</t>
        </is>
      </c>
    </row>
    <row r="197">
      <c r="A197" s="13" t="inlineStr">
        <is>
          <t>Olivia Clark</t>
        </is>
      </c>
      <c r="B197" s="13" t="inlineStr">
        <is>
          <t>H026</t>
        </is>
      </c>
      <c r="C197" s="13" t="inlineStr">
        <is>
          <t>Confirmed</t>
        </is>
      </c>
      <c r="D197" s="13" t="inlineStr">
        <is>
          <t>Street address or PO box</t>
        </is>
      </c>
      <c r="E197" s="15" t="inlineStr">
        <is>
          <t>Citizens to Elect Dennis Richardson; Friends of Christine Drazan; Hicks for Senate; Knute for Governor</t>
        </is>
      </c>
      <c r="F197" s="13" t="n">
        <v>2025</v>
      </c>
      <c r="G197" s="13" t="n">
        <v>2000</v>
      </c>
      <c r="H197" s="15" t="inlineStr"/>
      <c r="I197" s="13" t="inlineStr">
        <is>
          <t>23199:5473715</t>
        </is>
      </c>
      <c r="J197" s="13" t="inlineStr">
        <is>
          <t>4155:2350441; 4155:2428898; 15192:2591021; 19050:3033736; 24485:5485678</t>
        </is>
      </c>
    </row>
    <row r="198">
      <c r="A198" s="13" t="inlineStr">
        <is>
          <t>Olivia Clark</t>
        </is>
      </c>
      <c r="B198" s="13" t="inlineStr">
        <is>
          <t>H026</t>
        </is>
      </c>
      <c r="C198" s="13" t="inlineStr">
        <is>
          <t>Confirmed</t>
        </is>
      </c>
      <c r="D198" s="13" t="inlineStr">
        <is>
          <t>Street address or PO box</t>
        </is>
      </c>
      <c r="E198" s="15" t="inlineStr">
        <is>
          <t>Tim Knopp for State Senate</t>
        </is>
      </c>
      <c r="F198" s="13" t="n">
        <v>2022</v>
      </c>
      <c r="G198" s="13" t="n">
        <v>2000</v>
      </c>
      <c r="H198" s="15" t="inlineStr"/>
      <c r="I198" s="13" t="inlineStr">
        <is>
          <t>23199:5061732</t>
        </is>
      </c>
      <c r="J198" s="13" t="inlineStr">
        <is>
          <t>15627:1267733; 15627:1840306; 15627:2346191; 15627:4368289</t>
        </is>
      </c>
    </row>
    <row r="199">
      <c r="A199" s="13" t="inlineStr">
        <is>
          <t>Olivia Clark</t>
        </is>
      </c>
      <c r="B199" s="13" t="inlineStr">
        <is>
          <t>H031</t>
        </is>
      </c>
      <c r="C199" s="13" t="inlineStr">
        <is>
          <t>Confirmed</t>
        </is>
      </c>
      <c r="D199" s="13" t="inlineStr">
        <is>
          <t>Street address or PO box</t>
        </is>
      </c>
      <c r="E199" s="15" t="inlineStr">
        <is>
          <t>Friends of Jeff Helfrich</t>
        </is>
      </c>
      <c r="F199" s="13" t="n">
        <v>2026</v>
      </c>
      <c r="G199" s="13" t="n">
        <v>250</v>
      </c>
      <c r="H199" s="15" t="inlineStr"/>
      <c r="I199" s="13" t="inlineStr">
        <is>
          <t>23199:5844271; 23199:4907904</t>
        </is>
      </c>
      <c r="J199" s="13" t="inlineStr">
        <is>
          <t>15984:1379009; 15984:5516614</t>
        </is>
      </c>
    </row>
    <row r="200">
      <c r="A200" s="13" t="inlineStr">
        <is>
          <t>Olivia Clark</t>
        </is>
      </c>
      <c r="B200" s="13" t="inlineStr">
        <is>
          <t>H033</t>
        </is>
      </c>
      <c r="C200" s="13" t="inlineStr">
        <is>
          <t>Likely</t>
        </is>
      </c>
      <c r="D200" s="13" t="inlineStr">
        <is>
          <t>Hand review</t>
        </is>
      </c>
      <c r="E200" s="15" t="inlineStr">
        <is>
          <t>Bruce Starr for State Senate Committee</t>
        </is>
      </c>
      <c r="F200" s="13" t="n">
        <v>2014</v>
      </c>
      <c r="G200" s="13" t="n">
        <v>250</v>
      </c>
      <c r="H200" s="15" t="inlineStr">
        <is>
          <t>A chain of other filings ties the candidate-gift address to the employer on the Republican gift. One gift, in 2014.</t>
        </is>
      </c>
      <c r="I200" s="13" t="inlineStr">
        <is>
          <t>23199:5844238</t>
        </is>
      </c>
      <c r="J200" s="13" t="inlineStr">
        <is>
          <t>2752:1797354</t>
        </is>
      </c>
    </row>
    <row r="201">
      <c r="A201" s="13" t="inlineStr">
        <is>
          <t>Olivia Clark</t>
        </is>
      </c>
      <c r="B201" s="13" t="inlineStr">
        <is>
          <t>H035</t>
        </is>
      </c>
      <c r="C201" s="13" t="inlineStr">
        <is>
          <t>Confirmed</t>
        </is>
      </c>
      <c r="D201" s="13" t="inlineStr">
        <is>
          <t>Street address or PO box</t>
        </is>
      </c>
      <c r="E201" s="15" t="inlineStr">
        <is>
          <t>Bruce Starr for State Senate Committee</t>
        </is>
      </c>
      <c r="F201" s="13" t="n">
        <v>2014</v>
      </c>
      <c r="G201" s="13" t="n">
        <v>250</v>
      </c>
      <c r="H201" s="15" t="inlineStr"/>
      <c r="I201" s="13" t="inlineStr">
        <is>
          <t>23199:5473723</t>
        </is>
      </c>
      <c r="J201" s="13" t="inlineStr">
        <is>
          <t>2752:1873970</t>
        </is>
      </c>
    </row>
    <row r="202">
      <c r="A202" s="13" t="inlineStr">
        <is>
          <t>Olivia Clark</t>
        </is>
      </c>
      <c r="B202" s="13" t="inlineStr">
        <is>
          <t>H038</t>
        </is>
      </c>
      <c r="C202" s="13" t="inlineStr">
        <is>
          <t>Confirmed</t>
        </is>
      </c>
      <c r="D202" s="13" t="inlineStr">
        <is>
          <t>Street address or PO box</t>
        </is>
      </c>
      <c r="E202" s="15" t="inlineStr">
        <is>
          <t>Bruce Starr for State Senate Committee</t>
        </is>
      </c>
      <c r="F202" s="13" t="n">
        <v>2014</v>
      </c>
      <c r="G202" s="13" t="n">
        <v>250</v>
      </c>
      <c r="H202" s="15" t="inlineStr"/>
      <c r="I202" s="13" t="inlineStr">
        <is>
          <t>23199:4778888</t>
        </is>
      </c>
      <c r="J202" s="13" t="inlineStr">
        <is>
          <t>2752:1909054</t>
        </is>
      </c>
    </row>
    <row r="203">
      <c r="A203" s="13" t="inlineStr">
        <is>
          <t>Olivia Clark</t>
        </is>
      </c>
      <c r="B203" s="13" t="inlineStr">
        <is>
          <t>H040</t>
        </is>
      </c>
      <c r="C203" s="13" t="inlineStr">
        <is>
          <t>Confirmed</t>
        </is>
      </c>
      <c r="D203" s="13" t="inlineStr">
        <is>
          <t>Street address or PO box</t>
        </is>
      </c>
      <c r="E203" s="15" t="inlineStr">
        <is>
          <t>Buehler For a United Oregon; Friends of Courtney Bangs</t>
        </is>
      </c>
      <c r="F203" s="13" t="n">
        <v>2020</v>
      </c>
      <c r="G203" s="13" t="n">
        <v>1000</v>
      </c>
      <c r="H203" s="15" t="inlineStr"/>
      <c r="I203" s="13" t="inlineStr">
        <is>
          <t>23199:5844270</t>
        </is>
      </c>
      <c r="J203" s="13" t="inlineStr">
        <is>
          <t>15192:2101867; 20246:3426791</t>
        </is>
      </c>
    </row>
    <row r="204">
      <c r="A204" s="13" t="inlineStr">
        <is>
          <t>Olivia Clark</t>
        </is>
      </c>
      <c r="B204" s="13" t="inlineStr">
        <is>
          <t>H045</t>
        </is>
      </c>
      <c r="C204" s="13" t="inlineStr">
        <is>
          <t>Likely</t>
        </is>
      </c>
      <c r="D204" s="13" t="inlineStr">
        <is>
          <t>Street address or PO box</t>
        </is>
      </c>
      <c r="E204" s="15" t="inlineStr">
        <is>
          <t>Bud Pierce for a Better Oregon</t>
        </is>
      </c>
      <c r="F204" s="13" t="n">
        <v>2016</v>
      </c>
      <c r="G204" s="13" t="n">
        <v>250</v>
      </c>
      <c r="H204" s="15" t="inlineStr">
        <is>
          <t>Same house number, street name and ZIP; the street suffix differs (Ct vs Dr). Another filing uses the candidate-gift address. Supporting filings (Tran Id): 4834978.</t>
        </is>
      </c>
      <c r="I204" s="13" t="inlineStr">
        <is>
          <t>23199:5685641; 23199:4712048</t>
        </is>
      </c>
      <c r="J204" s="13" t="inlineStr">
        <is>
          <t>17397:2311460</t>
        </is>
      </c>
    </row>
    <row r="205">
      <c r="A205" s="13" t="inlineStr">
        <is>
          <t>Olivia Clark</t>
        </is>
      </c>
      <c r="B205" s="13" t="inlineStr">
        <is>
          <t>H051</t>
        </is>
      </c>
      <c r="C205" s="13" t="inlineStr">
        <is>
          <t>Confirmed</t>
        </is>
      </c>
      <c r="D205" s="13" t="inlineStr">
        <is>
          <t>Street address or PO box</t>
        </is>
      </c>
      <c r="E205" s="15" t="inlineStr">
        <is>
          <t>Knute for Governor</t>
        </is>
      </c>
      <c r="F205" s="13" t="n">
        <v>2018</v>
      </c>
      <c r="G205" s="13" t="n">
        <v>1000</v>
      </c>
      <c r="H205" s="15" t="inlineStr"/>
      <c r="I205" s="13" t="inlineStr">
        <is>
          <t>23199:5844241</t>
        </is>
      </c>
      <c r="J205" s="13" t="inlineStr">
        <is>
          <t>15192:2598126; 15192:2631877; 15192:2732002; 15192:2965588</t>
        </is>
      </c>
    </row>
    <row r="206">
      <c r="A206" s="13" t="inlineStr">
        <is>
          <t>Olivia Clark</t>
        </is>
      </c>
      <c r="B206" s="13" t="inlineStr">
        <is>
          <t>H052</t>
        </is>
      </c>
      <c r="C206" s="13" t="inlineStr">
        <is>
          <t>Confirmed</t>
        </is>
      </c>
      <c r="D206" s="13" t="inlineStr">
        <is>
          <t>Street address or PO box</t>
        </is>
      </c>
      <c r="E206" s="15" t="inlineStr">
        <is>
          <t>Knute for Governor</t>
        </is>
      </c>
      <c r="F206" s="13" t="n">
        <v>2017</v>
      </c>
      <c r="G206" s="13" t="n">
        <v>250</v>
      </c>
      <c r="H206" s="15" t="inlineStr"/>
      <c r="I206" s="13" t="inlineStr">
        <is>
          <t>23199:5868475</t>
        </is>
      </c>
      <c r="J206" s="13" t="inlineStr">
        <is>
          <t>15192:2607747; 15192:2631507</t>
        </is>
      </c>
    </row>
    <row r="207">
      <c r="A207" s="13" t="inlineStr">
        <is>
          <t>Olivia Clark</t>
        </is>
      </c>
      <c r="B207" s="13" t="inlineStr">
        <is>
          <t>H055</t>
        </is>
      </c>
      <c r="C207" s="13" t="inlineStr">
        <is>
          <t>Confirmed</t>
        </is>
      </c>
      <c r="D207" s="13" t="inlineStr">
        <is>
          <t>Street address or PO box</t>
        </is>
      </c>
      <c r="E207" s="15" t="inlineStr">
        <is>
          <t>Knute for Governor</t>
        </is>
      </c>
      <c r="F207" s="13" t="n">
        <v>2018</v>
      </c>
      <c r="G207" s="13" t="n">
        <v>12000</v>
      </c>
      <c r="H207" s="15" t="inlineStr"/>
      <c r="I207" s="13" t="inlineStr">
        <is>
          <t>23199:5375098; 23199:5005001</t>
        </is>
      </c>
      <c r="J207" s="13" t="inlineStr">
        <is>
          <t>15192:2670230; 15192:2804186; 15192:2880177</t>
        </is>
      </c>
    </row>
    <row r="208">
      <c r="A208" s="13" t="inlineStr">
        <is>
          <t>Olivia Clark</t>
        </is>
      </c>
      <c r="B208" s="13" t="inlineStr">
        <is>
          <t>H064</t>
        </is>
      </c>
      <c r="C208" s="13" t="inlineStr">
        <is>
          <t>Confirmed</t>
        </is>
      </c>
      <c r="D208" s="13" t="inlineStr">
        <is>
          <t>Street address or PO box</t>
        </is>
      </c>
      <c r="E208" s="15" t="inlineStr">
        <is>
          <t>Knute for Governor</t>
        </is>
      </c>
      <c r="F208" s="13" t="n">
        <v>2018</v>
      </c>
      <c r="G208" s="13" t="n">
        <v>2000</v>
      </c>
      <c r="H208" s="15" t="inlineStr"/>
      <c r="I208" s="13" t="inlineStr">
        <is>
          <t>23199:5397308</t>
        </is>
      </c>
      <c r="J208" s="13" t="inlineStr">
        <is>
          <t>15192:2843482; 15192:3050136</t>
        </is>
      </c>
    </row>
    <row r="209">
      <c r="A209" s="13" t="inlineStr">
        <is>
          <t>Olivia Clark</t>
        </is>
      </c>
      <c r="B209" s="13" t="inlineStr">
        <is>
          <t>H067</t>
        </is>
      </c>
      <c r="C209" s="13" t="inlineStr">
        <is>
          <t>Confirmed</t>
        </is>
      </c>
      <c r="D209" s="13" t="inlineStr">
        <is>
          <t>Street address or PO box</t>
        </is>
      </c>
      <c r="E209" s="15" t="inlineStr">
        <is>
          <t>Knute for Governor</t>
        </is>
      </c>
      <c r="F209" s="13" t="n">
        <v>2018</v>
      </c>
      <c r="G209" s="13" t="n">
        <v>2000</v>
      </c>
      <c r="H209" s="15" t="inlineStr"/>
      <c r="I209" s="13" t="inlineStr">
        <is>
          <t>23199:5844288</t>
        </is>
      </c>
      <c r="J209" s="13" t="inlineStr">
        <is>
          <t>15192:2923951; 15192:2987847</t>
        </is>
      </c>
    </row>
    <row r="210">
      <c r="A210" s="13" t="inlineStr">
        <is>
          <t>Olivia Clark</t>
        </is>
      </c>
      <c r="B210" s="13" t="inlineStr">
        <is>
          <t>H068</t>
        </is>
      </c>
      <c r="C210" s="13" t="inlineStr">
        <is>
          <t>Confirmed</t>
        </is>
      </c>
      <c r="D210" s="13" t="inlineStr">
        <is>
          <t>Street address or PO box</t>
        </is>
      </c>
      <c r="E210" s="15" t="inlineStr">
        <is>
          <t>Knute for Governor</t>
        </is>
      </c>
      <c r="F210" s="13" t="n">
        <v>2018</v>
      </c>
      <c r="G210" s="13" t="n">
        <v>250</v>
      </c>
      <c r="H210" s="15" t="inlineStr"/>
      <c r="I210" s="13" t="inlineStr">
        <is>
          <t>23199:5844264</t>
        </is>
      </c>
      <c r="J210" s="13" t="inlineStr">
        <is>
          <t>15192:2930610</t>
        </is>
      </c>
    </row>
    <row r="211">
      <c r="A211" s="13" t="inlineStr">
        <is>
          <t>Olivia Clark</t>
        </is>
      </c>
      <c r="B211" s="13" t="inlineStr">
        <is>
          <t>H069</t>
        </is>
      </c>
      <c r="C211" s="13" t="inlineStr">
        <is>
          <t>Confirmed</t>
        </is>
      </c>
      <c r="D211" s="13" t="inlineStr">
        <is>
          <t>ZIP + employer</t>
        </is>
      </c>
      <c r="E211" s="15" t="inlineStr">
        <is>
          <t>Friends of Christine Drazan; Friends of Jeff Helfrich; Knute for Governor</t>
        </is>
      </c>
      <c r="F211" s="13" t="n">
        <v>2024</v>
      </c>
      <c r="G211" s="13" t="n">
        <v>4000</v>
      </c>
      <c r="H211" s="15" t="inlineStr"/>
      <c r="I211" s="13" t="inlineStr">
        <is>
          <t>23199:5850415</t>
        </is>
      </c>
      <c r="J211" s="13" t="inlineStr">
        <is>
          <t>15192:2937348; 15192:3043200; 19050:4374820; 15984:4938828</t>
        </is>
      </c>
    </row>
    <row r="212">
      <c r="A212" s="13" t="inlineStr">
        <is>
          <t>Olivia Clark</t>
        </is>
      </c>
      <c r="B212" s="13" t="inlineStr">
        <is>
          <t>H070</t>
        </is>
      </c>
      <c r="C212" s="13" t="inlineStr">
        <is>
          <t>Confirmed</t>
        </is>
      </c>
      <c r="D212" s="13" t="inlineStr">
        <is>
          <t>Street address or PO box</t>
        </is>
      </c>
      <c r="E212" s="15" t="inlineStr">
        <is>
          <t>Friends of Christine Drazan; Knute for Governor</t>
        </is>
      </c>
      <c r="F212" s="13" t="n">
        <v>2024</v>
      </c>
      <c r="G212" s="13" t="n">
        <v>4000</v>
      </c>
      <c r="H212" s="15" t="inlineStr"/>
      <c r="I212" s="13" t="inlineStr">
        <is>
          <t>23199:5098690</t>
        </is>
      </c>
      <c r="J212" s="13" t="inlineStr">
        <is>
          <t>15192:2958365; 19050:4309117; 19050:4877571</t>
        </is>
      </c>
    </row>
    <row r="213">
      <c r="A213" s="13" t="inlineStr">
        <is>
          <t>Olivia Clark</t>
        </is>
      </c>
      <c r="B213" s="13" t="inlineStr">
        <is>
          <t>H073</t>
        </is>
      </c>
      <c r="C213" s="13" t="inlineStr">
        <is>
          <t>Confirmed</t>
        </is>
      </c>
      <c r="D213" s="13" t="inlineStr">
        <is>
          <t>Street address or PO box</t>
        </is>
      </c>
      <c r="E213" s="15" t="inlineStr">
        <is>
          <t>Knute for Governor</t>
        </is>
      </c>
      <c r="F213" s="13" t="n">
        <v>2018</v>
      </c>
      <c r="G213" s="13" t="n">
        <v>500</v>
      </c>
      <c r="H213" s="15" t="inlineStr"/>
      <c r="I213" s="13" t="inlineStr">
        <is>
          <t>23199:4966473</t>
        </is>
      </c>
      <c r="J213" s="13" t="inlineStr">
        <is>
          <t>15192:2969341</t>
        </is>
      </c>
    </row>
    <row r="214">
      <c r="A214" s="13" t="inlineStr">
        <is>
          <t>Olivia Clark</t>
        </is>
      </c>
      <c r="B214" s="13" t="inlineStr">
        <is>
          <t>H075</t>
        </is>
      </c>
      <c r="C214" s="13" t="inlineStr">
        <is>
          <t>Confirmed</t>
        </is>
      </c>
      <c r="D214" s="13" t="inlineStr">
        <is>
          <t>Street address or PO box</t>
        </is>
      </c>
      <c r="E214" s="15" t="inlineStr">
        <is>
          <t>Knute for Governor</t>
        </is>
      </c>
      <c r="F214" s="13" t="n">
        <v>2018</v>
      </c>
      <c r="G214" s="13" t="n">
        <v>2000</v>
      </c>
      <c r="H214" s="15" t="inlineStr"/>
      <c r="I214" s="13" t="inlineStr">
        <is>
          <t>23199:5844219</t>
        </is>
      </c>
      <c r="J214" s="13" t="inlineStr">
        <is>
          <t>15192:2982931; 15192:3054852; 15192:3069502</t>
        </is>
      </c>
    </row>
    <row r="215">
      <c r="A215" s="13" t="inlineStr">
        <is>
          <t>Olivia Clark</t>
        </is>
      </c>
      <c r="B215" s="13" t="inlineStr">
        <is>
          <t>H076</t>
        </is>
      </c>
      <c r="C215" s="13" t="inlineStr">
        <is>
          <t>Likely</t>
        </is>
      </c>
      <c r="D215" s="13" t="inlineStr">
        <is>
          <t>Hand review</t>
        </is>
      </c>
      <c r="E215" s="15" t="inlineStr">
        <is>
          <t>Knute for Governor</t>
        </is>
      </c>
      <c r="F215" s="13" t="n">
        <v>2018</v>
      </c>
      <c r="G215" s="13" t="n">
        <v>1000</v>
      </c>
      <c r="H215" s="15" t="inlineStr">
        <is>
          <t>The two gifts list the same firm under two versions of its name, one from a home address and one from the office. Other filings tie both addresses to that firm.</t>
        </is>
      </c>
      <c r="I215" s="13" t="inlineStr">
        <is>
          <t>23199:5868467</t>
        </is>
      </c>
      <c r="J215" s="13" t="inlineStr">
        <is>
          <t>15192:2977979</t>
        </is>
      </c>
    </row>
    <row r="216">
      <c r="A216" s="13" t="inlineStr">
        <is>
          <t>Olivia Clark</t>
        </is>
      </c>
      <c r="B216" s="13" t="inlineStr">
        <is>
          <t>H081</t>
        </is>
      </c>
      <c r="C216" s="13" t="inlineStr">
        <is>
          <t>Confirmed</t>
        </is>
      </c>
      <c r="D216" s="13" t="inlineStr">
        <is>
          <t>Street address or PO box</t>
        </is>
      </c>
      <c r="E216" s="15" t="inlineStr">
        <is>
          <t>Knute for Governor</t>
        </is>
      </c>
      <c r="F216" s="13" t="n">
        <v>2018</v>
      </c>
      <c r="G216" s="13" t="n">
        <v>25000</v>
      </c>
      <c r="H216" s="15" t="inlineStr"/>
      <c r="I216" s="13" t="inlineStr">
        <is>
          <t>23199:5868498</t>
        </is>
      </c>
      <c r="J216" s="13" t="inlineStr">
        <is>
          <t>15192:3043250</t>
        </is>
      </c>
    </row>
    <row r="217">
      <c r="A217" s="13" t="inlineStr">
        <is>
          <t>Olivia Clark</t>
        </is>
      </c>
      <c r="B217" s="13" t="inlineStr">
        <is>
          <t>H082</t>
        </is>
      </c>
      <c r="C217" s="13" t="inlineStr">
        <is>
          <t>Confirmed</t>
        </is>
      </c>
      <c r="D217" s="13" t="inlineStr">
        <is>
          <t>Street address or PO box</t>
        </is>
      </c>
      <c r="E217" s="15" t="inlineStr">
        <is>
          <t>Knute for Governor</t>
        </is>
      </c>
      <c r="F217" s="13" t="n">
        <v>2018</v>
      </c>
      <c r="G217" s="13" t="n">
        <v>3000</v>
      </c>
      <c r="H217" s="15" t="inlineStr"/>
      <c r="I217" s="13" t="inlineStr">
        <is>
          <t>23199:5005047</t>
        </is>
      </c>
      <c r="J217" s="13" t="inlineStr">
        <is>
          <t>15192:3053040</t>
        </is>
      </c>
    </row>
    <row r="218">
      <c r="A218" s="13" t="inlineStr">
        <is>
          <t>Olivia Clark</t>
        </is>
      </c>
      <c r="B218" s="13" t="inlineStr">
        <is>
          <t>H087</t>
        </is>
      </c>
      <c r="C218" s="13" t="inlineStr">
        <is>
          <t>Confirmed</t>
        </is>
      </c>
      <c r="D218" s="13" t="inlineStr">
        <is>
          <t>Street address or PO box</t>
        </is>
      </c>
      <c r="E218" s="15" t="inlineStr">
        <is>
          <t>Tim Knopp for State Senate</t>
        </is>
      </c>
      <c r="F218" s="13" t="n">
        <v>2020</v>
      </c>
      <c r="G218" s="13" t="n">
        <v>500</v>
      </c>
      <c r="H218" s="15" t="inlineStr"/>
      <c r="I218" s="13" t="inlineStr">
        <is>
          <t>23199:5850413; 23199:5047884</t>
        </is>
      </c>
      <c r="J218" s="13" t="inlineStr">
        <is>
          <t>15627:3604571</t>
        </is>
      </c>
    </row>
    <row r="219">
      <c r="A219" s="13" t="inlineStr">
        <is>
          <t>Olivia Clark</t>
        </is>
      </c>
      <c r="B219" s="13" t="inlineStr">
        <is>
          <t>H088</t>
        </is>
      </c>
      <c r="C219" s="13" t="inlineStr">
        <is>
          <t>Confirmed</t>
        </is>
      </c>
      <c r="D219" s="13" t="inlineStr">
        <is>
          <t>Street address or PO box</t>
        </is>
      </c>
      <c r="E219" s="15" t="inlineStr">
        <is>
          <t>Friends of Christine Drazan; Friends of Kim Thatcher</t>
        </is>
      </c>
      <c r="F219" s="13" t="n">
        <v>2026</v>
      </c>
      <c r="G219" s="13" t="n">
        <v>3000</v>
      </c>
      <c r="H219" s="15" t="inlineStr"/>
      <c r="I219" s="13" t="inlineStr">
        <is>
          <t>23199:5868499</t>
        </is>
      </c>
      <c r="J219" s="13" t="inlineStr">
        <is>
          <t>4871:3648909; 19050:5771117</t>
        </is>
      </c>
    </row>
    <row r="220">
      <c r="A220" s="13" t="inlineStr">
        <is>
          <t>Olivia Clark</t>
        </is>
      </c>
      <c r="B220" s="13" t="inlineStr">
        <is>
          <t>H092</t>
        </is>
      </c>
      <c r="C220" s="13" t="inlineStr">
        <is>
          <t>Confirmed</t>
        </is>
      </c>
      <c r="D220" s="13" t="inlineStr">
        <is>
          <t>ZIP + employer</t>
        </is>
      </c>
      <c r="E220" s="15" t="inlineStr">
        <is>
          <t>Friends of Christine Drazan</t>
        </is>
      </c>
      <c r="F220" s="13" t="n">
        <v>2026</v>
      </c>
      <c r="G220" s="13" t="n">
        <v>750</v>
      </c>
      <c r="H220" s="15" t="inlineStr"/>
      <c r="I220" s="13" t="inlineStr">
        <is>
          <t>23199:5850412</t>
        </is>
      </c>
      <c r="J220" s="13" t="inlineStr">
        <is>
          <t>19050:4331006; 19050:5755553</t>
        </is>
      </c>
    </row>
    <row r="221">
      <c r="A221" s="13" t="inlineStr">
        <is>
          <t>Olivia Clark</t>
        </is>
      </c>
      <c r="B221" s="13" t="inlineStr">
        <is>
          <t>H104</t>
        </is>
      </c>
      <c r="C221" s="13" t="inlineStr">
        <is>
          <t>Confirmed</t>
        </is>
      </c>
      <c r="D221" s="13" t="inlineStr">
        <is>
          <t>Street address or PO box</t>
        </is>
      </c>
      <c r="E221" s="15" t="inlineStr">
        <is>
          <t>Courtney Bangs PAC; Friends of Anna Scharf; Friends of Jeff Helfrich; Friends of Will Lathrop; Hicks for Senate</t>
        </is>
      </c>
      <c r="F221" s="13" t="n">
        <v>2026</v>
      </c>
      <c r="G221" s="13" t="n">
        <v>65000</v>
      </c>
      <c r="H221" s="15" t="inlineStr"/>
      <c r="I221" s="13" t="inlineStr">
        <is>
          <t>23199:5850411</t>
        </is>
      </c>
      <c r="J221" s="13" t="inlineStr">
        <is>
          <t>21896:5099537; 20246:5452339; 24485:5735739; 21575:5793914; 15984:5831641</t>
        </is>
      </c>
    </row>
    <row r="222">
      <c r="A222" s="13" t="inlineStr">
        <is>
          <t>Olivia Clark</t>
        </is>
      </c>
      <c r="B222" s="13" t="inlineStr">
        <is>
          <t>H116</t>
        </is>
      </c>
      <c r="C222" s="13" t="inlineStr">
        <is>
          <t>Confirmed</t>
        </is>
      </c>
      <c r="D222" s="13" t="inlineStr">
        <is>
          <t>Street address or PO box</t>
        </is>
      </c>
      <c r="E222" s="15" t="inlineStr">
        <is>
          <t>Friends of Christine Drazan</t>
        </is>
      </c>
      <c r="F222" s="13" t="n">
        <v>2026</v>
      </c>
      <c r="G222" s="13" t="n">
        <v>3000</v>
      </c>
      <c r="H222" s="15" t="inlineStr"/>
      <c r="I222" s="13" t="inlineStr">
        <is>
          <t>23199:5878457; 23199:5717899; 23199:4745090</t>
        </is>
      </c>
      <c r="J222" s="13" t="inlineStr">
        <is>
          <t>19050:5771118</t>
        </is>
      </c>
    </row>
    <row r="223">
      <c r="A223" s="13" t="inlineStr">
        <is>
          <t>Olivia Clark</t>
        </is>
      </c>
      <c r="B223" s="13" t="inlineStr">
        <is>
          <t>H117</t>
        </is>
      </c>
      <c r="C223" s="13" t="inlineStr">
        <is>
          <t>Confirmed</t>
        </is>
      </c>
      <c r="D223" s="13" t="inlineStr">
        <is>
          <t>Street address or PO box</t>
        </is>
      </c>
      <c r="E223" s="15" t="inlineStr">
        <is>
          <t>Friends of Christine Drazan</t>
        </is>
      </c>
      <c r="F223" s="13" t="n">
        <v>2026</v>
      </c>
      <c r="G223" s="13" t="n">
        <v>250</v>
      </c>
      <c r="H223" s="15" t="inlineStr"/>
      <c r="I223" s="13" t="inlineStr">
        <is>
          <t>23199:5844160</t>
        </is>
      </c>
      <c r="J223" s="13" t="inlineStr">
        <is>
          <t>19050:5780447</t>
        </is>
      </c>
    </row>
    <row r="224">
      <c r="A224" s="13" t="inlineStr">
        <is>
          <t>Olivia Clark</t>
        </is>
      </c>
      <c r="B224" s="13" t="inlineStr">
        <is>
          <t>H121</t>
        </is>
      </c>
      <c r="C224" s="13" t="inlineStr">
        <is>
          <t>Confirmed</t>
        </is>
      </c>
      <c r="D224" s="13" t="inlineStr">
        <is>
          <t>Street address or PO box</t>
        </is>
      </c>
      <c r="E224" s="15" t="inlineStr">
        <is>
          <t>Friends of Christine Drazan</t>
        </is>
      </c>
      <c r="F224" s="13" t="n">
        <v>2026</v>
      </c>
      <c r="G224" s="13" t="n">
        <v>250</v>
      </c>
      <c r="H224" s="15" t="inlineStr"/>
      <c r="I224" s="13" t="inlineStr">
        <is>
          <t>23199:5586577</t>
        </is>
      </c>
      <c r="J224" s="13" t="inlineStr">
        <is>
          <t>19050:5829381</t>
        </is>
      </c>
    </row>
    <row r="225">
      <c r="A225" s="13" t="inlineStr">
        <is>
          <t>Olivia Clark</t>
        </is>
      </c>
      <c r="B225" s="13" t="inlineStr">
        <is>
          <t>H124</t>
        </is>
      </c>
      <c r="C225" s="13" t="inlineStr">
        <is>
          <t>Confirmed</t>
        </is>
      </c>
      <c r="D225" s="13" t="inlineStr">
        <is>
          <t>Street address or PO box</t>
        </is>
      </c>
      <c r="E225" s="15" t="inlineStr">
        <is>
          <t>Friends of Christine Drazan</t>
        </is>
      </c>
      <c r="F225" s="13" t="n">
        <v>2026</v>
      </c>
      <c r="G225" s="13" t="n">
        <v>250</v>
      </c>
      <c r="H225" s="15" t="inlineStr"/>
      <c r="I225" s="13" t="inlineStr">
        <is>
          <t>23199:5868461</t>
        </is>
      </c>
      <c r="J225" s="13" t="inlineStr">
        <is>
          <t>19050:5861924</t>
        </is>
      </c>
    </row>
    <row r="226">
      <c r="A226" s="13" t="inlineStr">
        <is>
          <t>Steve Novick</t>
        </is>
      </c>
      <c r="B226" s="13" t="inlineStr">
        <is>
          <t>H001</t>
        </is>
      </c>
      <c r="C226" s="13" t="inlineStr">
        <is>
          <t>Confirmed</t>
        </is>
      </c>
      <c r="D226" s="13" t="inlineStr">
        <is>
          <t>Street address or PO box</t>
        </is>
      </c>
      <c r="E226" s="15" t="inlineStr">
        <is>
          <t>Friends of Allen Alley</t>
        </is>
      </c>
      <c r="F226" s="13" t="n">
        <v>2009</v>
      </c>
      <c r="G226" s="13" t="n">
        <v>3000</v>
      </c>
      <c r="H226" s="15" t="inlineStr"/>
      <c r="I226" s="13" t="inlineStr">
        <is>
          <t>15109:5022280</t>
        </is>
      </c>
      <c r="J226" s="13" t="inlineStr">
        <is>
          <t>12878:307941; 12878:554702</t>
        </is>
      </c>
    </row>
    <row r="227">
      <c r="A227" s="13" t="inlineStr">
        <is>
          <t>Steve Novick</t>
        </is>
      </c>
      <c r="B227" s="13" t="inlineStr">
        <is>
          <t>H008</t>
        </is>
      </c>
      <c r="C227" s="13" t="inlineStr">
        <is>
          <t>Likely</t>
        </is>
      </c>
      <c r="D227" s="13" t="inlineStr">
        <is>
          <t>Hand review</t>
        </is>
      </c>
      <c r="E227" s="15" t="inlineStr">
        <is>
          <t>Friends of Allen Alley</t>
        </is>
      </c>
      <c r="F227" s="13" t="n">
        <v>2008</v>
      </c>
      <c r="G227" s="13" t="n">
        <v>500</v>
      </c>
      <c r="H227" s="15" t="inlineStr">
        <is>
          <t>The two gifts list the same law firm under two versions of its name, one from a home address and one from the office. No single filing ties the two addresses.</t>
        </is>
      </c>
      <c r="I227" s="13" t="inlineStr">
        <is>
          <t>15109:5863396</t>
        </is>
      </c>
      <c r="J227" s="13" t="inlineStr">
        <is>
          <t>12878:467561</t>
        </is>
      </c>
    </row>
    <row r="228">
      <c r="A228" s="13" t="inlineStr">
        <is>
          <t>Steve Novick</t>
        </is>
      </c>
      <c r="B228" s="13" t="inlineStr">
        <is>
          <t>H016</t>
        </is>
      </c>
      <c r="C228" s="13" t="inlineStr">
        <is>
          <t>Confirmed</t>
        </is>
      </c>
      <c r="D228" s="13" t="inlineStr">
        <is>
          <t>Street address or PO box, ZIP + employer</t>
        </is>
      </c>
      <c r="E228" s="15" t="inlineStr">
        <is>
          <t>Friends of Chris Dudley; Knute for Governor</t>
        </is>
      </c>
      <c r="F228" s="13" t="n">
        <v>2018</v>
      </c>
      <c r="G228" s="13" t="n">
        <v>65000</v>
      </c>
      <c r="H228" s="15" t="inlineStr"/>
      <c r="I228" s="13" t="inlineStr">
        <is>
          <t>15109:5830453; 15109:5685046; 15109:4785325</t>
        </is>
      </c>
      <c r="J228" s="13" t="inlineStr">
        <is>
          <t>13998:775628; 13998:812221; 13998:817465; 13998:862917; 13998:936530; 15192:2620145; 15192:2620146; 15192:2889599; 15192:2894245; 15192:2948046; 15192:3003198; 15192:3009905</t>
        </is>
      </c>
    </row>
    <row r="229">
      <c r="A229" s="13" t="inlineStr">
        <is>
          <t>Steve Novick</t>
        </is>
      </c>
      <c r="B229" s="13" t="inlineStr">
        <is>
          <t>H019</t>
        </is>
      </c>
      <c r="C229" s="13" t="inlineStr">
        <is>
          <t>Likely</t>
        </is>
      </c>
      <c r="D229" s="13" t="inlineStr">
        <is>
          <t>Hand review</t>
        </is>
      </c>
      <c r="E229" s="15" t="inlineStr">
        <is>
          <t>Friends of Chris Dudley</t>
        </is>
      </c>
      <c r="F229" s="13" t="n">
        <v>2010</v>
      </c>
      <c r="G229" s="13" t="n">
        <v>1000</v>
      </c>
      <c r="H229" s="15" t="inlineStr">
        <is>
          <t>Another filing ties the Republican-gift address to the employer on the candidate gifts. Weakest link in the set: several relatives share that office.</t>
        </is>
      </c>
      <c r="I229" s="13" t="inlineStr">
        <is>
          <t>15109:5717509</t>
        </is>
      </c>
      <c r="J229" s="13" t="inlineStr">
        <is>
          <t>13998:890502</t>
        </is>
      </c>
    </row>
    <row r="230">
      <c r="A230" s="13" t="inlineStr">
        <is>
          <t>Steve Novick</t>
        </is>
      </c>
      <c r="B230" s="13" t="inlineStr">
        <is>
          <t>H020</t>
        </is>
      </c>
      <c r="C230" s="13" t="inlineStr">
        <is>
          <t>Likely</t>
        </is>
      </c>
      <c r="D230" s="13" t="inlineStr">
        <is>
          <t>Hand review</t>
        </is>
      </c>
      <c r="E230" s="15" t="inlineStr">
        <is>
          <t>Starr, Bruce, for State Senate Committee</t>
        </is>
      </c>
      <c r="F230" s="13" t="n">
        <v>2010</v>
      </c>
      <c r="G230" s="13" t="n">
        <v>250</v>
      </c>
      <c r="H230" s="15" t="inlineStr">
        <is>
          <t>Same street and ZIP with house numbers one digit apart, and the same distinctive employer under two names.</t>
        </is>
      </c>
      <c r="I230" s="13" t="inlineStr">
        <is>
          <t>15109:5717485</t>
        </is>
      </c>
      <c r="J230" s="13" t="inlineStr">
        <is>
          <t>2752:944216</t>
        </is>
      </c>
    </row>
    <row r="231">
      <c r="A231" s="13" t="inlineStr">
        <is>
          <t>Steve Novick</t>
        </is>
      </c>
      <c r="B231" s="13" t="inlineStr">
        <is>
          <t>H022</t>
        </is>
      </c>
      <c r="C231" s="13" t="inlineStr">
        <is>
          <t>Likely</t>
        </is>
      </c>
      <c r="D231" s="13" t="inlineStr">
        <is>
          <t>Hand review</t>
        </is>
      </c>
      <c r="E231" s="15" t="inlineStr">
        <is>
          <t>Friends of Will Lathrop</t>
        </is>
      </c>
      <c r="F231" s="13" t="n">
        <v>2024</v>
      </c>
      <c r="G231" s="13" t="n">
        <v>500</v>
      </c>
      <c r="H231" s="15" t="inlineStr">
        <is>
          <t>The candidate gift lists the employer at a home address; the Republican gift is from that employer's office. Other filings tie both addresses to the same person.</t>
        </is>
      </c>
      <c r="I231" s="13" t="inlineStr">
        <is>
          <t>15109:5685078</t>
        </is>
      </c>
      <c r="J231" s="13" t="inlineStr">
        <is>
          <t>21896:4770292</t>
        </is>
      </c>
    </row>
    <row r="232">
      <c r="A232" s="13" t="inlineStr">
        <is>
          <t>Steve Novick</t>
        </is>
      </c>
      <c r="B232" s="13" t="inlineStr">
        <is>
          <t>H024</t>
        </is>
      </c>
      <c r="C232" s="13" t="inlineStr">
        <is>
          <t>Confirmed</t>
        </is>
      </c>
      <c r="D232" s="13" t="inlineStr">
        <is>
          <t>Street address or PO box</t>
        </is>
      </c>
      <c r="E232" s="15" t="inlineStr">
        <is>
          <t>Buehler For a United Oregon; Knute Buehler for Secretary of State; Knute for Governor</t>
        </is>
      </c>
      <c r="F232" s="13" t="n">
        <v>2018</v>
      </c>
      <c r="G232" s="13" t="n">
        <v>7000</v>
      </c>
      <c r="H232" s="15" t="inlineStr"/>
      <c r="I232" s="13" t="inlineStr">
        <is>
          <t>15109:5732244</t>
        </is>
      </c>
      <c r="J232" s="13" t="inlineStr">
        <is>
          <t>15192:1223332; 15192:1639297; 15192:1845152; 15192:2599519; 15192:2814827; 15192:3043271</t>
        </is>
      </c>
    </row>
    <row r="233">
      <c r="A233" s="13" t="inlineStr">
        <is>
          <t>Steve Novick</t>
        </is>
      </c>
      <c r="B233" s="13" t="inlineStr">
        <is>
          <t>H026</t>
        </is>
      </c>
      <c r="C233" s="13" t="inlineStr">
        <is>
          <t>Confirmed</t>
        </is>
      </c>
      <c r="D233" s="13" t="inlineStr">
        <is>
          <t>Street address or PO box</t>
        </is>
      </c>
      <c r="E233" s="15" t="inlineStr">
        <is>
          <t>Citizens to Elect Dennis Richardson; Friends of Christine Drazan; Hicks for Senate; Knute for Governor</t>
        </is>
      </c>
      <c r="F233" s="13" t="n">
        <v>2025</v>
      </c>
      <c r="G233" s="13" t="n">
        <v>2000</v>
      </c>
      <c r="H233" s="15" t="inlineStr"/>
      <c r="I233" s="13" t="inlineStr">
        <is>
          <t>15109:5793246</t>
        </is>
      </c>
      <c r="J233" s="13" t="inlineStr">
        <is>
          <t>4155:2350441; 4155:2428898; 15192:2591021; 19050:3033736; 24485:5485678</t>
        </is>
      </c>
    </row>
    <row r="234">
      <c r="A234" s="13" t="inlineStr">
        <is>
          <t>Steve Novick</t>
        </is>
      </c>
      <c r="B234" s="13" t="inlineStr">
        <is>
          <t>H031</t>
        </is>
      </c>
      <c r="C234" s="13" t="inlineStr">
        <is>
          <t>Confirmed</t>
        </is>
      </c>
      <c r="D234" s="13" t="inlineStr">
        <is>
          <t>Street address or PO box</t>
        </is>
      </c>
      <c r="E234" s="15" t="inlineStr">
        <is>
          <t>Friends of Jeff Helfrich</t>
        </is>
      </c>
      <c r="F234" s="13" t="n">
        <v>2026</v>
      </c>
      <c r="G234" s="13" t="n">
        <v>250</v>
      </c>
      <c r="H234" s="15" t="inlineStr"/>
      <c r="I234" s="13" t="inlineStr">
        <is>
          <t>15109:5503410; 15109:5080567; 15109:4813722</t>
        </is>
      </c>
      <c r="J234" s="13" t="inlineStr">
        <is>
          <t>15984:1379009; 15984:5516614</t>
        </is>
      </c>
    </row>
    <row r="235">
      <c r="A235" s="13" t="inlineStr">
        <is>
          <t>Steve Novick</t>
        </is>
      </c>
      <c r="B235" s="13" t="inlineStr">
        <is>
          <t>H033</t>
        </is>
      </c>
      <c r="C235" s="13" t="inlineStr">
        <is>
          <t>Likely</t>
        </is>
      </c>
      <c r="D235" s="13" t="inlineStr">
        <is>
          <t>Hand review</t>
        </is>
      </c>
      <c r="E235" s="15" t="inlineStr">
        <is>
          <t>Bruce Starr for State Senate Committee</t>
        </is>
      </c>
      <c r="F235" s="13" t="n">
        <v>2014</v>
      </c>
      <c r="G235" s="13" t="n">
        <v>250</v>
      </c>
      <c r="H235" s="15" t="inlineStr">
        <is>
          <t>A chain of other filings ties the candidate-gift address to the employer on the Republican gift. One gift, in 2014.</t>
        </is>
      </c>
      <c r="I235" s="13" t="inlineStr">
        <is>
          <t>15109:5830354</t>
        </is>
      </c>
      <c r="J235" s="13" t="inlineStr">
        <is>
          <t>2752:1797354</t>
        </is>
      </c>
    </row>
    <row r="236">
      <c r="A236" s="13" t="inlineStr">
        <is>
          <t>Steve Novick</t>
        </is>
      </c>
      <c r="B236" s="13" t="inlineStr">
        <is>
          <t>H035</t>
        </is>
      </c>
      <c r="C236" s="13" t="inlineStr">
        <is>
          <t>Confirmed</t>
        </is>
      </c>
      <c r="D236" s="13" t="inlineStr">
        <is>
          <t>Street address or PO box</t>
        </is>
      </c>
      <c r="E236" s="15" t="inlineStr">
        <is>
          <t>Bruce Starr for State Senate Committee</t>
        </is>
      </c>
      <c r="F236" s="13" t="n">
        <v>2014</v>
      </c>
      <c r="G236" s="13" t="n">
        <v>250</v>
      </c>
      <c r="H236" s="15" t="inlineStr"/>
      <c r="I236" s="13" t="inlineStr">
        <is>
          <t>15109:5685083; 15109:4725902</t>
        </is>
      </c>
      <c r="J236" s="13" t="inlineStr">
        <is>
          <t>2752:1873970</t>
        </is>
      </c>
    </row>
    <row r="237">
      <c r="A237" s="13" t="inlineStr">
        <is>
          <t>Steve Novick</t>
        </is>
      </c>
      <c r="B237" s="13" t="inlineStr">
        <is>
          <t>H036</t>
        </is>
      </c>
      <c r="C237" s="13" t="inlineStr">
        <is>
          <t>Confirmed</t>
        </is>
      </c>
      <c r="D237" s="13" t="inlineStr">
        <is>
          <t>Street address or PO box</t>
        </is>
      </c>
      <c r="E237" s="15" t="inlineStr">
        <is>
          <t>Citizens to Elect Dennis Richardson</t>
        </is>
      </c>
      <c r="F237" s="13" t="n">
        <v>2014</v>
      </c>
      <c r="G237" s="13" t="n">
        <v>250</v>
      </c>
      <c r="H237" s="15" t="inlineStr"/>
      <c r="I237" s="13" t="inlineStr">
        <is>
          <t>15109:4865093</t>
        </is>
      </c>
      <c r="J237" s="13" t="inlineStr">
        <is>
          <t>4155:1868276</t>
        </is>
      </c>
    </row>
    <row r="238">
      <c r="A238" s="13" t="inlineStr">
        <is>
          <t>Steve Novick</t>
        </is>
      </c>
      <c r="B238" s="13" t="inlineStr">
        <is>
          <t>H039</t>
        </is>
      </c>
      <c r="C238" s="13" t="inlineStr">
        <is>
          <t>Confirmed</t>
        </is>
      </c>
      <c r="D238" s="13" t="inlineStr">
        <is>
          <t>Street address or PO box</t>
        </is>
      </c>
      <c r="E238" s="15" t="inlineStr">
        <is>
          <t>Buehler For a United Oregon; Knute for Governor</t>
        </is>
      </c>
      <c r="F238" s="13" t="n">
        <v>2017</v>
      </c>
      <c r="G238" s="13" t="n">
        <v>2000</v>
      </c>
      <c r="H238" s="15" t="inlineStr"/>
      <c r="I238" s="13" t="inlineStr">
        <is>
          <t>15109:5717564</t>
        </is>
      </c>
      <c r="J238" s="13" t="inlineStr">
        <is>
          <t>15192:2050275; 15192:2439372; 15192:2469224; 15192:2478470; 15192:2606110; 15192:2623651; 15192:2647182; 15192:2674053; 15192:2703283</t>
        </is>
      </c>
    </row>
    <row r="239">
      <c r="A239" s="13" t="inlineStr">
        <is>
          <t>Steve Novick</t>
        </is>
      </c>
      <c r="B239" s="13" t="inlineStr">
        <is>
          <t>H040</t>
        </is>
      </c>
      <c r="C239" s="13" t="inlineStr">
        <is>
          <t>Confirmed</t>
        </is>
      </c>
      <c r="D239" s="13" t="inlineStr">
        <is>
          <t>Street address or PO box</t>
        </is>
      </c>
      <c r="E239" s="15" t="inlineStr">
        <is>
          <t>Buehler For a United Oregon; Friends of Courtney Bangs</t>
        </is>
      </c>
      <c r="F239" s="13" t="n">
        <v>2020</v>
      </c>
      <c r="G239" s="13" t="n">
        <v>1000</v>
      </c>
      <c r="H239" s="15" t="inlineStr"/>
      <c r="I239" s="13" t="inlineStr">
        <is>
          <t>15109:5830477</t>
        </is>
      </c>
      <c r="J239" s="13" t="inlineStr">
        <is>
          <t>15192:2101867; 20246:3426791</t>
        </is>
      </c>
    </row>
    <row r="240">
      <c r="A240" s="13" t="inlineStr">
        <is>
          <t>Steve Novick</t>
        </is>
      </c>
      <c r="B240" s="13" t="inlineStr">
        <is>
          <t>H043</t>
        </is>
      </c>
      <c r="C240" s="13" t="inlineStr">
        <is>
          <t>Confirmed</t>
        </is>
      </c>
      <c r="D240" s="13" t="inlineStr">
        <is>
          <t>Street address or PO box</t>
        </is>
      </c>
      <c r="E240" s="15" t="inlineStr">
        <is>
          <t>Friends of Allen Alley; Friends of Will Lathrop</t>
        </is>
      </c>
      <c r="F240" s="13" t="n">
        <v>2024</v>
      </c>
      <c r="G240" s="13" t="n">
        <v>2000</v>
      </c>
      <c r="H240" s="15" t="inlineStr"/>
      <c r="I240" s="13" t="inlineStr">
        <is>
          <t>15109:5830533; 15109:5021873</t>
        </is>
      </c>
      <c r="J240" s="13" t="inlineStr">
        <is>
          <t>12878:2235669; 21896:5123848</t>
        </is>
      </c>
    </row>
    <row r="241">
      <c r="A241" s="13" t="inlineStr">
        <is>
          <t>Steve Novick</t>
        </is>
      </c>
      <c r="B241" s="13" t="inlineStr">
        <is>
          <t>H044</t>
        </is>
      </c>
      <c r="C241" s="13" t="inlineStr">
        <is>
          <t>Confirmed</t>
        </is>
      </c>
      <c r="D241" s="13" t="inlineStr">
        <is>
          <t>Street address or PO box</t>
        </is>
      </c>
      <c r="E241" s="15" t="inlineStr">
        <is>
          <t>Citizens to Elect Dennis Richardson; Knute for Governor</t>
        </is>
      </c>
      <c r="F241" s="13" t="n">
        <v>2018</v>
      </c>
      <c r="G241" s="13" t="n">
        <v>1000</v>
      </c>
      <c r="H241" s="15" t="inlineStr"/>
      <c r="I241" s="13" t="inlineStr">
        <is>
          <t>15109:5760170; 15109:5022052</t>
        </is>
      </c>
      <c r="J241" s="13" t="inlineStr">
        <is>
          <t>4155:2300689; 15192:2816873; 15192:2923654; 15192:2958374</t>
        </is>
      </c>
    </row>
    <row r="242">
      <c r="A242" s="13" t="inlineStr">
        <is>
          <t>Steve Novick</t>
        </is>
      </c>
      <c r="B242" s="13" t="inlineStr">
        <is>
          <t>H049</t>
        </is>
      </c>
      <c r="C242" s="13" t="inlineStr">
        <is>
          <t>Confirmed</t>
        </is>
      </c>
      <c r="D242" s="13" t="inlineStr">
        <is>
          <t>Street address or PO box</t>
        </is>
      </c>
      <c r="E242" s="15" t="inlineStr">
        <is>
          <t>Bud Pierce for a Better Oregon; Knute for Governor</t>
        </is>
      </c>
      <c r="F242" s="13" t="n">
        <v>2018</v>
      </c>
      <c r="G242" s="13" t="n">
        <v>3000</v>
      </c>
      <c r="H242" s="15" t="inlineStr"/>
      <c r="I242" s="13" t="inlineStr">
        <is>
          <t>15109:5845072</t>
        </is>
      </c>
      <c r="J242" s="13" t="inlineStr">
        <is>
          <t>17397:2428778; 15192:2598132; 15192:2897641; 15192:3061372</t>
        </is>
      </c>
    </row>
    <row r="243">
      <c r="A243" s="13" t="inlineStr">
        <is>
          <t>Steve Novick</t>
        </is>
      </c>
      <c r="B243" s="13" t="inlineStr">
        <is>
          <t>H055</t>
        </is>
      </c>
      <c r="C243" s="13" t="inlineStr">
        <is>
          <t>Confirmed</t>
        </is>
      </c>
      <c r="D243" s="13" t="inlineStr">
        <is>
          <t>Street address or PO box</t>
        </is>
      </c>
      <c r="E243" s="15" t="inlineStr">
        <is>
          <t>Knute for Governor</t>
        </is>
      </c>
      <c r="F243" s="13" t="n">
        <v>2018</v>
      </c>
      <c r="G243" s="13" t="n">
        <v>15000</v>
      </c>
      <c r="H243" s="15" t="inlineStr"/>
      <c r="I243" s="13" t="inlineStr">
        <is>
          <t>15109:5793318; 15109:4772833</t>
        </is>
      </c>
      <c r="J243" s="13" t="inlineStr">
        <is>
          <t>15192:2670230; 15192:2804186; 15192:2880177; 15192:3053028</t>
        </is>
      </c>
    </row>
    <row r="244">
      <c r="A244" s="13" t="inlineStr">
        <is>
          <t>Steve Novick</t>
        </is>
      </c>
      <c r="B244" s="13" t="inlineStr">
        <is>
          <t>H061</t>
        </is>
      </c>
      <c r="C244" s="13" t="inlineStr">
        <is>
          <t>Confirmed</t>
        </is>
      </c>
      <c r="D244" s="13" t="inlineStr">
        <is>
          <t>ZIP + employer</t>
        </is>
      </c>
      <c r="E244" s="15" t="inlineStr">
        <is>
          <t>Knute for Governor</t>
        </is>
      </c>
      <c r="F244" s="13" t="n">
        <v>2018</v>
      </c>
      <c r="G244" s="13" t="n">
        <v>1000</v>
      </c>
      <c r="H244" s="15" t="inlineStr"/>
      <c r="I244" s="13" t="inlineStr">
        <is>
          <t>15109:4813762</t>
        </is>
      </c>
      <c r="J244" s="13" t="inlineStr">
        <is>
          <t>15192:2804184</t>
        </is>
      </c>
    </row>
    <row r="245">
      <c r="A245" s="13" t="inlineStr">
        <is>
          <t>Steve Novick</t>
        </is>
      </c>
      <c r="B245" s="13" t="inlineStr">
        <is>
          <t>H074</t>
        </is>
      </c>
      <c r="C245" s="13" t="inlineStr">
        <is>
          <t>Confirmed</t>
        </is>
      </c>
      <c r="D245" s="13" t="inlineStr">
        <is>
          <t>Street address or PO box</t>
        </is>
      </c>
      <c r="E245" s="15" t="inlineStr">
        <is>
          <t>Friends of Christine Drazan</t>
        </is>
      </c>
      <c r="F245" s="13" t="n">
        <v>2018</v>
      </c>
      <c r="G245" s="13" t="n">
        <v>250</v>
      </c>
      <c r="H245" s="15" t="inlineStr"/>
      <c r="I245" s="13" t="inlineStr">
        <is>
          <t>15109:4725830</t>
        </is>
      </c>
      <c r="J245" s="13" t="inlineStr">
        <is>
          <t>19050:2971143</t>
        </is>
      </c>
    </row>
    <row r="246">
      <c r="A246" s="13" t="inlineStr">
        <is>
          <t>Steve Novick</t>
        </is>
      </c>
      <c r="B246" s="13" t="inlineStr">
        <is>
          <t>H076</t>
        </is>
      </c>
      <c r="C246" s="13" t="inlineStr">
        <is>
          <t>Likely</t>
        </is>
      </c>
      <c r="D246" s="13" t="inlineStr">
        <is>
          <t>Hand review</t>
        </is>
      </c>
      <c r="E246" s="15" t="inlineStr">
        <is>
          <t>Knute for Governor</t>
        </is>
      </c>
      <c r="F246" s="13" t="n">
        <v>2018</v>
      </c>
      <c r="G246" s="13" t="n">
        <v>1000</v>
      </c>
      <c r="H246" s="15" t="inlineStr">
        <is>
          <t>The two gifts list the same firm under two versions of its name, one from a home address and one from the office. Other filings tie both addresses to that firm.</t>
        </is>
      </c>
      <c r="I246" s="13" t="inlineStr">
        <is>
          <t>15109:5845070</t>
        </is>
      </c>
      <c r="J246" s="13" t="inlineStr">
        <is>
          <t>15192:2977979</t>
        </is>
      </c>
    </row>
    <row r="247">
      <c r="A247" s="13" t="inlineStr">
        <is>
          <t>Steve Novick</t>
        </is>
      </c>
      <c r="B247" s="13" t="inlineStr">
        <is>
          <t>H082</t>
        </is>
      </c>
      <c r="C247" s="13" t="inlineStr">
        <is>
          <t>Confirmed</t>
        </is>
      </c>
      <c r="D247" s="13" t="inlineStr">
        <is>
          <t>Street address or PO box</t>
        </is>
      </c>
      <c r="E247" s="15" t="inlineStr">
        <is>
          <t>Knute for Governor</t>
        </is>
      </c>
      <c r="F247" s="13" t="n">
        <v>2018</v>
      </c>
      <c r="G247" s="13" t="n">
        <v>3000</v>
      </c>
      <c r="H247" s="15" t="inlineStr"/>
      <c r="I247" s="13" t="inlineStr">
        <is>
          <t>15109:5022124</t>
        </is>
      </c>
      <c r="J247" s="13" t="inlineStr">
        <is>
          <t>15192:3053040</t>
        </is>
      </c>
    </row>
    <row r="248">
      <c r="A248" s="13" t="inlineStr">
        <is>
          <t>Steve Novick</t>
        </is>
      </c>
      <c r="B248" s="13" t="inlineStr">
        <is>
          <t>H085</t>
        </is>
      </c>
      <c r="C248" s="13" t="inlineStr">
        <is>
          <t>Confirmed</t>
        </is>
      </c>
      <c r="D248" s="13" t="inlineStr">
        <is>
          <t>Hand review</t>
        </is>
      </c>
      <c r="E248" s="15" t="inlineStr">
        <is>
          <t>Knute for Governor</t>
        </is>
      </c>
      <c r="F248" s="13" t="n">
        <v>2018</v>
      </c>
      <c r="G248" s="13" t="n">
        <v>5000</v>
      </c>
      <c r="H248" s="15" t="inlineStr">
        <is>
          <t>A 2022 Drazan gift comes from the same home address as the candidate gift. Federal (FEC) filings tie that home to the office address on the Republican gift. Supporting filings (Tran Id): 4358312.</t>
        </is>
      </c>
      <c r="I248" s="13" t="inlineStr">
        <is>
          <t>15109:5685080</t>
        </is>
      </c>
      <c r="J248" s="13" t="inlineStr">
        <is>
          <t>15192:3075371</t>
        </is>
      </c>
    </row>
    <row r="249">
      <c r="A249" s="13" t="inlineStr">
        <is>
          <t>Steve Novick</t>
        </is>
      </c>
      <c r="B249" s="13" t="inlineStr">
        <is>
          <t>H102</t>
        </is>
      </c>
      <c r="C249" s="13" t="inlineStr">
        <is>
          <t>Confirmed</t>
        </is>
      </c>
      <c r="D249" s="13" t="inlineStr">
        <is>
          <t>Street address or PO box, ZIP + employer</t>
        </is>
      </c>
      <c r="E249" s="15" t="inlineStr">
        <is>
          <t>Bring Balance to Salem PAC; Dudley for Oregon; Friends of Christine Drazan; Friends of Will Lathrop</t>
        </is>
      </c>
      <c r="F249" s="13" t="n">
        <v>2026</v>
      </c>
      <c r="G249" s="13" t="n">
        <v>19000</v>
      </c>
      <c r="H249" s="15" t="inlineStr"/>
      <c r="I249" s="13" t="inlineStr">
        <is>
          <t>15109:5889564</t>
        </is>
      </c>
      <c r="J249" s="13" t="inlineStr">
        <is>
          <t>21896:5031388; 21717:5116455; 24693:5600244; 19050:5780437</t>
        </is>
      </c>
    </row>
    <row r="250">
      <c r="A250" s="13" t="inlineStr">
        <is>
          <t>Steve Novick</t>
        </is>
      </c>
      <c r="B250" s="13" t="inlineStr">
        <is>
          <t>H103</t>
        </is>
      </c>
      <c r="C250" s="13" t="inlineStr">
        <is>
          <t>Confirmed</t>
        </is>
      </c>
      <c r="D250" s="13" t="inlineStr">
        <is>
          <t>Street address or PO box</t>
        </is>
      </c>
      <c r="E250" s="15" t="inlineStr">
        <is>
          <t>Bring Balance to Salem PAC; Friends of Will Lathrop</t>
        </is>
      </c>
      <c r="F250" s="13" t="n">
        <v>2024</v>
      </c>
      <c r="G250" s="13" t="n">
        <v>13000</v>
      </c>
      <c r="H250" s="15" t="inlineStr"/>
      <c r="I250" s="13" t="inlineStr">
        <is>
          <t>15109:5889571</t>
        </is>
      </c>
      <c r="J250" s="13" t="inlineStr">
        <is>
          <t>21896:5046603; 21717:5116453</t>
        </is>
      </c>
    </row>
  </sheetData>
  <mergeCells count="1">
    <mergeCell ref="A1:H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0.xml><?xml version="1.0" encoding="utf-8"?>
<worksheet xmlns="http://schemas.openxmlformats.org/spreadsheetml/2006/main">
  <sheetPr>
    <tabColor rgb="008A8F99"/>
    <outlinePr summaryBelow="1" summaryRight="1"/>
    <pageSetUpPr/>
  </sheetPr>
  <dimension ref="A1:I5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8" customWidth="1" min="3" max="3"/>
    <col width="22" customWidth="1" min="4" max="4"/>
    <col width="44" customWidth="1" min="5" max="5"/>
    <col width="10" customWidth="1" min="6" max="6"/>
    <col width="12" customWidth="1" min="7" max="7"/>
    <col width="30" customWidth="1" min="8" max="8"/>
    <col width="40" customWidth="1" min="9" max="9"/>
  </cols>
  <sheetData>
    <row r="1" ht="42" customHeight="1">
      <c r="A1" s="5" t="inlineStr">
        <is>
          <t>One row per donor per candidate with a Portland conservative match and no Republican match for that candidate. Household codes starting with H also gave to Republicans (for a different candidate's list), so they're counted in the 125, not again here.</t>
        </is>
      </c>
    </row>
    <row r="2">
      <c r="A2" s="11" t="inlineStr">
        <is>
          <t>← Back to Start here</t>
        </is>
      </c>
    </row>
    <row r="4" ht="34" customHeight="1">
      <c r="A4" s="12" t="inlineStr">
        <is>
          <t>Candidate</t>
        </is>
      </c>
      <c r="B4" s="12" t="inlineStr">
        <is>
          <t>Household</t>
        </is>
      </c>
      <c r="C4" s="12" t="inlineStr">
        <is>
          <t>Donor</t>
        </is>
      </c>
      <c r="D4" s="12" t="inlineStr">
        <is>
          <t>Match basis</t>
        </is>
      </c>
      <c r="E4" s="12" t="inlineStr">
        <is>
          <t>Portland conservative campaigns</t>
        </is>
      </c>
      <c r="F4" s="12" t="inlineStr">
        <is>
          <t>Latest gift (year)</t>
        </is>
      </c>
      <c r="G4" s="12" t="inlineStr">
        <is>
          <t>Gifts ($, rounded)</t>
        </is>
      </c>
      <c r="H4" s="12" t="inlineStr">
        <is>
          <t>Candidate gifts (Filer Id:Tran Id)</t>
        </is>
      </c>
      <c r="I4" s="12" t="inlineStr">
        <is>
          <t>Matched gifts (Filer Id:Tran Id)</t>
        </is>
      </c>
    </row>
    <row r="5">
      <c r="A5" s="13" t="inlineStr">
        <is>
          <t>Eli Arnold</t>
        </is>
      </c>
      <c r="B5" s="13" t="inlineStr">
        <is>
          <t>H101</t>
        </is>
      </c>
      <c r="C5" s="13" t="inlineStr">
        <is>
          <t>C214</t>
        </is>
      </c>
      <c r="D5" s="13" t="inlineStr">
        <is>
          <t>Street address or PO box</t>
        </is>
      </c>
      <c r="E5" s="15" t="inlineStr">
        <is>
          <t>Friends of Vadim</t>
        </is>
      </c>
      <c r="F5" s="13" t="n">
        <v>2021</v>
      </c>
      <c r="G5" s="13" t="n">
        <v>250</v>
      </c>
      <c r="H5" s="13" t="inlineStr">
        <is>
          <t>23295:5686443</t>
        </is>
      </c>
      <c r="I5" s="13" t="inlineStr">
        <is>
          <t>21632:3935244</t>
        </is>
      </c>
    </row>
    <row r="6">
      <c r="A6" s="13" t="inlineStr">
        <is>
          <t>Eli Arnold</t>
        </is>
      </c>
      <c r="B6" s="13" t="inlineStr">
        <is>
          <t>P001</t>
        </is>
      </c>
      <c r="C6" s="13" t="inlineStr">
        <is>
          <t>C218</t>
        </is>
      </c>
      <c r="D6" s="13" t="inlineStr">
        <is>
          <t>Street address or PO box</t>
        </is>
      </c>
      <c r="E6" s="15" t="inlineStr">
        <is>
          <t>Friends of Sam Adams; Friends of Vadim; Portland Accountability PAC; Rene For Portland; Rene for Portland</t>
        </is>
      </c>
      <c r="F6" s="13" t="n">
        <v>2024</v>
      </c>
      <c r="G6" s="13" t="n">
        <v>13000</v>
      </c>
      <c r="H6" s="13" t="inlineStr">
        <is>
          <t>23295:5459907</t>
        </is>
      </c>
      <c r="I6" s="13" t="inlineStr">
        <is>
          <t>21632:3942402; 21605:4312451; 22544:4329715; 21605:4446798; 22544:4577120; 21605:4740724; 21632:4778204; 20340:4797897</t>
        </is>
      </c>
    </row>
    <row r="7">
      <c r="A7" s="13" t="inlineStr">
        <is>
          <t>Eli Arnold</t>
        </is>
      </c>
      <c r="B7" s="13" t="inlineStr">
        <is>
          <t>P005</t>
        </is>
      </c>
      <c r="C7" s="13" t="inlineStr">
        <is>
          <t>C308</t>
        </is>
      </c>
      <c r="D7" s="13" t="inlineStr">
        <is>
          <t>Street address or PO box</t>
        </is>
      </c>
      <c r="E7" s="15" t="inlineStr">
        <is>
          <t>Vote Vasquez</t>
        </is>
      </c>
      <c r="F7" s="13" t="n">
        <v>2024</v>
      </c>
      <c r="G7" s="13" t="n">
        <v>500</v>
      </c>
      <c r="H7" s="13" t="inlineStr">
        <is>
          <t>23295:5704079</t>
        </is>
      </c>
      <c r="I7" s="13" t="inlineStr">
        <is>
          <t>23012:4908855</t>
        </is>
      </c>
    </row>
    <row r="8">
      <c r="A8" s="13" t="inlineStr">
        <is>
          <t>Eli Arnold</t>
        </is>
      </c>
      <c r="B8" s="13" t="inlineStr">
        <is>
          <t>P017</t>
        </is>
      </c>
      <c r="C8" s="13" t="inlineStr">
        <is>
          <t>C235</t>
        </is>
      </c>
      <c r="D8" s="13" t="inlineStr">
        <is>
          <t>Street address or PO box</t>
        </is>
      </c>
      <c r="E8" s="15" t="inlineStr">
        <is>
          <t>Friends of Vadim</t>
        </is>
      </c>
      <c r="F8" s="13" t="n">
        <v>2024</v>
      </c>
      <c r="G8" s="13" t="n">
        <v>1000</v>
      </c>
      <c r="H8" s="13" t="inlineStr">
        <is>
          <t>23295:5820906; 23295:4808144</t>
        </is>
      </c>
      <c r="I8" s="13" t="inlineStr">
        <is>
          <t>21632:4100105; 21632:4778167</t>
        </is>
      </c>
    </row>
    <row r="9">
      <c r="A9" s="13" t="inlineStr">
        <is>
          <t>Eli Arnold</t>
        </is>
      </c>
      <c r="B9" s="13" t="inlineStr">
        <is>
          <t>P023</t>
        </is>
      </c>
      <c r="C9" s="13" t="inlineStr">
        <is>
          <t>C084</t>
        </is>
      </c>
      <c r="D9" s="13" t="inlineStr">
        <is>
          <t>Street address or PO box</t>
        </is>
      </c>
      <c r="E9" s="15" t="inlineStr">
        <is>
          <t>Friends of Vadim; Rene For Portland; Rene for Portland</t>
        </is>
      </c>
      <c r="F9" s="13" t="n">
        <v>2024</v>
      </c>
      <c r="G9" s="13" t="n">
        <v>2000</v>
      </c>
      <c r="H9" s="13" t="inlineStr">
        <is>
          <t>23295:5459854</t>
        </is>
      </c>
      <c r="I9" s="13" t="inlineStr">
        <is>
          <t>21605:3976952; 21605:4179507; 21605:4446929; 21605:4748792; 21632:4778143; 21605:5078067</t>
        </is>
      </c>
    </row>
    <row r="10">
      <c r="A10" s="13" t="inlineStr">
        <is>
          <t>Eli Arnold</t>
        </is>
      </c>
      <c r="B10" s="13" t="inlineStr">
        <is>
          <t>P025</t>
        </is>
      </c>
      <c r="C10" s="13" t="inlineStr">
        <is>
          <t>C193</t>
        </is>
      </c>
      <c r="D10" s="13" t="inlineStr">
        <is>
          <t>Street address or PO box</t>
        </is>
      </c>
      <c r="E10" s="15" t="inlineStr">
        <is>
          <t>Friends of Sam Adams; Friends of Vadim; Rene For Portland</t>
        </is>
      </c>
      <c r="F10" s="13" t="n">
        <v>2024</v>
      </c>
      <c r="G10" s="13" t="n">
        <v>2000</v>
      </c>
      <c r="H10" s="13" t="inlineStr">
        <is>
          <t>23295:5786181</t>
        </is>
      </c>
      <c r="I10" s="13" t="inlineStr">
        <is>
          <t>21632:3881705; 21605:4222565; 21632:4899452; 21632:5050816; 20340:5054050</t>
        </is>
      </c>
    </row>
    <row r="11">
      <c r="A11" s="13" t="inlineStr">
        <is>
          <t>Eli Arnold</t>
        </is>
      </c>
      <c r="B11" s="13" t="inlineStr">
        <is>
          <t>P037</t>
        </is>
      </c>
      <c r="C11" s="13" t="inlineStr">
        <is>
          <t>C271</t>
        </is>
      </c>
      <c r="D11" s="13" t="inlineStr">
        <is>
          <t>Street address or PO box</t>
        </is>
      </c>
      <c r="E11" s="15" t="inlineStr">
        <is>
          <t>Portland Accountability PAC</t>
        </is>
      </c>
      <c r="F11" s="13" t="n">
        <v>2023</v>
      </c>
      <c r="G11" s="13" t="n">
        <v>15000</v>
      </c>
      <c r="H11" s="13" t="inlineStr">
        <is>
          <t>23295:5459905</t>
        </is>
      </c>
      <c r="I11" s="13" t="inlineStr">
        <is>
          <t>22544:4353399; 22544:4562711</t>
        </is>
      </c>
    </row>
    <row r="12">
      <c r="A12" s="13" t="inlineStr">
        <is>
          <t>Eli Arnold</t>
        </is>
      </c>
      <c r="B12" s="13" t="inlineStr">
        <is>
          <t>P051</t>
        </is>
      </c>
      <c r="C12" s="13" t="inlineStr">
        <is>
          <t>C227</t>
        </is>
      </c>
      <c r="D12" s="13" t="inlineStr">
        <is>
          <t>Street address or PO box</t>
        </is>
      </c>
      <c r="E12" s="15" t="inlineStr">
        <is>
          <t>Friends of Vadim; Rene For Portland</t>
        </is>
      </c>
      <c r="F12" s="13" t="n">
        <v>2022</v>
      </c>
      <c r="G12" s="13" t="n">
        <v>500</v>
      </c>
      <c r="H12" s="13" t="inlineStr">
        <is>
          <t>23295:5820976</t>
        </is>
      </c>
      <c r="I12" s="13" t="inlineStr">
        <is>
          <t>21632:4004678; 21605:4222777</t>
        </is>
      </c>
    </row>
    <row r="13">
      <c r="A13" s="13" t="inlineStr">
        <is>
          <t>Eli Arnold</t>
        </is>
      </c>
      <c r="B13" s="13" t="inlineStr">
        <is>
          <t>P053</t>
        </is>
      </c>
      <c r="C13" s="13" t="inlineStr">
        <is>
          <t>C196</t>
        </is>
      </c>
      <c r="D13" s="13" t="inlineStr">
        <is>
          <t>Street address or PO box</t>
        </is>
      </c>
      <c r="E13" s="15" t="inlineStr">
        <is>
          <t>Friends of Vadim</t>
        </is>
      </c>
      <c r="F13" s="13" t="n">
        <v>2024</v>
      </c>
      <c r="G13" s="13" t="n">
        <v>500</v>
      </c>
      <c r="H13" s="13" t="inlineStr">
        <is>
          <t>23295:5786133</t>
        </is>
      </c>
      <c r="I13" s="13" t="inlineStr">
        <is>
          <t>21632:3885689; 21632:4818967; 21632:5050799</t>
        </is>
      </c>
    </row>
    <row r="14">
      <c r="A14" s="13" t="inlineStr">
        <is>
          <t>Eli Arnold</t>
        </is>
      </c>
      <c r="B14" s="13" t="inlineStr">
        <is>
          <t>P057</t>
        </is>
      </c>
      <c r="C14" s="13" t="inlineStr">
        <is>
          <t>C130</t>
        </is>
      </c>
      <c r="D14" s="13" t="inlineStr">
        <is>
          <t>Street address or PO box</t>
        </is>
      </c>
      <c r="E14" s="15" t="inlineStr">
        <is>
          <t>Friends of Vadim; Rene For Portland; Rene for Portland; Vote Vasquez</t>
        </is>
      </c>
      <c r="F14" s="13" t="n">
        <v>2024</v>
      </c>
      <c r="G14" s="13" t="n">
        <v>1000</v>
      </c>
      <c r="H14" s="13" t="inlineStr">
        <is>
          <t>23295:4943166</t>
        </is>
      </c>
      <c r="I14" s="13" t="inlineStr">
        <is>
          <t>21605:4255307; 23012:4619200; 23012:4663848; 21605:4717511; 21632:4778128</t>
        </is>
      </c>
    </row>
    <row r="15">
      <c r="A15" s="13" t="inlineStr">
        <is>
          <t>Eli Arnold</t>
        </is>
      </c>
      <c r="B15" s="13" t="inlineStr">
        <is>
          <t>P066</t>
        </is>
      </c>
      <c r="C15" s="13" t="inlineStr">
        <is>
          <t>C148</t>
        </is>
      </c>
      <c r="D15" s="13" t="inlineStr">
        <is>
          <t>Street address or PO box</t>
        </is>
      </c>
      <c r="E15" s="15" t="inlineStr">
        <is>
          <t>Rene For Portland; Rene for Portland</t>
        </is>
      </c>
      <c r="F15" s="13" t="n">
        <v>2024</v>
      </c>
      <c r="G15" s="13" t="n">
        <v>750</v>
      </c>
      <c r="H15" s="13" t="inlineStr">
        <is>
          <t>23295:5786114; 23295:5505130; 23295:4993284</t>
        </is>
      </c>
      <c r="I15" s="13" t="inlineStr">
        <is>
          <t>21605:4328876; 21605:4446853; 21605:4824151</t>
        </is>
      </c>
    </row>
    <row r="16">
      <c r="A16" s="13" t="inlineStr">
        <is>
          <t>Eli Arnold</t>
        </is>
      </c>
      <c r="B16" s="13" t="inlineStr">
        <is>
          <t>P071</t>
        </is>
      </c>
      <c r="C16" s="13" t="inlineStr">
        <is>
          <t>C153</t>
        </is>
      </c>
      <c r="D16" s="13" t="inlineStr">
        <is>
          <t>Street address or PO box</t>
        </is>
      </c>
      <c r="E16" s="15" t="inlineStr">
        <is>
          <t>Rene For Portland</t>
        </is>
      </c>
      <c r="F16" s="13" t="n">
        <v>2022</v>
      </c>
      <c r="G16" s="13" t="n">
        <v>250</v>
      </c>
      <c r="H16" s="13" t="inlineStr">
        <is>
          <t>23295:5850165</t>
        </is>
      </c>
      <c r="I16" s="13" t="inlineStr">
        <is>
          <t>21605:4343924</t>
        </is>
      </c>
    </row>
    <row r="17">
      <c r="A17" s="13" t="inlineStr">
        <is>
          <t>Eli Arnold</t>
        </is>
      </c>
      <c r="B17" s="13" t="inlineStr">
        <is>
          <t>P073</t>
        </is>
      </c>
      <c r="C17" s="13" t="inlineStr">
        <is>
          <t>C104</t>
        </is>
      </c>
      <c r="D17" s="13" t="inlineStr">
        <is>
          <t>Street address or PO box</t>
        </is>
      </c>
      <c r="E17" s="15" t="inlineStr">
        <is>
          <t>Rene For Portland; Rene for Portland</t>
        </is>
      </c>
      <c r="F17" s="13" t="n">
        <v>2024</v>
      </c>
      <c r="G17" s="13" t="n">
        <v>1000</v>
      </c>
      <c r="H17" s="13" t="inlineStr">
        <is>
          <t>23295:5747112; 23295:5032646</t>
        </is>
      </c>
      <c r="I17" s="13" t="inlineStr">
        <is>
          <t>21605:4179343; 21605:4202418; 21605:4446854; 21605:4824136</t>
        </is>
      </c>
    </row>
    <row r="18">
      <c r="A18" s="13" t="inlineStr">
        <is>
          <t>Eli Arnold</t>
        </is>
      </c>
      <c r="B18" s="13" t="inlineStr">
        <is>
          <t>P088</t>
        </is>
      </c>
      <c r="C18" s="13" t="inlineStr">
        <is>
          <t>C207</t>
        </is>
      </c>
      <c r="D18" s="13" t="inlineStr">
        <is>
          <t>Street address or PO box</t>
        </is>
      </c>
      <c r="E18" s="15" t="inlineStr">
        <is>
          <t>Friends of Vadim</t>
        </is>
      </c>
      <c r="F18" s="13" t="n">
        <v>2021</v>
      </c>
      <c r="G18" s="13" t="n">
        <v>250</v>
      </c>
      <c r="H18" s="13" t="inlineStr">
        <is>
          <t>23295:5786117</t>
        </is>
      </c>
      <c r="I18" s="13" t="inlineStr">
        <is>
          <t>21632:3935163</t>
        </is>
      </c>
    </row>
    <row r="19">
      <c r="A19" s="13" t="inlineStr">
        <is>
          <t>Eli Arnold</t>
        </is>
      </c>
      <c r="B19" s="13" t="inlineStr">
        <is>
          <t>P089</t>
        </is>
      </c>
      <c r="C19" s="13" t="inlineStr">
        <is>
          <t>C266</t>
        </is>
      </c>
      <c r="D19" s="13" t="inlineStr">
        <is>
          <t>Street address or PO box</t>
        </is>
      </c>
      <c r="E19" s="15" t="inlineStr">
        <is>
          <t>Friends of Sam Adams; Friends of Vadim</t>
        </is>
      </c>
      <c r="F19" s="13" t="n">
        <v>2024</v>
      </c>
      <c r="G19" s="13" t="n">
        <v>500</v>
      </c>
      <c r="H19" s="13" t="inlineStr">
        <is>
          <t>23295:5686399; 23295:5686415</t>
        </is>
      </c>
      <c r="I19" s="13" t="inlineStr">
        <is>
          <t>21632:5012914; 20340:5029350</t>
        </is>
      </c>
    </row>
    <row r="20">
      <c r="A20" s="13" t="inlineStr">
        <is>
          <t>Eli Arnold</t>
        </is>
      </c>
      <c r="B20" s="13" t="inlineStr">
        <is>
          <t>P092</t>
        </is>
      </c>
      <c r="C20" s="13" t="inlineStr">
        <is>
          <t>C155</t>
        </is>
      </c>
      <c r="D20" s="13" t="inlineStr">
        <is>
          <t>Street address or PO box</t>
        </is>
      </c>
      <c r="E20" s="15" t="inlineStr">
        <is>
          <t>Friends of Sam Adams; Friends of Vadim; Portland Accountability PAC; Rene For Portland; Rene for Portland; Vote Vasquez</t>
        </is>
      </c>
      <c r="F20" s="13" t="n">
        <v>2024</v>
      </c>
      <c r="G20" s="13" t="n">
        <v>4000</v>
      </c>
      <c r="H20" s="13" t="inlineStr">
        <is>
          <t>23295:5459892</t>
        </is>
      </c>
      <c r="I20" s="13" t="inlineStr">
        <is>
          <t>21605:4348575; 22544:4376954; 21605:4446786; 21605:4740731; 23012:4743886; 23012:4825947; 20340:5017680; 21632:5068200</t>
        </is>
      </c>
    </row>
    <row r="21">
      <c r="A21" s="13" t="inlineStr">
        <is>
          <t>Eli Arnold</t>
        </is>
      </c>
      <c r="B21" s="13" t="inlineStr">
        <is>
          <t>P093</t>
        </is>
      </c>
      <c r="C21" s="13" t="inlineStr">
        <is>
          <t>C118</t>
        </is>
      </c>
      <c r="D21" s="13" t="inlineStr">
        <is>
          <t>Street address or PO box</t>
        </is>
      </c>
      <c r="E21" s="15" t="inlineStr">
        <is>
          <t>Rene For Portland; Rene for Portland; Vote Vasquez</t>
        </is>
      </c>
      <c r="F21" s="13" t="n">
        <v>2024</v>
      </c>
      <c r="G21" s="13" t="n">
        <v>750</v>
      </c>
      <c r="H21" s="13" t="inlineStr">
        <is>
          <t>23295:5865532</t>
        </is>
      </c>
      <c r="I21" s="13" t="inlineStr">
        <is>
          <t>21605:4235732; 21605:4751484; 23012:4861140</t>
        </is>
      </c>
    </row>
    <row r="22">
      <c r="A22" s="13" t="inlineStr">
        <is>
          <t>Eli Arnold</t>
        </is>
      </c>
      <c r="B22" s="13" t="inlineStr">
        <is>
          <t>P103</t>
        </is>
      </c>
      <c r="C22" s="13" t="inlineStr">
        <is>
          <t>C085</t>
        </is>
      </c>
      <c r="D22" s="13" t="inlineStr">
        <is>
          <t>Street address or PO box</t>
        </is>
      </c>
      <c r="E22" s="15" t="inlineStr">
        <is>
          <t>Friends of Vadim; Portland Accountability PAC; Rene For Portland; Vote Vasquez</t>
        </is>
      </c>
      <c r="F22" s="13" t="n">
        <v>2024</v>
      </c>
      <c r="G22" s="13" t="n">
        <v>3000</v>
      </c>
      <c r="H22" s="13" t="inlineStr">
        <is>
          <t>23295:5786202; 23295:5110742</t>
        </is>
      </c>
      <c r="I22" s="13" t="inlineStr">
        <is>
          <t>21605:3976956; 22544:4353383; 21605:4368545; 23012:4691280; 21632:4803645</t>
        </is>
      </c>
    </row>
    <row r="23">
      <c r="A23" s="13" t="inlineStr">
        <is>
          <t>Eli Arnold</t>
        </is>
      </c>
      <c r="B23" s="13" t="inlineStr">
        <is>
          <t>P106</t>
        </is>
      </c>
      <c r="C23" s="13" t="inlineStr">
        <is>
          <t>C252</t>
        </is>
      </c>
      <c r="D23" s="13" t="inlineStr">
        <is>
          <t>Street address or PO box</t>
        </is>
      </c>
      <c r="E23" s="15" t="inlineStr">
        <is>
          <t>Friends of Vadim</t>
        </is>
      </c>
      <c r="F23" s="13" t="n">
        <v>2024</v>
      </c>
      <c r="G23" s="13" t="n">
        <v>250</v>
      </c>
      <c r="H23" s="13" t="inlineStr">
        <is>
          <t>23295:5786203; 23295:5110743</t>
        </is>
      </c>
      <c r="I23" s="13" t="inlineStr">
        <is>
          <t>21632:4803646</t>
        </is>
      </c>
    </row>
    <row r="24">
      <c r="A24" s="13" t="inlineStr">
        <is>
          <t>Eli Arnold</t>
        </is>
      </c>
      <c r="B24" s="13" t="inlineStr">
        <is>
          <t>P107</t>
        </is>
      </c>
      <c r="C24" s="13" t="inlineStr">
        <is>
          <t>C228</t>
        </is>
      </c>
      <c r="D24" s="13" t="inlineStr">
        <is>
          <t>Street address or PO box</t>
        </is>
      </c>
      <c r="E24" s="15" t="inlineStr">
        <is>
          <t>Friends of Vadim</t>
        </is>
      </c>
      <c r="F24" s="13" t="n">
        <v>2022</v>
      </c>
      <c r="G24" s="13" t="n">
        <v>250</v>
      </c>
      <c r="H24" s="13" t="inlineStr">
        <is>
          <t>23295:5844753</t>
        </is>
      </c>
      <c r="I24" s="13" t="inlineStr">
        <is>
          <t>21632:4014593</t>
        </is>
      </c>
    </row>
    <row r="25">
      <c r="A25" s="13" t="inlineStr">
        <is>
          <t>Eli Arnold</t>
        </is>
      </c>
      <c r="B25" s="13" t="inlineStr">
        <is>
          <t>P113</t>
        </is>
      </c>
      <c r="C25" s="13" t="inlineStr">
        <is>
          <t>C137</t>
        </is>
      </c>
      <c r="D25" s="13" t="inlineStr">
        <is>
          <t>Street address or PO box</t>
        </is>
      </c>
      <c r="E25" s="15" t="inlineStr">
        <is>
          <t>Friends of Pam Treece; Rene For Portland</t>
        </is>
      </c>
      <c r="F25" s="13" t="n">
        <v>2026</v>
      </c>
      <c r="G25" s="13" t="n">
        <v>250</v>
      </c>
      <c r="H25" s="13" t="inlineStr">
        <is>
          <t>23295:5821258; 23295:5110745</t>
        </is>
      </c>
      <c r="I25" s="13" t="inlineStr">
        <is>
          <t>21605:4292527; 18397:5586463</t>
        </is>
      </c>
    </row>
    <row r="26">
      <c r="A26" s="13" t="inlineStr">
        <is>
          <t>Eli Arnold</t>
        </is>
      </c>
      <c r="B26" s="13" t="inlineStr">
        <is>
          <t>P115</t>
        </is>
      </c>
      <c r="C26" s="13" t="inlineStr">
        <is>
          <t>C267</t>
        </is>
      </c>
      <c r="D26" s="13" t="inlineStr">
        <is>
          <t>Street address or PO box</t>
        </is>
      </c>
      <c r="E26" s="15" t="inlineStr">
        <is>
          <t>Friends of Vadim</t>
        </is>
      </c>
      <c r="F26" s="13" t="n">
        <v>2024</v>
      </c>
      <c r="G26" s="13" t="n">
        <v>250</v>
      </c>
      <c r="H26" s="13" t="inlineStr">
        <is>
          <t>23295:5820894; 23295:5686441; 23295:5686406; 23295:5634489</t>
        </is>
      </c>
      <c r="I26" s="13" t="inlineStr">
        <is>
          <t>21632:5093155; 21632:5100902</t>
        </is>
      </c>
    </row>
    <row r="27">
      <c r="A27" s="13" t="inlineStr">
        <is>
          <t>Eli Arnold</t>
        </is>
      </c>
      <c r="B27" s="13" t="inlineStr">
        <is>
          <t>P118</t>
        </is>
      </c>
      <c r="C27" s="13" t="inlineStr">
        <is>
          <t>C256</t>
        </is>
      </c>
      <c r="D27" s="13" t="inlineStr">
        <is>
          <t>Street address or PO box</t>
        </is>
      </c>
      <c r="E27" s="15" t="inlineStr">
        <is>
          <t>Friends of Vadim</t>
        </is>
      </c>
      <c r="F27" s="13" t="n">
        <v>2024</v>
      </c>
      <c r="G27" s="13" t="n">
        <v>500</v>
      </c>
      <c r="H27" s="13" t="inlineStr">
        <is>
          <t>23295:5820981; 23295:5747080</t>
        </is>
      </c>
      <c r="I27" s="13" t="inlineStr">
        <is>
          <t>21632:4868075</t>
        </is>
      </c>
    </row>
    <row r="28">
      <c r="A28" s="13" t="inlineStr">
        <is>
          <t>Eli Arnold</t>
        </is>
      </c>
      <c r="B28" s="13" t="inlineStr">
        <is>
          <t>P118</t>
        </is>
      </c>
      <c r="C28" s="13" t="inlineStr">
        <is>
          <t>C295</t>
        </is>
      </c>
      <c r="D28" s="13" t="inlineStr">
        <is>
          <t>Street address or PO box</t>
        </is>
      </c>
      <c r="E28" s="15" t="inlineStr">
        <is>
          <t>Vote Vasquez</t>
        </is>
      </c>
      <c r="F28" s="13" t="n">
        <v>2024</v>
      </c>
      <c r="G28" s="13" t="n">
        <v>500</v>
      </c>
      <c r="H28" s="13" t="inlineStr">
        <is>
          <t>23295:5821208</t>
        </is>
      </c>
      <c r="I28" s="13" t="inlineStr">
        <is>
          <t>23012:4750800</t>
        </is>
      </c>
    </row>
    <row r="29">
      <c r="A29" s="13" t="inlineStr">
        <is>
          <t>Eli Arnold</t>
        </is>
      </c>
      <c r="B29" s="13" t="inlineStr">
        <is>
          <t>P119</t>
        </is>
      </c>
      <c r="C29" s="13" t="inlineStr">
        <is>
          <t>C248</t>
        </is>
      </c>
      <c r="D29" s="13" t="inlineStr">
        <is>
          <t>Street address or PO box</t>
        </is>
      </c>
      <c r="E29" s="15" t="inlineStr">
        <is>
          <t>Friends of Vadim</t>
        </is>
      </c>
      <c r="F29" s="13" t="n">
        <v>2024</v>
      </c>
      <c r="G29" s="13" t="n">
        <v>250</v>
      </c>
      <c r="H29" s="13" t="inlineStr">
        <is>
          <t>23295:5786137</t>
        </is>
      </c>
      <c r="I29" s="13" t="inlineStr">
        <is>
          <t>21632:4156276; 21632:4818977; 21632:5050819</t>
        </is>
      </c>
    </row>
    <row r="30">
      <c r="A30" s="13" t="inlineStr">
        <is>
          <t>Eli Arnold</t>
        </is>
      </c>
      <c r="B30" s="13" t="inlineStr">
        <is>
          <t>P121</t>
        </is>
      </c>
      <c r="C30" s="13" t="inlineStr">
        <is>
          <t>C154</t>
        </is>
      </c>
      <c r="D30" s="13" t="inlineStr">
        <is>
          <t>Street address or PO box</t>
        </is>
      </c>
      <c r="E30" s="15" t="inlineStr">
        <is>
          <t>Friends of Pam Treece; Friends of Vadim; Rene For Portland; Vote Vasquez</t>
        </is>
      </c>
      <c r="F30" s="13" t="n">
        <v>2026</v>
      </c>
      <c r="G30" s="13" t="n">
        <v>1000</v>
      </c>
      <c r="H30" s="13" t="inlineStr">
        <is>
          <t>23295:5844648</t>
        </is>
      </c>
      <c r="I30" s="13" t="inlineStr">
        <is>
          <t>21605:4348558; 23012:4638926; 21632:4913166; 18397:5537687</t>
        </is>
      </c>
    </row>
    <row r="31">
      <c r="A31" s="13" t="inlineStr">
        <is>
          <t>Eli Arnold</t>
        </is>
      </c>
      <c r="B31" s="13" t="inlineStr">
        <is>
          <t>P126</t>
        </is>
      </c>
      <c r="C31" s="13" t="inlineStr">
        <is>
          <t>C162</t>
        </is>
      </c>
      <c r="D31" s="13" t="inlineStr">
        <is>
          <t>Street address or PO box</t>
        </is>
      </c>
      <c r="E31" s="15" t="inlineStr">
        <is>
          <t>Rene For Portland</t>
        </is>
      </c>
      <c r="F31" s="13" t="n">
        <v>2022</v>
      </c>
      <c r="G31" s="13" t="n">
        <v>250</v>
      </c>
      <c r="H31" s="13" t="inlineStr">
        <is>
          <t>23295:5865531</t>
        </is>
      </c>
      <c r="I31" s="13" t="inlineStr">
        <is>
          <t>21605:4446856</t>
        </is>
      </c>
    </row>
    <row r="32">
      <c r="A32" s="13" t="inlineStr">
        <is>
          <t>Eli Arnold</t>
        </is>
      </c>
      <c r="B32" s="13" t="inlineStr">
        <is>
          <t>P138</t>
        </is>
      </c>
      <c r="C32" s="13" t="inlineStr">
        <is>
          <t>C075</t>
        </is>
      </c>
      <c r="D32" s="13" t="inlineStr">
        <is>
          <t>Street address or PO box</t>
        </is>
      </c>
      <c r="E32" s="15" t="inlineStr">
        <is>
          <t>Friends of Pam Treece; Rene For Portland; Rene for Portland</t>
        </is>
      </c>
      <c r="F32" s="13" t="n">
        <v>2026</v>
      </c>
      <c r="G32" s="13" t="n">
        <v>2000</v>
      </c>
      <c r="H32" s="13" t="inlineStr">
        <is>
          <t>23295:5747130; 23295:4967800</t>
        </is>
      </c>
      <c r="I32" s="13" t="inlineStr">
        <is>
          <t>21605:3891299; 21605:4368539; 21605:4717560; 18397:5803796</t>
        </is>
      </c>
    </row>
    <row r="33">
      <c r="A33" s="13" t="inlineStr">
        <is>
          <t>Eli Arnold</t>
        </is>
      </c>
      <c r="B33" s="13" t="inlineStr">
        <is>
          <t>P144</t>
        </is>
      </c>
      <c r="C33" s="13" t="inlineStr">
        <is>
          <t>C034</t>
        </is>
      </c>
      <c r="D33" s="13" t="inlineStr">
        <is>
          <t>Street address or PO box</t>
        </is>
      </c>
      <c r="E33" s="15" t="inlineStr">
        <is>
          <t>Friends of Sam Adams; Rene For Portland</t>
        </is>
      </c>
      <c r="F33" s="13" t="n">
        <v>2022</v>
      </c>
      <c r="G33" s="13" t="n">
        <v>750</v>
      </c>
      <c r="H33" s="13" t="inlineStr">
        <is>
          <t>23295:5686451</t>
        </is>
      </c>
      <c r="I33" s="13" t="inlineStr">
        <is>
          <t>20340:3375862; 21605:4079509; 21605:4355795</t>
        </is>
      </c>
    </row>
    <row r="34">
      <c r="A34" s="13" t="inlineStr">
        <is>
          <t>Eli Arnold</t>
        </is>
      </c>
      <c r="B34" s="13" t="inlineStr">
        <is>
          <t>P177</t>
        </is>
      </c>
      <c r="C34" s="13" t="inlineStr">
        <is>
          <t>C188</t>
        </is>
      </c>
      <c r="D34" s="13" t="inlineStr">
        <is>
          <t>Street address or PO box</t>
        </is>
      </c>
      <c r="E34" s="15" t="inlineStr">
        <is>
          <t>Friends of Sam Adams; Friends of Vadim; Vote Vasquez</t>
        </is>
      </c>
      <c r="F34" s="13" t="n">
        <v>2024</v>
      </c>
      <c r="G34" s="13" t="n">
        <v>2000</v>
      </c>
      <c r="H34" s="13" t="inlineStr">
        <is>
          <t>23295:5747111; 23295:4781168; 23295:4781167</t>
        </is>
      </c>
      <c r="I34" s="13" t="inlineStr">
        <is>
          <t>21632:3875251; 21632:4789417; 23012:4913252; 20340:4941245; 20340:5017656</t>
        </is>
      </c>
    </row>
    <row r="35">
      <c r="A35" s="13" t="inlineStr">
        <is>
          <t>Eli Arnold</t>
        </is>
      </c>
      <c r="B35" s="13" t="inlineStr">
        <is>
          <t>P177</t>
        </is>
      </c>
      <c r="C35" s="13" t="inlineStr">
        <is>
          <t>C201</t>
        </is>
      </c>
      <c r="D35" s="13" t="inlineStr">
        <is>
          <t>Street address or PO box</t>
        </is>
      </c>
      <c r="E35" s="15" t="inlineStr">
        <is>
          <t>Friends of Vadim</t>
        </is>
      </c>
      <c r="F35" s="13" t="n">
        <v>2021</v>
      </c>
      <c r="G35" s="13" t="n">
        <v>250</v>
      </c>
      <c r="H35" s="13" t="inlineStr">
        <is>
          <t>23295:5064934; 23295:4781173</t>
        </is>
      </c>
      <c r="I35" s="13" t="inlineStr">
        <is>
          <t>21632:3906345</t>
        </is>
      </c>
    </row>
    <row r="36">
      <c r="A36" s="13" t="inlineStr">
        <is>
          <t>Eli Arnold</t>
        </is>
      </c>
      <c r="B36" s="13" t="inlineStr">
        <is>
          <t>P188</t>
        </is>
      </c>
      <c r="C36" s="13" t="inlineStr">
        <is>
          <t>C262</t>
        </is>
      </c>
      <c r="D36" s="13" t="inlineStr">
        <is>
          <t>Street address or PO box</t>
        </is>
      </c>
      <c r="E36" s="15" t="inlineStr">
        <is>
          <t>Friends of Sam Adams; Friends of Vadim</t>
        </is>
      </c>
      <c r="F36" s="13" t="n">
        <v>2024</v>
      </c>
      <c r="G36" s="13" t="n">
        <v>1000</v>
      </c>
      <c r="H36" s="13" t="inlineStr">
        <is>
          <t>23295:5459901; 23295:5032642</t>
        </is>
      </c>
      <c r="I36" s="13" t="inlineStr">
        <is>
          <t>21632:4899443; 20340:5054032</t>
        </is>
      </c>
    </row>
    <row r="37">
      <c r="A37" s="13" t="inlineStr">
        <is>
          <t>Eli Arnold</t>
        </is>
      </c>
      <c r="B37" s="13" t="inlineStr">
        <is>
          <t>P188</t>
        </is>
      </c>
      <c r="C37" s="13" t="inlineStr">
        <is>
          <t>C263</t>
        </is>
      </c>
      <c r="D37" s="13" t="inlineStr">
        <is>
          <t>Street address or PO box</t>
        </is>
      </c>
      <c r="E37" s="15" t="inlineStr">
        <is>
          <t>Friends of Sam Adams; Friends of Vadim</t>
        </is>
      </c>
      <c r="F37" s="13" t="n">
        <v>2024</v>
      </c>
      <c r="G37" s="13" t="n">
        <v>1000</v>
      </c>
      <c r="H37" s="13" t="inlineStr">
        <is>
          <t>23295:5459900; 23295:5032654</t>
        </is>
      </c>
      <c r="I37" s="13" t="inlineStr">
        <is>
          <t>21632:4899444; 20340:5054031</t>
        </is>
      </c>
    </row>
    <row r="38">
      <c r="A38" s="13" t="inlineStr">
        <is>
          <t>Eli Arnold</t>
        </is>
      </c>
      <c r="B38" s="13" t="inlineStr">
        <is>
          <t>P201</t>
        </is>
      </c>
      <c r="C38" s="13" t="inlineStr">
        <is>
          <t>C157</t>
        </is>
      </c>
      <c r="D38" s="13" t="inlineStr">
        <is>
          <t>Street address or PO box</t>
        </is>
      </c>
      <c r="E38" s="15" t="inlineStr">
        <is>
          <t>Rene For Portland</t>
        </is>
      </c>
      <c r="F38" s="13" t="n">
        <v>2022</v>
      </c>
      <c r="G38" s="13" t="n">
        <v>250</v>
      </c>
      <c r="H38" s="13" t="inlineStr">
        <is>
          <t>23295:4926135</t>
        </is>
      </c>
      <c r="I38" s="13" t="inlineStr">
        <is>
          <t>21605:4394374</t>
        </is>
      </c>
    </row>
    <row r="39">
      <c r="A39" s="13" t="inlineStr">
        <is>
          <t>Eli Arnold</t>
        </is>
      </c>
      <c r="B39" s="13" t="inlineStr">
        <is>
          <t>P210</t>
        </is>
      </c>
      <c r="C39" s="13" t="inlineStr">
        <is>
          <t>C245</t>
        </is>
      </c>
      <c r="D39" s="13" t="inlineStr">
        <is>
          <t>Street address or PO box</t>
        </is>
      </c>
      <c r="E39" s="15" t="inlineStr">
        <is>
          <t>Friends of Vadim</t>
        </is>
      </c>
      <c r="F39" s="13" t="n">
        <v>2024</v>
      </c>
      <c r="G39" s="13" t="n">
        <v>500</v>
      </c>
      <c r="H39" s="13" t="inlineStr">
        <is>
          <t>23295:5786140</t>
        </is>
      </c>
      <c r="I39" s="13" t="inlineStr">
        <is>
          <t>21632:4149582; 21632:5117186</t>
        </is>
      </c>
    </row>
    <row r="40">
      <c r="A40" s="13" t="inlineStr">
        <is>
          <t>Eli Arnold</t>
        </is>
      </c>
      <c r="B40" s="13" t="inlineStr">
        <is>
          <t>P214</t>
        </is>
      </c>
      <c r="C40" s="13" t="inlineStr">
        <is>
          <t>C112</t>
        </is>
      </c>
      <c r="D40" s="13" t="inlineStr">
        <is>
          <t>Street address or PO box</t>
        </is>
      </c>
      <c r="E40" s="15" t="inlineStr">
        <is>
          <t>Friends of Sam Adams; Rene For Portland; Rene for Portland; Vote Vasquez</t>
        </is>
      </c>
      <c r="F40" s="13" t="n">
        <v>2024</v>
      </c>
      <c r="G40" s="13" t="n">
        <v>250</v>
      </c>
      <c r="H40" s="13" t="inlineStr">
        <is>
          <t>23295:5786143; 23295:5616500</t>
        </is>
      </c>
      <c r="I40" s="13" t="inlineStr">
        <is>
          <t>21605:4208144; 21605:4725585; 23012:4865244; 20340:4990642</t>
        </is>
      </c>
    </row>
    <row r="41">
      <c r="A41" s="13" t="inlineStr">
        <is>
          <t>Eli Arnold</t>
        </is>
      </c>
      <c r="B41" s="13" t="inlineStr">
        <is>
          <t>P215</t>
        </is>
      </c>
      <c r="C41" s="13" t="inlineStr">
        <is>
          <t>C217</t>
        </is>
      </c>
      <c r="D41" s="13" t="inlineStr">
        <is>
          <t>Street address or PO box</t>
        </is>
      </c>
      <c r="E41" s="15" t="inlineStr">
        <is>
          <t>Friends of Vadim; Rene For Portland; Rene for Portland</t>
        </is>
      </c>
      <c r="F41" s="13" t="n">
        <v>2024</v>
      </c>
      <c r="G41" s="13" t="n">
        <v>1000</v>
      </c>
      <c r="H41" s="13" t="inlineStr">
        <is>
          <t>23295:5674925</t>
        </is>
      </c>
      <c r="I41" s="13" t="inlineStr">
        <is>
          <t>21632:3935278; 21605:4328747; 21632:4868081; 21605:4936332</t>
        </is>
      </c>
    </row>
    <row r="42">
      <c r="A42" s="13" t="inlineStr">
        <is>
          <t>Eli Arnold</t>
        </is>
      </c>
      <c r="B42" s="13" t="inlineStr">
        <is>
          <t>P221</t>
        </is>
      </c>
      <c r="C42" s="13" t="inlineStr">
        <is>
          <t>C285</t>
        </is>
      </c>
      <c r="D42" s="13" t="inlineStr">
        <is>
          <t>Street address or PO box</t>
        </is>
      </c>
      <c r="E42" s="15" t="inlineStr">
        <is>
          <t>Rene for Portland; Vote Vasquez</t>
        </is>
      </c>
      <c r="F42" s="13" t="n">
        <v>2024</v>
      </c>
      <c r="G42" s="13" t="n">
        <v>1000</v>
      </c>
      <c r="H42" s="13" t="inlineStr">
        <is>
          <t>23295:5505098; 23295:4808128; 23295:4773523</t>
        </is>
      </c>
      <c r="I42" s="13" t="inlineStr">
        <is>
          <t>23012:4682715; 21605:4721976; 21605:4746862</t>
        </is>
      </c>
    </row>
    <row r="43">
      <c r="A43" s="13" t="inlineStr">
        <is>
          <t>Eli Arnold</t>
        </is>
      </c>
      <c r="B43" s="13" t="inlineStr">
        <is>
          <t>P222</t>
        </is>
      </c>
      <c r="C43" s="13" t="inlineStr">
        <is>
          <t>C177</t>
        </is>
      </c>
      <c r="D43" s="13" t="inlineStr">
        <is>
          <t>Street address or PO box</t>
        </is>
      </c>
      <c r="E43" s="15" t="inlineStr">
        <is>
          <t>Rene for Portland</t>
        </is>
      </c>
      <c r="F43" s="13" t="n">
        <v>2024</v>
      </c>
      <c r="G43" s="13" t="n">
        <v>250</v>
      </c>
      <c r="H43" s="13" t="inlineStr">
        <is>
          <t>23295:5459899; 23295:5032623; 23295:4773535</t>
        </is>
      </c>
      <c r="I43" s="13" t="inlineStr">
        <is>
          <t>21605:4748784</t>
        </is>
      </c>
    </row>
    <row r="44">
      <c r="A44" s="13" t="inlineStr">
        <is>
          <t>Eli Arnold</t>
        </is>
      </c>
      <c r="B44" s="13" t="inlineStr">
        <is>
          <t>P223</t>
        </is>
      </c>
      <c r="C44" s="13" t="inlineStr">
        <is>
          <t>C200</t>
        </is>
      </c>
      <c r="D44" s="13" t="inlineStr">
        <is>
          <t>Street address or PO box</t>
        </is>
      </c>
      <c r="E44" s="15" t="inlineStr">
        <is>
          <t>Friends of Vadim</t>
        </is>
      </c>
      <c r="F44" s="13" t="n">
        <v>2021</v>
      </c>
      <c r="G44" s="13" t="n">
        <v>250</v>
      </c>
      <c r="H44" s="13" t="inlineStr">
        <is>
          <t>23295:5820901; 23295:4781172</t>
        </is>
      </c>
      <c r="I44" s="13" t="inlineStr">
        <is>
          <t>21632:3906341</t>
        </is>
      </c>
    </row>
    <row r="45">
      <c r="A45" s="13" t="inlineStr">
        <is>
          <t>Eli Arnold</t>
        </is>
      </c>
      <c r="B45" s="13" t="inlineStr">
        <is>
          <t>P224</t>
        </is>
      </c>
      <c r="C45" s="13" t="inlineStr">
        <is>
          <t>C143</t>
        </is>
      </c>
      <c r="D45" s="13" t="inlineStr">
        <is>
          <t>Street address or PO box</t>
        </is>
      </c>
      <c r="E45" s="15" t="inlineStr">
        <is>
          <t>Friends of Vadim; Rene For Portland; Rene for Portland; Vote Vasquez</t>
        </is>
      </c>
      <c r="F45" s="13" t="n">
        <v>2024</v>
      </c>
      <c r="G45" s="13" t="n">
        <v>2000</v>
      </c>
      <c r="H45" s="13" t="inlineStr">
        <is>
          <t>23295:4929393; 23295:4929394; 23295:4808130</t>
        </is>
      </c>
      <c r="I45" s="13" t="inlineStr">
        <is>
          <t>21605:4316484; 21605:4722022; 21632:4778153; 23012:4913251</t>
        </is>
      </c>
    </row>
    <row r="46">
      <c r="A46" s="13" t="inlineStr">
        <is>
          <t>Eli Arnold</t>
        </is>
      </c>
      <c r="B46" s="13" t="inlineStr">
        <is>
          <t>P225</t>
        </is>
      </c>
      <c r="C46" s="13" t="inlineStr">
        <is>
          <t>C098</t>
        </is>
      </c>
      <c r="D46" s="13" t="inlineStr">
        <is>
          <t>Street address or PO box</t>
        </is>
      </c>
      <c r="E46" s="15" t="inlineStr">
        <is>
          <t>Rene For Portland; Rene for Portland</t>
        </is>
      </c>
      <c r="F46" s="13" t="n">
        <v>2024</v>
      </c>
      <c r="G46" s="13" t="n">
        <v>2000</v>
      </c>
      <c r="H46" s="13" t="inlineStr">
        <is>
          <t>23295:5820918; 23295:4838695; 23295:4838696</t>
        </is>
      </c>
      <c r="I46" s="13" t="inlineStr">
        <is>
          <t>21605:4130197; 21605:4179397; 21605:4446925; 21605:4722014; 21605:4824899; 21605:4982473</t>
        </is>
      </c>
    </row>
    <row r="47">
      <c r="A47" s="13" t="inlineStr">
        <is>
          <t>Eli Arnold</t>
        </is>
      </c>
      <c r="B47" s="13" t="inlineStr">
        <is>
          <t>P226</t>
        </is>
      </c>
      <c r="C47" s="13" t="inlineStr">
        <is>
          <t>C121</t>
        </is>
      </c>
      <c r="D47" s="13" t="inlineStr">
        <is>
          <t>Street address or PO box</t>
        </is>
      </c>
      <c r="E47" s="15" t="inlineStr">
        <is>
          <t>Friends of Vadim; Rene For Portland; Rene for Portland</t>
        </is>
      </c>
      <c r="F47" s="13" t="n">
        <v>2024</v>
      </c>
      <c r="G47" s="13" t="n">
        <v>500</v>
      </c>
      <c r="H47" s="13" t="inlineStr">
        <is>
          <t>23295:5064935; 23295:4888853</t>
        </is>
      </c>
      <c r="I47" s="13" t="inlineStr">
        <is>
          <t>21605:4247827; 21605:4725621; 21632:5107347</t>
        </is>
      </c>
    </row>
    <row r="48">
      <c r="A48" s="13" t="inlineStr">
        <is>
          <t>Eli Arnold</t>
        </is>
      </c>
      <c r="B48" s="13" t="inlineStr">
        <is>
          <t>P227</t>
        </is>
      </c>
      <c r="C48" s="13" t="inlineStr">
        <is>
          <t>C122</t>
        </is>
      </c>
      <c r="D48" s="13" t="inlineStr">
        <is>
          <t>Street address or PO box</t>
        </is>
      </c>
      <c r="E48" s="15" t="inlineStr">
        <is>
          <t>Rene For Portland</t>
        </is>
      </c>
      <c r="F48" s="13" t="n">
        <v>2022</v>
      </c>
      <c r="G48" s="13" t="n">
        <v>250</v>
      </c>
      <c r="H48" s="13" t="inlineStr">
        <is>
          <t>23295:5083350; 23295:4930237; 23295:4926095</t>
        </is>
      </c>
      <c r="I48" s="13" t="inlineStr">
        <is>
          <t>21605:4247831</t>
        </is>
      </c>
    </row>
    <row r="49">
      <c r="A49" s="13" t="inlineStr">
        <is>
          <t>Eli Arnold</t>
        </is>
      </c>
      <c r="B49" s="13" t="inlineStr">
        <is>
          <t>P228</t>
        </is>
      </c>
      <c r="C49" s="13" t="inlineStr">
        <is>
          <t>C178</t>
        </is>
      </c>
      <c r="D49" s="13" t="inlineStr">
        <is>
          <t>Street address or PO box</t>
        </is>
      </c>
      <c r="E49" s="15" t="inlineStr">
        <is>
          <t>Rene for Portland</t>
        </is>
      </c>
      <c r="F49" s="13" t="n">
        <v>2024</v>
      </c>
      <c r="G49" s="13" t="n">
        <v>500</v>
      </c>
      <c r="H49" s="13" t="inlineStr">
        <is>
          <t>23295:5820968; 23295:5786201; 23295:5616501; 23295:4943206</t>
        </is>
      </c>
      <c r="I49" s="13" t="inlineStr">
        <is>
          <t>21605:4748789; 21605:4934427; 21605:5102289</t>
        </is>
      </c>
    </row>
    <row r="50">
      <c r="A50" s="13" t="inlineStr">
        <is>
          <t>Eli Arnold</t>
        </is>
      </c>
      <c r="B50" s="13" t="inlineStr">
        <is>
          <t>P229</t>
        </is>
      </c>
      <c r="C50" s="13" t="inlineStr">
        <is>
          <t>C097</t>
        </is>
      </c>
      <c r="D50" s="13" t="inlineStr">
        <is>
          <t>Street address or PO box</t>
        </is>
      </c>
      <c r="E50" s="15" t="inlineStr">
        <is>
          <t>Rene For Portland; Rene for Portland</t>
        </is>
      </c>
      <c r="F50" s="13" t="n">
        <v>2023</v>
      </c>
      <c r="G50" s="13" t="n">
        <v>750</v>
      </c>
      <c r="H50" s="13" t="inlineStr">
        <is>
          <t>23295:4943231</t>
        </is>
      </c>
      <c r="I50" s="13" t="inlineStr">
        <is>
          <t>21605:4104272; 21605:4422376; 21605:4722024</t>
        </is>
      </c>
    </row>
    <row r="51">
      <c r="A51" s="13" t="inlineStr">
        <is>
          <t>Eli Arnold</t>
        </is>
      </c>
      <c r="B51" s="13" t="inlineStr">
        <is>
          <t>P230</t>
        </is>
      </c>
      <c r="C51" s="13" t="inlineStr">
        <is>
          <t>C086</t>
        </is>
      </c>
      <c r="D51" s="13" t="inlineStr">
        <is>
          <t>Street address or PO box</t>
        </is>
      </c>
      <c r="E51" s="15" t="inlineStr">
        <is>
          <t>Rene For Portland; Rene for Portland</t>
        </is>
      </c>
      <c r="F51" s="13" t="n">
        <v>2024</v>
      </c>
      <c r="G51" s="13" t="n">
        <v>250</v>
      </c>
      <c r="H51" s="13" t="inlineStr">
        <is>
          <t>23295:5104395; 23295:5050596; 23295:5032632; 23295:4967768</t>
        </is>
      </c>
      <c r="I51" s="13" t="inlineStr">
        <is>
          <t>21605:3997825; 21605:4104215; 21605:4226372; 21605:4923355; 21605:4934443</t>
        </is>
      </c>
    </row>
    <row r="52">
      <c r="A52" s="13" t="inlineStr">
        <is>
          <t>Eli Arnold</t>
        </is>
      </c>
      <c r="B52" s="13" t="inlineStr">
        <is>
          <t>P231</t>
        </is>
      </c>
      <c r="C52" s="13" t="inlineStr">
        <is>
          <t>C168</t>
        </is>
      </c>
      <c r="D52" s="13" t="inlineStr">
        <is>
          <t>Street address or PO box</t>
        </is>
      </c>
      <c r="E52" s="15" t="inlineStr">
        <is>
          <t>Rene for Portland; Vote Vasquez</t>
        </is>
      </c>
      <c r="F52" s="13" t="n">
        <v>2024</v>
      </c>
      <c r="G52" s="13" t="n">
        <v>1000</v>
      </c>
      <c r="H52" s="13" t="inlineStr">
        <is>
          <t>23295:5001139</t>
        </is>
      </c>
      <c r="I52" s="13" t="inlineStr">
        <is>
          <t>21605:4717422; 23012:4760158; 21605:4970515</t>
        </is>
      </c>
    </row>
    <row r="53">
      <c r="A53" s="13" t="inlineStr">
        <is>
          <t>Eli Arnold</t>
        </is>
      </c>
      <c r="B53" s="13" t="inlineStr">
        <is>
          <t>P232</t>
        </is>
      </c>
      <c r="C53" s="13" t="inlineStr">
        <is>
          <t>C136</t>
        </is>
      </c>
      <c r="D53" s="13" t="inlineStr">
        <is>
          <t>Street address or PO box</t>
        </is>
      </c>
      <c r="E53" s="15" t="inlineStr">
        <is>
          <t>Rene For Portland; Vote Vasquez</t>
        </is>
      </c>
      <c r="F53" s="13" t="n">
        <v>2023</v>
      </c>
      <c r="G53" s="13" t="n">
        <v>250</v>
      </c>
      <c r="H53" s="13" t="inlineStr">
        <is>
          <t>23295:5032630</t>
        </is>
      </c>
      <c r="I53" s="13" t="inlineStr">
        <is>
          <t>21605:4280342; 23012:4641499</t>
        </is>
      </c>
    </row>
    <row r="54">
      <c r="A54" s="13" t="inlineStr">
        <is>
          <t>Eli Arnold</t>
        </is>
      </c>
      <c r="B54" s="13" t="inlineStr">
        <is>
          <t>P233</t>
        </is>
      </c>
      <c r="C54" s="13" t="inlineStr">
        <is>
          <t>C046</t>
        </is>
      </c>
      <c r="D54" s="13" t="inlineStr">
        <is>
          <t>Street address or PO box</t>
        </is>
      </c>
      <c r="E54" s="15" t="inlineStr">
        <is>
          <t>Friends of Sam Adams</t>
        </is>
      </c>
      <c r="F54" s="13" t="n">
        <v>2020</v>
      </c>
      <c r="G54" s="13" t="n">
        <v>250</v>
      </c>
      <c r="H54" s="13" t="inlineStr">
        <is>
          <t>23295:5524774; 23295:5050588</t>
        </is>
      </c>
      <c r="I54" s="13" t="inlineStr">
        <is>
          <t>20340:3452612</t>
        </is>
      </c>
    </row>
    <row r="55">
      <c r="A55" s="13" t="inlineStr">
        <is>
          <t>Eli Arnold</t>
        </is>
      </c>
      <c r="B55" s="13" t="inlineStr">
        <is>
          <t>P234</t>
        </is>
      </c>
      <c r="C55" s="13" t="inlineStr">
        <is>
          <t>C187</t>
        </is>
      </c>
      <c r="D55" s="13" t="inlineStr">
        <is>
          <t>Street address or PO box</t>
        </is>
      </c>
      <c r="E55" s="15" t="inlineStr">
        <is>
          <t>Rene for Portland</t>
        </is>
      </c>
      <c r="F55" s="13" t="n">
        <v>2024</v>
      </c>
      <c r="G55" s="13" t="n">
        <v>250</v>
      </c>
      <c r="H55" s="13" t="inlineStr">
        <is>
          <t>23295:5820922; 23295:5820921; 23295:5098311</t>
        </is>
      </c>
      <c r="I55" s="13" t="inlineStr">
        <is>
          <t>21605:5103545</t>
        </is>
      </c>
    </row>
    <row r="56">
      <c r="A56" s="13" t="inlineStr">
        <is>
          <t>Eli Arnold</t>
        </is>
      </c>
      <c r="B56" s="13" t="inlineStr">
        <is>
          <t>P235</t>
        </is>
      </c>
      <c r="C56" s="13" t="inlineStr">
        <is>
          <t>C156</t>
        </is>
      </c>
      <c r="D56" s="13" t="inlineStr">
        <is>
          <t>Street address or PO box</t>
        </is>
      </c>
      <c r="E56" s="15" t="inlineStr">
        <is>
          <t>Rene For Portland</t>
        </is>
      </c>
      <c r="F56" s="13" t="n">
        <v>2022</v>
      </c>
      <c r="G56" s="13" t="n">
        <v>250</v>
      </c>
      <c r="H56" s="13" t="inlineStr">
        <is>
          <t>23295:5104397</t>
        </is>
      </c>
      <c r="I56" s="13" t="inlineStr">
        <is>
          <t>21605:4350787</t>
        </is>
      </c>
    </row>
    <row r="57">
      <c r="A57" s="13" t="inlineStr">
        <is>
          <t>Eli Arnold</t>
        </is>
      </c>
      <c r="B57" s="13" t="inlineStr">
        <is>
          <t>P236</t>
        </is>
      </c>
      <c r="C57" s="13" t="inlineStr">
        <is>
          <t>C247</t>
        </is>
      </c>
      <c r="D57" s="13" t="inlineStr">
        <is>
          <t>Street address or PO box</t>
        </is>
      </c>
      <c r="E57" s="15" t="inlineStr">
        <is>
          <t>Friends of Vadim; Rene For Portland; Rene for Portland; Vote Vasquez</t>
        </is>
      </c>
      <c r="F57" s="13" t="n">
        <v>2024</v>
      </c>
      <c r="G57" s="13" t="n">
        <v>2000</v>
      </c>
      <c r="H57" s="13" t="inlineStr">
        <is>
          <t>23295:5634490; 23295:5110744</t>
        </is>
      </c>
      <c r="I57" s="13" t="inlineStr">
        <is>
          <t>21632:4156267; 21605:4343889; 21632:4789414; 23012:4838505; 21605:4934438</t>
        </is>
      </c>
    </row>
    <row r="58">
      <c r="A58" s="13" t="inlineStr">
        <is>
          <t>Eli Arnold</t>
        </is>
      </c>
      <c r="B58" s="13" t="inlineStr">
        <is>
          <t>P237</t>
        </is>
      </c>
      <c r="C58" s="13" t="inlineStr">
        <is>
          <t>C120</t>
        </is>
      </c>
      <c r="D58" s="13" t="inlineStr">
        <is>
          <t>Street address or PO box</t>
        </is>
      </c>
      <c r="E58" s="15" t="inlineStr">
        <is>
          <t>Rene For Portland</t>
        </is>
      </c>
      <c r="F58" s="13" t="n">
        <v>2022</v>
      </c>
      <c r="G58" s="13" t="n">
        <v>250</v>
      </c>
      <c r="H58" s="13" t="inlineStr">
        <is>
          <t>23295:5122798</t>
        </is>
      </c>
      <c r="I58" s="13" t="inlineStr">
        <is>
          <t>21605:4240072; 21605:4310028; 21605:4322886; 21605:4348557</t>
        </is>
      </c>
    </row>
    <row r="59">
      <c r="A59" s="13" t="inlineStr">
        <is>
          <t>Eli Arnold</t>
        </is>
      </c>
      <c r="B59" s="13" t="inlineStr">
        <is>
          <t>P238</t>
        </is>
      </c>
      <c r="C59" s="13" t="inlineStr">
        <is>
          <t>C195</t>
        </is>
      </c>
      <c r="D59" s="13" t="inlineStr">
        <is>
          <t>Street address or PO box</t>
        </is>
      </c>
      <c r="E59" s="15" t="inlineStr">
        <is>
          <t>Friends of Vadim; Rene For Portland; Rene for Portland</t>
        </is>
      </c>
      <c r="F59" s="13" t="n">
        <v>2024</v>
      </c>
      <c r="G59" s="13" t="n">
        <v>1000</v>
      </c>
      <c r="H59" s="13" t="inlineStr">
        <is>
          <t>23295:5459888</t>
        </is>
      </c>
      <c r="I59" s="13" t="inlineStr">
        <is>
          <t>21632:3881713; 21605:4255308; 21605:4292322; 21605:5096124</t>
        </is>
      </c>
    </row>
    <row r="60">
      <c r="A60" s="13" t="inlineStr">
        <is>
          <t>Eli Arnold</t>
        </is>
      </c>
      <c r="B60" s="13" t="inlineStr">
        <is>
          <t>P239</t>
        </is>
      </c>
      <c r="C60" s="13" t="inlineStr">
        <is>
          <t>C229</t>
        </is>
      </c>
      <c r="D60" s="13" t="inlineStr">
        <is>
          <t>Street address or PO box</t>
        </is>
      </c>
      <c r="E60" s="15" t="inlineStr">
        <is>
          <t>Friends of Sam Adams; Friends of Vadim; Rene For Portland; Rene for Portland; Vote Vasquez</t>
        </is>
      </c>
      <c r="F60" s="13" t="n">
        <v>2024</v>
      </c>
      <c r="G60" s="13" t="n">
        <v>3000</v>
      </c>
      <c r="H60" s="13" t="inlineStr">
        <is>
          <t>23295:5505047</t>
        </is>
      </c>
      <c r="I60" s="13" t="inlineStr">
        <is>
          <t>21632:4014604; 21605:4016648; 21605:4247865; 23012:4580750; 21605:4790160; 21632:4803637; 23012:4865326; 20340:5017669</t>
        </is>
      </c>
    </row>
    <row r="61">
      <c r="A61" s="13" t="inlineStr">
        <is>
          <t>Eli Arnold</t>
        </is>
      </c>
      <c r="B61" s="13" t="inlineStr">
        <is>
          <t>P240</t>
        </is>
      </c>
      <c r="C61" s="13" t="inlineStr">
        <is>
          <t>C291</t>
        </is>
      </c>
      <c r="D61" s="13" t="inlineStr">
        <is>
          <t>Street address or PO box</t>
        </is>
      </c>
      <c r="E61" s="15" t="inlineStr">
        <is>
          <t>Friends of Vadim; Vote Vasquez</t>
        </is>
      </c>
      <c r="F61" s="13" t="n">
        <v>2024</v>
      </c>
      <c r="G61" s="13" t="n">
        <v>2000</v>
      </c>
      <c r="H61" s="13" t="inlineStr">
        <is>
          <t>23295:5505048</t>
        </is>
      </c>
      <c r="I61" s="13" t="inlineStr">
        <is>
          <t>23012:4733731; 23012:4823260; 21632:4866936; 23012:4865324; 23012:4908878</t>
        </is>
      </c>
    </row>
    <row r="62">
      <c r="A62" s="13" t="inlineStr">
        <is>
          <t>Eli Arnold</t>
        </is>
      </c>
      <c r="B62" s="13" t="inlineStr">
        <is>
          <t>P241</t>
        </is>
      </c>
      <c r="C62" s="13" t="inlineStr">
        <is>
          <t>C129</t>
        </is>
      </c>
      <c r="D62" s="13" t="inlineStr">
        <is>
          <t>Street address or PO box</t>
        </is>
      </c>
      <c r="E62" s="15" t="inlineStr">
        <is>
          <t>Rene For Portland; Vote Vasquez</t>
        </is>
      </c>
      <c r="F62" s="13" t="n">
        <v>2023</v>
      </c>
      <c r="G62" s="13" t="n">
        <v>250</v>
      </c>
      <c r="H62" s="13" t="inlineStr">
        <is>
          <t>23295:5524737</t>
        </is>
      </c>
      <c r="I62" s="13" t="inlineStr">
        <is>
          <t>21605:4251844; 23012:4663861</t>
        </is>
      </c>
    </row>
    <row r="63">
      <c r="A63" s="13" t="inlineStr">
        <is>
          <t>Eli Arnold</t>
        </is>
      </c>
      <c r="B63" s="13" t="inlineStr">
        <is>
          <t>P242</t>
        </is>
      </c>
      <c r="C63" s="13" t="inlineStr">
        <is>
          <t>C175</t>
        </is>
      </c>
      <c r="D63" s="13" t="inlineStr">
        <is>
          <t>Street address or PO box</t>
        </is>
      </c>
      <c r="E63" s="15" t="inlineStr">
        <is>
          <t>Friends of Vadim; Rene for Portland; Vote Vasquez</t>
        </is>
      </c>
      <c r="F63" s="13" t="n">
        <v>2024</v>
      </c>
      <c r="G63" s="13" t="n">
        <v>750</v>
      </c>
      <c r="H63" s="13" t="inlineStr">
        <is>
          <t>23295:5554648</t>
        </is>
      </c>
      <c r="I63" s="13" t="inlineStr">
        <is>
          <t>21605:4738378; 21632:4818932; 23012:4885489; 21605:4934353</t>
        </is>
      </c>
    </row>
    <row r="64">
      <c r="A64" s="13" t="inlineStr">
        <is>
          <t>Eli Arnold</t>
        </is>
      </c>
      <c r="B64" s="13" t="inlineStr">
        <is>
          <t>P243</t>
        </is>
      </c>
      <c r="C64" s="13" t="inlineStr">
        <is>
          <t>C169</t>
        </is>
      </c>
      <c r="D64" s="13" t="inlineStr">
        <is>
          <t>Street address or PO box</t>
        </is>
      </c>
      <c r="E64" s="15" t="inlineStr">
        <is>
          <t>Rene for Portland</t>
        </is>
      </c>
      <c r="F64" s="13" t="n">
        <v>2023</v>
      </c>
      <c r="G64" s="13" t="n">
        <v>250</v>
      </c>
      <c r="H64" s="13" t="inlineStr">
        <is>
          <t>23295:5616467</t>
        </is>
      </c>
      <c r="I64" s="13" t="inlineStr">
        <is>
          <t>21605:4717496</t>
        </is>
      </c>
    </row>
    <row r="65">
      <c r="A65" s="13" t="inlineStr">
        <is>
          <t>Eli Arnold</t>
        </is>
      </c>
      <c r="B65" s="13" t="inlineStr">
        <is>
          <t>P244</t>
        </is>
      </c>
      <c r="C65" s="13" t="inlineStr">
        <is>
          <t>C147</t>
        </is>
      </c>
      <c r="D65" s="13" t="inlineStr">
        <is>
          <t>Street address or PO box</t>
        </is>
      </c>
      <c r="E65" s="15" t="inlineStr">
        <is>
          <t>Rene For Portland; Vote Vasquez</t>
        </is>
      </c>
      <c r="F65" s="13" t="n">
        <v>2023</v>
      </c>
      <c r="G65" s="13" t="n">
        <v>500</v>
      </c>
      <c r="H65" s="13" t="inlineStr">
        <is>
          <t>23295:5634498</t>
        </is>
      </c>
      <c r="I65" s="13" t="inlineStr">
        <is>
          <t>21605:4328834; 23012:4687588</t>
        </is>
      </c>
    </row>
    <row r="66">
      <c r="A66" s="13" t="inlineStr">
        <is>
          <t>Eli Arnold</t>
        </is>
      </c>
      <c r="B66" s="13" t="inlineStr">
        <is>
          <t>P245</t>
        </is>
      </c>
      <c r="C66" s="13" t="inlineStr">
        <is>
          <t>C203</t>
        </is>
      </c>
      <c r="D66" s="13" t="inlineStr">
        <is>
          <t>Street address or PO box</t>
        </is>
      </c>
      <c r="E66" s="15" t="inlineStr">
        <is>
          <t>Friends of Vadim</t>
        </is>
      </c>
      <c r="F66" s="13" t="n">
        <v>2021</v>
      </c>
      <c r="G66" s="13" t="n">
        <v>250</v>
      </c>
      <c r="H66" s="13" t="inlineStr">
        <is>
          <t>23295:5686499</t>
        </is>
      </c>
      <c r="I66" s="13" t="inlineStr">
        <is>
          <t>21632:3926289</t>
        </is>
      </c>
    </row>
    <row r="67">
      <c r="A67" s="13" t="inlineStr">
        <is>
          <t>Eli Arnold</t>
        </is>
      </c>
      <c r="B67" s="13" t="inlineStr">
        <is>
          <t>P246</t>
        </is>
      </c>
      <c r="C67" s="13" t="inlineStr">
        <is>
          <t>C183</t>
        </is>
      </c>
      <c r="D67" s="13" t="inlineStr">
        <is>
          <t>Street address or PO box</t>
        </is>
      </c>
      <c r="E67" s="15" t="inlineStr">
        <is>
          <t>Rene for Portland</t>
        </is>
      </c>
      <c r="F67" s="13" t="n">
        <v>2024</v>
      </c>
      <c r="G67" s="13" t="n">
        <v>250</v>
      </c>
      <c r="H67" s="13" t="inlineStr">
        <is>
          <t>23295:5704081</t>
        </is>
      </c>
      <c r="I67" s="13" t="inlineStr">
        <is>
          <t>21605:4970516</t>
        </is>
      </c>
    </row>
    <row r="68">
      <c r="A68" s="13" t="inlineStr">
        <is>
          <t>Eli Arnold</t>
        </is>
      </c>
      <c r="B68" s="13" t="inlineStr">
        <is>
          <t>P247</t>
        </is>
      </c>
      <c r="C68" s="13" t="inlineStr">
        <is>
          <t>C209</t>
        </is>
      </c>
      <c r="D68" s="13" t="inlineStr">
        <is>
          <t>Street address or PO box</t>
        </is>
      </c>
      <c r="E68" s="15" t="inlineStr">
        <is>
          <t>Friends of Vadim</t>
        </is>
      </c>
      <c r="F68" s="13" t="n">
        <v>2021</v>
      </c>
      <c r="G68" s="13" t="n">
        <v>250</v>
      </c>
      <c r="H68" s="13" t="inlineStr">
        <is>
          <t>23295:5747096</t>
        </is>
      </c>
      <c r="I68" s="13" t="inlineStr">
        <is>
          <t>21632:3935204</t>
        </is>
      </c>
    </row>
    <row r="69">
      <c r="A69" s="13" t="inlineStr">
        <is>
          <t>Eli Arnold</t>
        </is>
      </c>
      <c r="B69" s="13" t="inlineStr">
        <is>
          <t>P248</t>
        </is>
      </c>
      <c r="C69" s="13" t="inlineStr">
        <is>
          <t>C105</t>
        </is>
      </c>
      <c r="D69" s="13" t="inlineStr">
        <is>
          <t>Street address or PO box</t>
        </is>
      </c>
      <c r="E69" s="15" t="inlineStr">
        <is>
          <t>Rene For Portland; Rene for Portland</t>
        </is>
      </c>
      <c r="F69" s="13" t="n">
        <v>2024</v>
      </c>
      <c r="G69" s="13" t="n">
        <v>750</v>
      </c>
      <c r="H69" s="13" t="inlineStr">
        <is>
          <t>23295:5820985; 23295:5747132</t>
        </is>
      </c>
      <c r="I69" s="13" t="inlineStr">
        <is>
          <t>21605:4181957; 21605:4446880; 21605:4923351; 21605:5102291; 21605:5128916</t>
        </is>
      </c>
    </row>
    <row r="70">
      <c r="A70" s="13" t="inlineStr">
        <is>
          <t>Eli Arnold</t>
        </is>
      </c>
      <c r="B70" s="13" t="inlineStr">
        <is>
          <t>P249</t>
        </is>
      </c>
      <c r="C70" s="13" t="inlineStr">
        <is>
          <t>C144</t>
        </is>
      </c>
      <c r="D70" s="13" t="inlineStr">
        <is>
          <t>Street address or PO box</t>
        </is>
      </c>
      <c r="E70" s="15" t="inlineStr">
        <is>
          <t>Rene For Portland; Rene for Portland; Vote Vasquez</t>
        </is>
      </c>
      <c r="F70" s="13" t="n">
        <v>2024</v>
      </c>
      <c r="G70" s="13" t="n">
        <v>7000</v>
      </c>
      <c r="H70" s="13" t="inlineStr">
        <is>
          <t>23295:5786050</t>
        </is>
      </c>
      <c r="I70" s="13" t="inlineStr">
        <is>
          <t>21605:4317894; 23012:4607925; 21605:4740729; 23012:4750807</t>
        </is>
      </c>
    </row>
    <row r="71">
      <c r="A71" s="13" t="inlineStr">
        <is>
          <t>Eli Arnold</t>
        </is>
      </c>
      <c r="B71" s="13" t="inlineStr">
        <is>
          <t>P250</t>
        </is>
      </c>
      <c r="C71" s="13" t="inlineStr">
        <is>
          <t>C304</t>
        </is>
      </c>
      <c r="D71" s="13" t="inlineStr">
        <is>
          <t>Street address or PO box</t>
        </is>
      </c>
      <c r="E71" s="15" t="inlineStr">
        <is>
          <t>Vote Vasquez</t>
        </is>
      </c>
      <c r="F71" s="13" t="n">
        <v>2024</v>
      </c>
      <c r="G71" s="13" t="n">
        <v>500</v>
      </c>
      <c r="H71" s="13" t="inlineStr">
        <is>
          <t>23295:5786170</t>
        </is>
      </c>
      <c r="I71" s="13" t="inlineStr">
        <is>
          <t>23012:4865239</t>
        </is>
      </c>
    </row>
    <row r="72">
      <c r="A72" s="13" t="inlineStr">
        <is>
          <t>Eli Arnold</t>
        </is>
      </c>
      <c r="B72" s="13" t="inlineStr">
        <is>
          <t>P251</t>
        </is>
      </c>
      <c r="C72" s="13" t="inlineStr">
        <is>
          <t>C306</t>
        </is>
      </c>
      <c r="D72" s="13" t="inlineStr">
        <is>
          <t>Street address or PO box</t>
        </is>
      </c>
      <c r="E72" s="15" t="inlineStr">
        <is>
          <t>Rene for Portland; Vote Vasquez</t>
        </is>
      </c>
      <c r="F72" s="13" t="n">
        <v>2024</v>
      </c>
      <c r="G72" s="13" t="n">
        <v>250</v>
      </c>
      <c r="H72" s="13" t="inlineStr">
        <is>
          <t>23295:5786183</t>
        </is>
      </c>
      <c r="I72" s="13" t="inlineStr">
        <is>
          <t>23012:4885450; 21605:4928748; 21605:4951668</t>
        </is>
      </c>
    </row>
    <row r="73">
      <c r="A73" s="13" t="inlineStr">
        <is>
          <t>Eli Arnold</t>
        </is>
      </c>
      <c r="B73" s="13" t="inlineStr">
        <is>
          <t>P252</t>
        </is>
      </c>
      <c r="C73" s="13" t="inlineStr">
        <is>
          <t>C093</t>
        </is>
      </c>
      <c r="D73" s="13" t="inlineStr">
        <is>
          <t>Street address or PO box</t>
        </is>
      </c>
      <c r="E73" s="15" t="inlineStr">
        <is>
          <t>Rene For Portland; Rene for Portland; Vote Vasquez</t>
        </is>
      </c>
      <c r="F73" s="13" t="n">
        <v>2026</v>
      </c>
      <c r="G73" s="13" t="n">
        <v>2000</v>
      </c>
      <c r="H73" s="13" t="inlineStr">
        <is>
          <t>23295:5821253</t>
        </is>
      </c>
      <c r="I73" s="13" t="inlineStr">
        <is>
          <t>21605:4098616; 21605:4179335; 21605:4446825; 23012:4790294; 21605:4923366; 21605:4928755; 21605:4951692; 21605:4982475; 21605:5042402; 23012:5756022</t>
        </is>
      </c>
    </row>
    <row r="74">
      <c r="A74" s="13" t="inlineStr">
        <is>
          <t>Eli Arnold</t>
        </is>
      </c>
      <c r="B74" s="13" t="inlineStr">
        <is>
          <t>P253</t>
        </is>
      </c>
      <c r="C74" s="13" t="inlineStr">
        <is>
          <t>C082</t>
        </is>
      </c>
      <c r="D74" s="13" t="inlineStr">
        <is>
          <t>Street address or PO box</t>
        </is>
      </c>
      <c r="E74" s="15" t="inlineStr">
        <is>
          <t>Friends of Vadim; Rene For Portland; Rene for Portland; Vote Vasquez</t>
        </is>
      </c>
      <c r="F74" s="13" t="n">
        <v>2024</v>
      </c>
      <c r="G74" s="13" t="n">
        <v>2000</v>
      </c>
      <c r="H74" s="13" t="inlineStr">
        <is>
          <t>23295:5821276</t>
        </is>
      </c>
      <c r="I74" s="13" t="inlineStr">
        <is>
          <t>21605:3931299; 21632:3935217; 21605:4328772; 21605:4877546; 23012:4856764; 23012:4908809</t>
        </is>
      </c>
    </row>
    <row r="75">
      <c r="A75" s="13" t="inlineStr">
        <is>
          <t>Eli Arnold</t>
        </is>
      </c>
      <c r="B75" s="13" t="inlineStr">
        <is>
          <t>P254</t>
        </is>
      </c>
      <c r="C75" s="13" t="inlineStr">
        <is>
          <t>C145</t>
        </is>
      </c>
      <c r="D75" s="13" t="inlineStr">
        <is>
          <t>Street address or PO box</t>
        </is>
      </c>
      <c r="E75" s="15" t="inlineStr">
        <is>
          <t>Rene For Portland; Vote Vasquez</t>
        </is>
      </c>
      <c r="F75" s="13" t="n">
        <v>2024</v>
      </c>
      <c r="G75" s="13" t="n">
        <v>250</v>
      </c>
      <c r="H75" s="13" t="inlineStr">
        <is>
          <t>23295:5844754</t>
        </is>
      </c>
      <c r="I75" s="13" t="inlineStr">
        <is>
          <t>21605:4323098; 23012:4908802</t>
        </is>
      </c>
    </row>
    <row r="76">
      <c r="A76" s="13" t="inlineStr">
        <is>
          <t>Julia Brim-Edwards</t>
        </is>
      </c>
      <c r="B76" s="13" t="inlineStr">
        <is>
          <t>H003</t>
        </is>
      </c>
      <c r="C76" s="13" t="inlineStr">
        <is>
          <t>C038</t>
        </is>
      </c>
      <c r="D76" s="13" t="inlineStr">
        <is>
          <t>Street address or PO box</t>
        </is>
      </c>
      <c r="E76" s="15" t="inlineStr">
        <is>
          <t>Friends of Sam Adams; Friends of Vadim</t>
        </is>
      </c>
      <c r="F76" s="13" t="n">
        <v>2024</v>
      </c>
      <c r="G76" s="13" t="n">
        <v>2000</v>
      </c>
      <c r="H76" s="13" t="inlineStr">
        <is>
          <t>21206:4853092</t>
        </is>
      </c>
      <c r="I76" s="13" t="inlineStr">
        <is>
          <t>20340:3409823; 21632:3881711; 21632:4818976; 20340:4877674</t>
        </is>
      </c>
    </row>
    <row r="77">
      <c r="A77" s="13" t="inlineStr">
        <is>
          <t>Julia Brim-Edwards</t>
        </is>
      </c>
      <c r="B77" s="13" t="inlineStr">
        <is>
          <t>H010</t>
        </is>
      </c>
      <c r="C77" s="13" t="inlineStr">
        <is>
          <t>C077</t>
        </is>
      </c>
      <c r="D77" s="13" t="inlineStr">
        <is>
          <t>Street address or PO box</t>
        </is>
      </c>
      <c r="E77" s="15" t="inlineStr">
        <is>
          <t>Rene For Portland; Rene for Portland</t>
        </is>
      </c>
      <c r="F77" s="13" t="n">
        <v>2023</v>
      </c>
      <c r="G77" s="13" t="n">
        <v>1000</v>
      </c>
      <c r="H77" s="13" t="inlineStr">
        <is>
          <t>21206:5704161</t>
        </is>
      </c>
      <c r="I77" s="13" t="inlineStr">
        <is>
          <t>21605:3904935; 21605:4258923; 21605:4446890; 21605:4717449</t>
        </is>
      </c>
    </row>
    <row r="78">
      <c r="A78" s="13" t="inlineStr">
        <is>
          <t>Julia Brim-Edwards</t>
        </is>
      </c>
      <c r="B78" s="13" t="inlineStr">
        <is>
          <t>H012</t>
        </is>
      </c>
      <c r="C78" s="13" t="inlineStr">
        <is>
          <t>C013</t>
        </is>
      </c>
      <c r="D78" s="13" t="inlineStr">
        <is>
          <t>Street address or PO box</t>
        </is>
      </c>
      <c r="E78" s="15" t="inlineStr">
        <is>
          <t>Friends of Pam Treece</t>
        </is>
      </c>
      <c r="F78" s="13" t="n">
        <v>2026</v>
      </c>
      <c r="G78" s="13" t="n">
        <v>2000</v>
      </c>
      <c r="H78" s="13" t="inlineStr">
        <is>
          <t>21206:5555074; 21206:4801414</t>
        </is>
      </c>
      <c r="I78" s="13" t="inlineStr">
        <is>
          <t>18397:5373203; 18397:5586428; 18397:5863735</t>
        </is>
      </c>
    </row>
    <row r="79">
      <c r="A79" s="13" t="inlineStr">
        <is>
          <t>Julia Brim-Edwards</t>
        </is>
      </c>
      <c r="B79" s="13" t="inlineStr">
        <is>
          <t>H014</t>
        </is>
      </c>
      <c r="C79" s="13" t="inlineStr">
        <is>
          <t>C268</t>
        </is>
      </c>
      <c r="D79" s="13" t="inlineStr">
        <is>
          <t>Street address or PO box</t>
        </is>
      </c>
      <c r="E79" s="15" t="inlineStr">
        <is>
          <t>Friends of Vadim</t>
        </is>
      </c>
      <c r="F79" s="13" t="n">
        <v>2024</v>
      </c>
      <c r="G79" s="13" t="n">
        <v>500</v>
      </c>
      <c r="H79" s="13" t="inlineStr">
        <is>
          <t>21206:4530469</t>
        </is>
      </c>
      <c r="I79" s="13" t="inlineStr">
        <is>
          <t>21632:5093170</t>
        </is>
      </c>
    </row>
    <row r="80">
      <c r="A80" s="13" t="inlineStr">
        <is>
          <t>Julia Brim-Edwards</t>
        </is>
      </c>
      <c r="B80" s="13" t="inlineStr">
        <is>
          <t>H019</t>
        </is>
      </c>
      <c r="C80" s="13" t="inlineStr">
        <is>
          <t>C173</t>
        </is>
      </c>
      <c r="D80" s="13" t="inlineStr">
        <is>
          <t>Street address or PO box</t>
        </is>
      </c>
      <c r="E80" s="15" t="inlineStr">
        <is>
          <t>Rene for Portland</t>
        </is>
      </c>
      <c r="F80" s="13" t="n">
        <v>2023</v>
      </c>
      <c r="G80" s="13" t="n">
        <v>250</v>
      </c>
      <c r="H80" s="13" t="inlineStr">
        <is>
          <t>21206:5555016; 21206:4853132; 21206:4560279</t>
        </is>
      </c>
      <c r="I80" s="13" t="inlineStr">
        <is>
          <t>21605:4717577</t>
        </is>
      </c>
    </row>
    <row r="81">
      <c r="A81" s="13" t="inlineStr">
        <is>
          <t>Julia Brim-Edwards</t>
        </is>
      </c>
      <c r="B81" s="13" t="inlineStr">
        <is>
          <t>H055</t>
        </is>
      </c>
      <c r="C81" s="13" t="inlineStr">
        <is>
          <t>C126</t>
        </is>
      </c>
      <c r="D81" s="13" t="inlineStr">
        <is>
          <t>Street address or PO box</t>
        </is>
      </c>
      <c r="E81" s="15" t="inlineStr">
        <is>
          <t>Rene For Portland</t>
        </is>
      </c>
      <c r="F81" s="13" t="n">
        <v>2022</v>
      </c>
      <c r="G81" s="13" t="n">
        <v>250</v>
      </c>
      <c r="H81" s="13" t="inlineStr">
        <is>
          <t>21206:4563004</t>
        </is>
      </c>
      <c r="I81" s="13" t="inlineStr">
        <is>
          <t>21605:4248167</t>
        </is>
      </c>
    </row>
    <row r="82">
      <c r="A82" s="13" t="inlineStr">
        <is>
          <t>Julia Brim-Edwards</t>
        </is>
      </c>
      <c r="B82" s="13" t="inlineStr">
        <is>
          <t>H061</t>
        </is>
      </c>
      <c r="C82" s="13" t="inlineStr">
        <is>
          <t>C191</t>
        </is>
      </c>
      <c r="D82" s="13" t="inlineStr">
        <is>
          <t>Street address or PO box</t>
        </is>
      </c>
      <c r="E82" s="15" t="inlineStr">
        <is>
          <t>Friends of Sam Adams; Friends of Vadim</t>
        </is>
      </c>
      <c r="F82" s="13" t="n">
        <v>2024</v>
      </c>
      <c r="G82" s="13" t="n">
        <v>750</v>
      </c>
      <c r="H82" s="13" t="inlineStr">
        <is>
          <t>21206:4554414</t>
        </is>
      </c>
      <c r="I82" s="13" t="inlineStr">
        <is>
          <t>21632:3881693; 20340:4797882</t>
        </is>
      </c>
    </row>
    <row r="83">
      <c r="A83" s="13" t="inlineStr">
        <is>
          <t>Julia Brim-Edwards</t>
        </is>
      </c>
      <c r="B83" s="13" t="inlineStr">
        <is>
          <t>H075</t>
        </is>
      </c>
      <c r="C83" s="13" t="inlineStr">
        <is>
          <t>C076</t>
        </is>
      </c>
      <c r="D83" s="13" t="inlineStr">
        <is>
          <t>Street address or PO box</t>
        </is>
      </c>
      <c r="E83" s="15" t="inlineStr">
        <is>
          <t>Rene For Portland</t>
        </is>
      </c>
      <c r="F83" s="13" t="n">
        <v>2021</v>
      </c>
      <c r="G83" s="13" t="n">
        <v>250</v>
      </c>
      <c r="H83" s="13" t="inlineStr">
        <is>
          <t>21206:5555089; 21206:4551178</t>
        </is>
      </c>
      <c r="I83" s="13" t="inlineStr">
        <is>
          <t>21605:3892988</t>
        </is>
      </c>
    </row>
    <row r="84">
      <c r="A84" s="13" t="inlineStr">
        <is>
          <t>Julia Brim-Edwards</t>
        </is>
      </c>
      <c r="B84" s="13" t="inlineStr">
        <is>
          <t>H081</t>
        </is>
      </c>
      <c r="C84" s="13" t="inlineStr">
        <is>
          <t>C102</t>
        </is>
      </c>
      <c r="D84" s="13" t="inlineStr">
        <is>
          <t>Street address or PO box</t>
        </is>
      </c>
      <c r="E84" s="15" t="inlineStr">
        <is>
          <t>Rene For Portland</t>
        </is>
      </c>
      <c r="F84" s="13" t="n">
        <v>2022</v>
      </c>
      <c r="G84" s="13" t="n">
        <v>250</v>
      </c>
      <c r="H84" s="13" t="inlineStr">
        <is>
          <t>21206:5647948; 21206:4572218</t>
        </is>
      </c>
      <c r="I84" s="13" t="inlineStr">
        <is>
          <t>21605:4163911</t>
        </is>
      </c>
    </row>
    <row r="85">
      <c r="A85" s="13" t="inlineStr">
        <is>
          <t>Julia Brim-Edwards</t>
        </is>
      </c>
      <c r="B85" s="13" t="inlineStr">
        <is>
          <t>H102</t>
        </is>
      </c>
      <c r="C85" s="13" t="inlineStr">
        <is>
          <t>C124</t>
        </is>
      </c>
      <c r="D85" s="13" t="inlineStr">
        <is>
          <t>Street address or PO box</t>
        </is>
      </c>
      <c r="E85" s="15" t="inlineStr">
        <is>
          <t>Friends of Sam Adams; Rene For Portland; Rene for Portland</t>
        </is>
      </c>
      <c r="F85" s="13" t="n">
        <v>2024</v>
      </c>
      <c r="G85" s="13" t="n">
        <v>1000</v>
      </c>
      <c r="H85" s="13" t="inlineStr">
        <is>
          <t>21206:5555071; 21206:4530536</t>
        </is>
      </c>
      <c r="I85" s="13" t="inlineStr">
        <is>
          <t>21605:4247886; 21605:4717384; 20340:5017668</t>
        </is>
      </c>
    </row>
    <row r="86">
      <c r="A86" s="13" t="inlineStr">
        <is>
          <t>Julia Brim-Edwards</t>
        </is>
      </c>
      <c r="B86" s="13" t="inlineStr">
        <is>
          <t>P001</t>
        </is>
      </c>
      <c r="C86" s="13" t="inlineStr">
        <is>
          <t>C218</t>
        </is>
      </c>
      <c r="D86" s="13" t="inlineStr">
        <is>
          <t>Street address or PO box</t>
        </is>
      </c>
      <c r="E86" s="15" t="inlineStr">
        <is>
          <t>Friends of Sam Adams; Friends of Vadim; Portland Accountability PAC; Rene For Portland; Rene for Portland</t>
        </is>
      </c>
      <c r="F86" s="13" t="n">
        <v>2024</v>
      </c>
      <c r="G86" s="13" t="n">
        <v>13000</v>
      </c>
      <c r="H86" s="13" t="inlineStr">
        <is>
          <t>21206:5555062; 21206:4913060; 21206:4572237</t>
        </is>
      </c>
      <c r="I86" s="13" t="inlineStr">
        <is>
          <t>21632:3942402; 21605:4312451; 22544:4329715; 21605:4446798; 22544:4577120; 21605:4740724; 21632:4778204; 20340:4797897</t>
        </is>
      </c>
    </row>
    <row r="87">
      <c r="A87" s="13" t="inlineStr">
        <is>
          <t>Julia Brim-Edwards</t>
        </is>
      </c>
      <c r="B87" s="13" t="inlineStr">
        <is>
          <t>P002</t>
        </is>
      </c>
      <c r="C87" s="13" t="inlineStr">
        <is>
          <t>C058</t>
        </is>
      </c>
      <c r="D87" s="13" t="inlineStr">
        <is>
          <t>Street address or PO box</t>
        </is>
      </c>
      <c r="E87" s="15" t="inlineStr">
        <is>
          <t>Friends of Sam Adams</t>
        </is>
      </c>
      <c r="F87" s="13" t="n">
        <v>2024</v>
      </c>
      <c r="G87" s="13" t="n">
        <v>500</v>
      </c>
      <c r="H87" s="13" t="inlineStr">
        <is>
          <t>21206:4853069; 21206:4530529</t>
        </is>
      </c>
      <c r="I87" s="13" t="inlineStr">
        <is>
          <t>20340:4869102; 20340:5029328</t>
        </is>
      </c>
    </row>
    <row r="88">
      <c r="A88" s="13" t="inlineStr">
        <is>
          <t>Julia Brim-Edwards</t>
        </is>
      </c>
      <c r="B88" s="13" t="inlineStr">
        <is>
          <t>P006</t>
        </is>
      </c>
      <c r="C88" s="13" t="inlineStr">
        <is>
          <t>C048</t>
        </is>
      </c>
      <c r="D88" s="13" t="inlineStr">
        <is>
          <t>Street address or PO box</t>
        </is>
      </c>
      <c r="E88" s="15" t="inlineStr">
        <is>
          <t>Friends of Sam Adams</t>
        </is>
      </c>
      <c r="F88" s="13" t="n">
        <v>2024</v>
      </c>
      <c r="G88" s="13" t="n">
        <v>250</v>
      </c>
      <c r="H88" s="13" t="inlineStr">
        <is>
          <t>21206:5554988; 21206:4853173; 21206:4554412</t>
        </is>
      </c>
      <c r="I88" s="13" t="inlineStr">
        <is>
          <t>20340:4797885</t>
        </is>
      </c>
    </row>
    <row r="89">
      <c r="A89" s="13" t="inlineStr">
        <is>
          <t>Julia Brim-Edwards</t>
        </is>
      </c>
      <c r="B89" s="13" t="inlineStr">
        <is>
          <t>P012</t>
        </is>
      </c>
      <c r="C89" s="13" t="inlineStr">
        <is>
          <t>C030</t>
        </is>
      </c>
      <c r="D89" s="13" t="inlineStr">
        <is>
          <t>Street address or PO box</t>
        </is>
      </c>
      <c r="E89" s="15" t="inlineStr">
        <is>
          <t>Friends of Sam Adams</t>
        </is>
      </c>
      <c r="F89" s="13" t="n">
        <v>2024</v>
      </c>
      <c r="G89" s="13" t="n">
        <v>750</v>
      </c>
      <c r="H89" s="13" t="inlineStr">
        <is>
          <t>21206:5647961; 21206:4913063</t>
        </is>
      </c>
      <c r="I89" s="13" t="inlineStr">
        <is>
          <t>20340:3362285; 20340:4877681</t>
        </is>
      </c>
    </row>
    <row r="90">
      <c r="A90" s="13" t="inlineStr">
        <is>
          <t>Julia Brim-Edwards</t>
        </is>
      </c>
      <c r="B90" s="13" t="inlineStr">
        <is>
          <t>P015</t>
        </is>
      </c>
      <c r="C90" s="13" t="inlineStr">
        <is>
          <t>C010</t>
        </is>
      </c>
      <c r="D90" s="13" t="inlineStr">
        <is>
          <t>Street address or PO box</t>
        </is>
      </c>
      <c r="E90" s="15" t="inlineStr">
        <is>
          <t>Friends of Pam Treece; Friends of Sam Adams</t>
        </is>
      </c>
      <c r="F90" s="13" t="n">
        <v>2026</v>
      </c>
      <c r="G90" s="13" t="n">
        <v>1000</v>
      </c>
      <c r="H90" s="13" t="inlineStr">
        <is>
          <t>21206:4551191</t>
        </is>
      </c>
      <c r="I90" s="13" t="inlineStr">
        <is>
          <t>18397:2770769; 20340:4866773; 20340:5017686; 18397:5650355</t>
        </is>
      </c>
    </row>
    <row r="91">
      <c r="A91" s="13" t="inlineStr">
        <is>
          <t>Julia Brim-Edwards</t>
        </is>
      </c>
      <c r="B91" s="13" t="inlineStr">
        <is>
          <t>P016</t>
        </is>
      </c>
      <c r="C91" s="13" t="inlineStr">
        <is>
          <t>C003</t>
        </is>
      </c>
      <c r="D91" s="13" t="inlineStr">
        <is>
          <t>Street address or PO box</t>
        </is>
      </c>
      <c r="E91" s="15" t="inlineStr">
        <is>
          <t>Friends of Pam Treece; Friends of Sam Adams; Friends of Vadim; Rene For Portland; Rene for Portland</t>
        </is>
      </c>
      <c r="F91" s="13" t="n">
        <v>2026</v>
      </c>
      <c r="G91" s="13" t="n">
        <v>3000</v>
      </c>
      <c r="H91" s="13" t="inlineStr">
        <is>
          <t>21206:5567221; 21206:4853154; 21206:4551201</t>
        </is>
      </c>
      <c r="I91" s="13" t="inlineStr">
        <is>
          <t>18397:2714932; 20340:3447890; 21632:3935289; 21632:3979739; 21605:4193373; 21632:4778206; 20340:4811670; 21605:4934433; 18397:5331987; 18397:5650357</t>
        </is>
      </c>
    </row>
    <row r="92">
      <c r="A92" s="13" t="inlineStr">
        <is>
          <t>Julia Brim-Edwards</t>
        </is>
      </c>
      <c r="B92" s="13" t="inlineStr">
        <is>
          <t>P018</t>
        </is>
      </c>
      <c r="C92" s="13" t="inlineStr">
        <is>
          <t>C002</t>
        </is>
      </c>
      <c r="D92" s="13" t="inlineStr">
        <is>
          <t>Street address or PO box</t>
        </is>
      </c>
      <c r="E92" s="15" t="inlineStr">
        <is>
          <t>Friends of Pam Treece; Friends of Vadim</t>
        </is>
      </c>
      <c r="F92" s="13" t="n">
        <v>2024</v>
      </c>
      <c r="G92" s="13" t="n">
        <v>2000</v>
      </c>
      <c r="H92" s="13" t="inlineStr">
        <is>
          <t>21206:5678197</t>
        </is>
      </c>
      <c r="I92" s="13" t="inlineStr">
        <is>
          <t>18397:2682525; 18397:2805211; 21632:4899451</t>
        </is>
      </c>
    </row>
    <row r="93">
      <c r="A93" s="13" t="inlineStr">
        <is>
          <t>Julia Brim-Edwards</t>
        </is>
      </c>
      <c r="B93" s="13" t="inlineStr">
        <is>
          <t>P020</t>
        </is>
      </c>
      <c r="C93" s="13" t="inlineStr">
        <is>
          <t>C293</t>
        </is>
      </c>
      <c r="D93" s="13" t="inlineStr">
        <is>
          <t>Street address or PO box</t>
        </is>
      </c>
      <c r="E93" s="15" t="inlineStr">
        <is>
          <t>Friends of Vadim; Rene for Portland; Vote Vasquez</t>
        </is>
      </c>
      <c r="F93" s="13" t="n">
        <v>2024</v>
      </c>
      <c r="G93" s="13" t="n">
        <v>2000</v>
      </c>
      <c r="H93" s="13" t="inlineStr">
        <is>
          <t>21206:5704177</t>
        </is>
      </c>
      <c r="I93" s="13" t="inlineStr">
        <is>
          <t>23012:4750793; 21605:4751472; 21605:4934363; 21632:4968453</t>
        </is>
      </c>
    </row>
    <row r="94">
      <c r="A94" s="13" t="inlineStr">
        <is>
          <t>Julia Brim-Edwards</t>
        </is>
      </c>
      <c r="B94" s="13" t="inlineStr">
        <is>
          <t>P021</t>
        </is>
      </c>
      <c r="C94" s="13" t="inlineStr">
        <is>
          <t>C031</t>
        </is>
      </c>
      <c r="D94" s="13" t="inlineStr">
        <is>
          <t>Street address or PO box</t>
        </is>
      </c>
      <c r="E94" s="15" t="inlineStr">
        <is>
          <t>Friends of Sam Adams</t>
        </is>
      </c>
      <c r="F94" s="13" t="n">
        <v>2020</v>
      </c>
      <c r="G94" s="13" t="n">
        <v>250</v>
      </c>
      <c r="H94" s="13" t="inlineStr">
        <is>
          <t>21206:5814148</t>
        </is>
      </c>
      <c r="I94" s="13" t="inlineStr">
        <is>
          <t>20340:3362286</t>
        </is>
      </c>
    </row>
    <row r="95">
      <c r="A95" s="13" t="inlineStr">
        <is>
          <t>Julia Brim-Edwards</t>
        </is>
      </c>
      <c r="B95" s="13" t="inlineStr">
        <is>
          <t>P022</t>
        </is>
      </c>
      <c r="C95" s="13" t="inlineStr">
        <is>
          <t>C047</t>
        </is>
      </c>
      <c r="D95" s="13" t="inlineStr">
        <is>
          <t>Street address or PO box</t>
        </is>
      </c>
      <c r="E95" s="15" t="inlineStr">
        <is>
          <t>Friends of Pam Treece; Friends of Sam Adams</t>
        </is>
      </c>
      <c r="F95" s="13" t="n">
        <v>2026</v>
      </c>
      <c r="G95" s="13" t="n">
        <v>1000</v>
      </c>
      <c r="H95" s="13" t="inlineStr">
        <is>
          <t>21206:5704172; 21206:4909932; 21206:4557179</t>
        </is>
      </c>
      <c r="I95" s="13" t="inlineStr">
        <is>
          <t>20340:4797852; 20340:5054000; 18397:5625570</t>
        </is>
      </c>
    </row>
    <row r="96">
      <c r="A96" s="13" t="inlineStr">
        <is>
          <t>Julia Brim-Edwards</t>
        </is>
      </c>
      <c r="B96" s="13" t="inlineStr">
        <is>
          <t>P023</t>
        </is>
      </c>
      <c r="C96" s="13" t="inlineStr">
        <is>
          <t>C084</t>
        </is>
      </c>
      <c r="D96" s="13" t="inlineStr">
        <is>
          <t>Street address or PO box</t>
        </is>
      </c>
      <c r="E96" s="15" t="inlineStr">
        <is>
          <t>Friends of Vadim; Rene For Portland; Rene for Portland</t>
        </is>
      </c>
      <c r="F96" s="13" t="n">
        <v>2024</v>
      </c>
      <c r="G96" s="13" t="n">
        <v>2000</v>
      </c>
      <c r="H96" s="13" t="inlineStr">
        <is>
          <t>21206:5578328; 21206:4853116</t>
        </is>
      </c>
      <c r="I96" s="13" t="inlineStr">
        <is>
          <t>21605:3976952; 21605:4179507; 21605:4446929; 21605:4748792; 21632:4778143; 21605:5078067</t>
        </is>
      </c>
    </row>
    <row r="97">
      <c r="A97" s="13" t="inlineStr">
        <is>
          <t>Julia Brim-Edwards</t>
        </is>
      </c>
      <c r="B97" s="13" t="inlineStr">
        <is>
          <t>P025</t>
        </is>
      </c>
      <c r="C97" s="13" t="inlineStr">
        <is>
          <t>C193</t>
        </is>
      </c>
      <c r="D97" s="13" t="inlineStr">
        <is>
          <t>Street address or PO box</t>
        </is>
      </c>
      <c r="E97" s="15" t="inlineStr">
        <is>
          <t>Friends of Sam Adams; Friends of Vadim; Rene For Portland</t>
        </is>
      </c>
      <c r="F97" s="13" t="n">
        <v>2024</v>
      </c>
      <c r="G97" s="13" t="n">
        <v>2000</v>
      </c>
      <c r="H97" s="13" t="inlineStr">
        <is>
          <t>21206:5567232</t>
        </is>
      </c>
      <c r="I97" s="13" t="inlineStr">
        <is>
          <t>21632:3881705; 21605:4222565; 21632:4899452; 21632:5050816; 20340:5054050</t>
        </is>
      </c>
    </row>
    <row r="98">
      <c r="A98" s="13" t="inlineStr">
        <is>
          <t>Julia Brim-Edwards</t>
        </is>
      </c>
      <c r="B98" s="13" t="inlineStr">
        <is>
          <t>P027</t>
        </is>
      </c>
      <c r="C98" s="13" t="inlineStr">
        <is>
          <t>C101</t>
        </is>
      </c>
      <c r="D98" s="13" t="inlineStr">
        <is>
          <t>Street address or PO box</t>
        </is>
      </c>
      <c r="E98" s="15" t="inlineStr">
        <is>
          <t>Rene For Portland</t>
        </is>
      </c>
      <c r="F98" s="13" t="n">
        <v>2022</v>
      </c>
      <c r="G98" s="13" t="n">
        <v>500</v>
      </c>
      <c r="H98" s="13" t="inlineStr">
        <is>
          <t>21206:5704158</t>
        </is>
      </c>
      <c r="I98" s="13" t="inlineStr">
        <is>
          <t>21605:4155560; 21605:4276085</t>
        </is>
      </c>
    </row>
    <row r="99">
      <c r="A99" s="13" t="inlineStr">
        <is>
          <t>Julia Brim-Edwards</t>
        </is>
      </c>
      <c r="B99" s="13" t="inlineStr">
        <is>
          <t>P029</t>
        </is>
      </c>
      <c r="C99" s="13" t="inlineStr">
        <is>
          <t>C215</t>
        </is>
      </c>
      <c r="D99" s="13" t="inlineStr">
        <is>
          <t>Street address or PO box</t>
        </is>
      </c>
      <c r="E99" s="15" t="inlineStr">
        <is>
          <t>Friends of Vadim; Portland Accountability PAC</t>
        </is>
      </c>
      <c r="F99" s="13" t="n">
        <v>2023</v>
      </c>
      <c r="G99" s="13" t="n">
        <v>1000</v>
      </c>
      <c r="H99" s="13" t="inlineStr">
        <is>
          <t>21206:4563005</t>
        </is>
      </c>
      <c r="I99" s="13" t="inlineStr">
        <is>
          <t>21632:3935259; 21632:4004697; 22544:4562707</t>
        </is>
      </c>
    </row>
    <row r="100">
      <c r="A100" s="13" t="inlineStr">
        <is>
          <t>Julia Brim-Edwards</t>
        </is>
      </c>
      <c r="B100" s="13" t="inlineStr">
        <is>
          <t>P030</t>
        </is>
      </c>
      <c r="C100" s="13" t="inlineStr">
        <is>
          <t>C212</t>
        </is>
      </c>
      <c r="D100" s="13" t="inlineStr">
        <is>
          <t>Street address or PO box</t>
        </is>
      </c>
      <c r="E100" s="15" t="inlineStr">
        <is>
          <t>Friends of Vadim; Rene For Portland; Rene for Portland</t>
        </is>
      </c>
      <c r="F100" s="13" t="n">
        <v>2024</v>
      </c>
      <c r="G100" s="13" t="n">
        <v>750</v>
      </c>
      <c r="H100" s="13" t="inlineStr">
        <is>
          <t>21206:5578338</t>
        </is>
      </c>
      <c r="I100" s="13" t="inlineStr">
        <is>
          <t>21632:3935231; 21605:4190900; 21605:4936323</t>
        </is>
      </c>
    </row>
    <row r="101">
      <c r="A101" s="13" t="inlineStr">
        <is>
          <t>Julia Brim-Edwards</t>
        </is>
      </c>
      <c r="B101" s="13" t="inlineStr">
        <is>
          <t>P037</t>
        </is>
      </c>
      <c r="C101" s="13" t="inlineStr">
        <is>
          <t>C271</t>
        </is>
      </c>
      <c r="D101" s="13" t="inlineStr">
        <is>
          <t>Street address or PO box</t>
        </is>
      </c>
      <c r="E101" s="15" t="inlineStr">
        <is>
          <t>Portland Accountability PAC</t>
        </is>
      </c>
      <c r="F101" s="13" t="n">
        <v>2023</v>
      </c>
      <c r="G101" s="13" t="n">
        <v>15000</v>
      </c>
      <c r="H101" s="13" t="inlineStr">
        <is>
          <t>21206:5555120</t>
        </is>
      </c>
      <c r="I101" s="13" t="inlineStr">
        <is>
          <t>22544:4353399; 22544:4562711</t>
        </is>
      </c>
    </row>
    <row r="102">
      <c r="A102" s="13" t="inlineStr">
        <is>
          <t>Julia Brim-Edwards</t>
        </is>
      </c>
      <c r="B102" s="13" t="inlineStr">
        <is>
          <t>P040</t>
        </is>
      </c>
      <c r="C102" s="13" t="inlineStr">
        <is>
          <t>C066</t>
        </is>
      </c>
      <c r="D102" s="13" t="inlineStr">
        <is>
          <t>Street address or PO box</t>
        </is>
      </c>
      <c r="E102" s="15" t="inlineStr">
        <is>
          <t>Friends of Sam Adams</t>
        </is>
      </c>
      <c r="F102" s="13" t="n">
        <v>2024</v>
      </c>
      <c r="G102" s="13" t="n">
        <v>250</v>
      </c>
      <c r="H102" s="13" t="inlineStr">
        <is>
          <t>21206:5567218</t>
        </is>
      </c>
      <c r="I102" s="13" t="inlineStr">
        <is>
          <t>20340:4990646</t>
        </is>
      </c>
    </row>
    <row r="103">
      <c r="A103" s="13" t="inlineStr">
        <is>
          <t>Julia Brim-Edwards</t>
        </is>
      </c>
      <c r="B103" s="13" t="inlineStr">
        <is>
          <t>P041</t>
        </is>
      </c>
      <c r="C103" s="13" t="inlineStr">
        <is>
          <t>C202</t>
        </is>
      </c>
      <c r="D103" s="13" t="inlineStr">
        <is>
          <t>Street address or PO box</t>
        </is>
      </c>
      <c r="E103" s="15" t="inlineStr">
        <is>
          <t>Friends of Sam Adams; Friends of Vadim; Rene For Portland</t>
        </is>
      </c>
      <c r="F103" s="13" t="n">
        <v>2024</v>
      </c>
      <c r="G103" s="13" t="n">
        <v>2000</v>
      </c>
      <c r="H103" s="13" t="inlineStr">
        <is>
          <t>21206:5555007; 21206:4853065; 21206:4530511</t>
        </is>
      </c>
      <c r="I103" s="13" t="inlineStr">
        <is>
          <t>21632:3915644; 21605:4212669; 21632:4803656; 20340:4860435</t>
        </is>
      </c>
    </row>
    <row r="104">
      <c r="A104" s="13" t="inlineStr">
        <is>
          <t>Julia Brim-Edwards</t>
        </is>
      </c>
      <c r="B104" s="13" t="inlineStr">
        <is>
          <t>P050</t>
        </is>
      </c>
      <c r="C104" s="13" t="inlineStr">
        <is>
          <t>C241</t>
        </is>
      </c>
      <c r="D104" s="13" t="inlineStr">
        <is>
          <t>Street address or PO box</t>
        </is>
      </c>
      <c r="E104" s="15" t="inlineStr">
        <is>
          <t>Friends of Vadim</t>
        </is>
      </c>
      <c r="F104" s="13" t="n">
        <v>2022</v>
      </c>
      <c r="G104" s="13" t="n">
        <v>500</v>
      </c>
      <c r="H104" s="13" t="inlineStr">
        <is>
          <t>21206:5704139; 21206:4568185</t>
        </is>
      </c>
      <c r="I104" s="13" t="inlineStr">
        <is>
          <t>21632:4117135</t>
        </is>
      </c>
    </row>
    <row r="105">
      <c r="A105" s="13" t="inlineStr">
        <is>
          <t>Julia Brim-Edwards</t>
        </is>
      </c>
      <c r="B105" s="13" t="inlineStr">
        <is>
          <t>P051</t>
        </is>
      </c>
      <c r="C105" s="13" t="inlineStr">
        <is>
          <t>C227</t>
        </is>
      </c>
      <c r="D105" s="13" t="inlineStr">
        <is>
          <t>Street address or PO box</t>
        </is>
      </c>
      <c r="E105" s="15" t="inlineStr">
        <is>
          <t>Friends of Vadim; Rene For Portland</t>
        </is>
      </c>
      <c r="F105" s="13" t="n">
        <v>2022</v>
      </c>
      <c r="G105" s="13" t="n">
        <v>500</v>
      </c>
      <c r="H105" s="13" t="inlineStr">
        <is>
          <t>21206:5627277; 21206:4568188</t>
        </is>
      </c>
      <c r="I105" s="13" t="inlineStr">
        <is>
          <t>21632:4004678; 21605:4222777</t>
        </is>
      </c>
    </row>
    <row r="106">
      <c r="A106" s="13" t="inlineStr">
        <is>
          <t>Julia Brim-Edwards</t>
        </is>
      </c>
      <c r="B106" s="13" t="inlineStr">
        <is>
          <t>P055</t>
        </is>
      </c>
      <c r="C106" s="13" t="inlineStr">
        <is>
          <t>C167</t>
        </is>
      </c>
      <c r="D106" s="13" t="inlineStr">
        <is>
          <t>Street address or PO box</t>
        </is>
      </c>
      <c r="E106" s="15" t="inlineStr">
        <is>
          <t>Friends of Sam Adams; Friends of Vadim; Rene for Portland</t>
        </is>
      </c>
      <c r="F106" s="13" t="n">
        <v>2024</v>
      </c>
      <c r="G106" s="13" t="n">
        <v>1000</v>
      </c>
      <c r="H106" s="13" t="inlineStr">
        <is>
          <t>21206:5555013; 21206:4861351; 21206:4530527</t>
        </is>
      </c>
      <c r="I106" s="13" t="inlineStr">
        <is>
          <t>21605:4717388; 21632:4818979; 20340:4860433</t>
        </is>
      </c>
    </row>
    <row r="107">
      <c r="A107" s="13" t="inlineStr">
        <is>
          <t>Julia Brim-Edwards</t>
        </is>
      </c>
      <c r="B107" s="13" t="inlineStr">
        <is>
          <t>P063</t>
        </is>
      </c>
      <c r="C107" s="13" t="inlineStr">
        <is>
          <t>C107</t>
        </is>
      </c>
      <c r="D107" s="13" t="inlineStr">
        <is>
          <t>Street address or PO box</t>
        </is>
      </c>
      <c r="E107" s="15" t="inlineStr">
        <is>
          <t>Friends of Sam Adams; Friends of Vadim; Portland Accountability PAC; Rene For Portland; Rene for Portland</t>
        </is>
      </c>
      <c r="F107" s="13" t="n">
        <v>2024</v>
      </c>
      <c r="G107" s="13" t="n">
        <v>2000</v>
      </c>
      <c r="H107" s="13" t="inlineStr">
        <is>
          <t>21206:5678182; 21206:4853169; 21206:4574708</t>
        </is>
      </c>
      <c r="I107" s="13" t="inlineStr">
        <is>
          <t>21605:4193291; 22544:4374765; 21605:4740730; 21632:4818941; 20340:4834958</t>
        </is>
      </c>
    </row>
    <row r="108">
      <c r="A108" s="13" t="inlineStr">
        <is>
          <t>Julia Brim-Edwards</t>
        </is>
      </c>
      <c r="B108" s="13" t="inlineStr">
        <is>
          <t>P064</t>
        </is>
      </c>
      <c r="C108" s="13" t="inlineStr">
        <is>
          <t>C276</t>
        </is>
      </c>
      <c r="D108" s="13" t="inlineStr">
        <is>
          <t>Street address or PO box</t>
        </is>
      </c>
      <c r="E108" s="15" t="inlineStr">
        <is>
          <t>Friends of Sam Adams; Friends of Vadim; Portland Accountability PAC; Rene for Portland; Vote Vasquez</t>
        </is>
      </c>
      <c r="F108" s="13" t="n">
        <v>2024</v>
      </c>
      <c r="G108" s="13" t="n">
        <v>26000</v>
      </c>
      <c r="H108" s="13" t="inlineStr">
        <is>
          <t>21206:5524725; 21206:4853051; 21206:4530466</t>
        </is>
      </c>
      <c r="I108" s="13" t="inlineStr">
        <is>
          <t>22544:4364852; 23012:4687586; 21605:4721981; 21632:4778139; 20340:4811686; 23012:4885527</t>
        </is>
      </c>
    </row>
    <row r="109">
      <c r="A109" s="13" t="inlineStr">
        <is>
          <t>Julia Brim-Edwards</t>
        </is>
      </c>
      <c r="B109" s="13" t="inlineStr">
        <is>
          <t>P065</t>
        </is>
      </c>
      <c r="C109" s="13" t="inlineStr">
        <is>
          <t>C249</t>
        </is>
      </c>
      <c r="D109" s="13" t="inlineStr">
        <is>
          <t>Street address or PO box</t>
        </is>
      </c>
      <c r="E109" s="15" t="inlineStr">
        <is>
          <t>Friends of Vadim</t>
        </is>
      </c>
      <c r="F109" s="13" t="n">
        <v>2024</v>
      </c>
      <c r="G109" s="13" t="n">
        <v>500</v>
      </c>
      <c r="H109" s="13" t="inlineStr">
        <is>
          <t>21206:5567210; 21206:4853049; 21206:4530464</t>
        </is>
      </c>
      <c r="I109" s="13" t="inlineStr">
        <is>
          <t>21632:4778136</t>
        </is>
      </c>
    </row>
    <row r="110">
      <c r="A110" s="13" t="inlineStr">
        <is>
          <t>Julia Brim-Edwards</t>
        </is>
      </c>
      <c r="B110" s="13" t="inlineStr">
        <is>
          <t>P071</t>
        </is>
      </c>
      <c r="C110" s="13" t="inlineStr">
        <is>
          <t>C153</t>
        </is>
      </c>
      <c r="D110" s="13" t="inlineStr">
        <is>
          <t>Street address or PO box</t>
        </is>
      </c>
      <c r="E110" s="15" t="inlineStr">
        <is>
          <t>Rene For Portland</t>
        </is>
      </c>
      <c r="F110" s="13" t="n">
        <v>2022</v>
      </c>
      <c r="G110" s="13" t="n">
        <v>250</v>
      </c>
      <c r="H110" s="13" t="inlineStr">
        <is>
          <t>21206:4889922</t>
        </is>
      </c>
      <c r="I110" s="13" t="inlineStr">
        <is>
          <t>21605:4343924</t>
        </is>
      </c>
    </row>
    <row r="111">
      <c r="A111" s="13" t="inlineStr">
        <is>
          <t>Julia Brim-Edwards</t>
        </is>
      </c>
      <c r="B111" s="13" t="inlineStr">
        <is>
          <t>P072</t>
        </is>
      </c>
      <c r="C111" s="13" t="inlineStr">
        <is>
          <t>C224</t>
        </is>
      </c>
      <c r="D111" s="13" t="inlineStr">
        <is>
          <t>Street address or PO box</t>
        </is>
      </c>
      <c r="E111" s="15" t="inlineStr">
        <is>
          <t>Friends of Sam Adams; Friends of Vadim; Rene For Portland; Rene for Portland</t>
        </is>
      </c>
      <c r="F111" s="13" t="n">
        <v>2024</v>
      </c>
      <c r="G111" s="13" t="n">
        <v>2000</v>
      </c>
      <c r="H111" s="13" t="inlineStr">
        <is>
          <t>21206:4853136; 21206:4563032</t>
        </is>
      </c>
      <c r="I111" s="13" t="inlineStr">
        <is>
          <t>21632:3966956; 21605:4328740; 20340:4822158; 21632:4818991; 21605:4824153</t>
        </is>
      </c>
    </row>
    <row r="112">
      <c r="A112" s="13" t="inlineStr">
        <is>
          <t>Julia Brim-Edwards</t>
        </is>
      </c>
      <c r="B112" s="13" t="inlineStr">
        <is>
          <t>P075</t>
        </is>
      </c>
      <c r="C112" s="13" t="inlineStr">
        <is>
          <t>C060</t>
        </is>
      </c>
      <c r="D112" s="13" t="inlineStr">
        <is>
          <t>Street address or PO box</t>
        </is>
      </c>
      <c r="E112" s="15" t="inlineStr">
        <is>
          <t>Friends of Sam Adams</t>
        </is>
      </c>
      <c r="F112" s="13" t="n">
        <v>2024</v>
      </c>
      <c r="G112" s="13" t="n">
        <v>500</v>
      </c>
      <c r="H112" s="13" t="inlineStr">
        <is>
          <t>21206:5584299; 21206:4560280</t>
        </is>
      </c>
      <c r="I112" s="13" t="inlineStr">
        <is>
          <t>20340:4877682</t>
        </is>
      </c>
    </row>
    <row r="113">
      <c r="A113" s="13" t="inlineStr">
        <is>
          <t>Julia Brim-Edwards</t>
        </is>
      </c>
      <c r="B113" s="13" t="inlineStr">
        <is>
          <t>P086</t>
        </is>
      </c>
      <c r="C113" s="13" t="inlineStr">
        <is>
          <t>C131</t>
        </is>
      </c>
      <c r="D113" s="13" t="inlineStr">
        <is>
          <t>Street address or PO box</t>
        </is>
      </c>
      <c r="E113" s="15" t="inlineStr">
        <is>
          <t>Friends of Sam Adams; Friends of Vadim; Rene For Portland</t>
        </is>
      </c>
      <c r="F113" s="13" t="n">
        <v>2024</v>
      </c>
      <c r="G113" s="13" t="n">
        <v>1000</v>
      </c>
      <c r="H113" s="13" t="inlineStr">
        <is>
          <t>21206:5554934; 21206:4853072; 21206:4530545</t>
        </is>
      </c>
      <c r="I113" s="13" t="inlineStr">
        <is>
          <t>21605:4255312; 21632:4855378; 20340:4858174</t>
        </is>
      </c>
    </row>
    <row r="114">
      <c r="A114" s="13" t="inlineStr">
        <is>
          <t>Julia Brim-Edwards</t>
        </is>
      </c>
      <c r="B114" s="13" t="inlineStr">
        <is>
          <t>P088</t>
        </is>
      </c>
      <c r="C114" s="13" t="inlineStr">
        <is>
          <t>C207</t>
        </is>
      </c>
      <c r="D114" s="13" t="inlineStr">
        <is>
          <t>Street address or PO box</t>
        </is>
      </c>
      <c r="E114" s="15" t="inlineStr">
        <is>
          <t>Friends of Vadim</t>
        </is>
      </c>
      <c r="F114" s="13" t="n">
        <v>2021</v>
      </c>
      <c r="G114" s="13" t="n">
        <v>250</v>
      </c>
      <c r="H114" s="13" t="inlineStr">
        <is>
          <t>21206:5704145</t>
        </is>
      </c>
      <c r="I114" s="13" t="inlineStr">
        <is>
          <t>21632:3935163</t>
        </is>
      </c>
    </row>
    <row r="115">
      <c r="A115" s="13" t="inlineStr">
        <is>
          <t>Julia Brim-Edwards</t>
        </is>
      </c>
      <c r="B115" s="13" t="inlineStr">
        <is>
          <t>P092</t>
        </is>
      </c>
      <c r="C115" s="13" t="inlineStr">
        <is>
          <t>C155</t>
        </is>
      </c>
      <c r="D115" s="13" t="inlineStr">
        <is>
          <t>Street address or PO box</t>
        </is>
      </c>
      <c r="E115" s="15" t="inlineStr">
        <is>
          <t>Friends of Sam Adams; Friends of Vadim; Portland Accountability PAC; Rene For Portland; Rene for Portland; Vote Vasquez</t>
        </is>
      </c>
      <c r="F115" s="13" t="n">
        <v>2024</v>
      </c>
      <c r="G115" s="13" t="n">
        <v>4000</v>
      </c>
      <c r="H115" s="13" t="inlineStr">
        <is>
          <t>21206:5567238</t>
        </is>
      </c>
      <c r="I115" s="13" t="inlineStr">
        <is>
          <t>21605:4348575; 22544:4376954; 21605:4446786; 21605:4740731; 23012:4743886; 23012:4825947; 20340:5017680; 21632:5068200</t>
        </is>
      </c>
    </row>
    <row r="116">
      <c r="A116" s="13" t="inlineStr">
        <is>
          <t>Julia Brim-Edwards</t>
        </is>
      </c>
      <c r="B116" s="13" t="inlineStr">
        <is>
          <t>P094</t>
        </is>
      </c>
      <c r="C116" s="13" t="inlineStr">
        <is>
          <t>C301</t>
        </is>
      </c>
      <c r="D116" s="13" t="inlineStr">
        <is>
          <t>Street address or PO box</t>
        </is>
      </c>
      <c r="E116" s="15" t="inlineStr">
        <is>
          <t>Vote Vasquez</t>
        </is>
      </c>
      <c r="F116" s="13" t="n">
        <v>2024</v>
      </c>
      <c r="G116" s="13" t="n">
        <v>500</v>
      </c>
      <c r="H116" s="13" t="inlineStr">
        <is>
          <t>21206:5578343</t>
        </is>
      </c>
      <c r="I116" s="13" t="inlineStr">
        <is>
          <t>23012:4856739</t>
        </is>
      </c>
    </row>
    <row r="117">
      <c r="A117" s="13" t="inlineStr">
        <is>
          <t>Julia Brim-Edwards</t>
        </is>
      </c>
      <c r="B117" s="13" t="inlineStr">
        <is>
          <t>P096</t>
        </is>
      </c>
      <c r="C117" s="13" t="inlineStr">
        <is>
          <t>C036</t>
        </is>
      </c>
      <c r="D117" s="13" t="inlineStr">
        <is>
          <t>Street address or PO box</t>
        </is>
      </c>
      <c r="E117" s="15" t="inlineStr">
        <is>
          <t>Friends of Sam Adams; Friends of Vadim; Rene For Portland; Rene for Portland; Vote Vasquez</t>
        </is>
      </c>
      <c r="F117" s="13" t="n">
        <v>2026</v>
      </c>
      <c r="G117" s="13" t="n">
        <v>5000</v>
      </c>
      <c r="H117" s="13" t="inlineStr">
        <is>
          <t>21206:4913057; 21206:4563021</t>
        </is>
      </c>
      <c r="I117" s="13" t="inlineStr">
        <is>
          <t>20340:3409789; 21605:4345380; 23012:4687582; 21605:4717466; 21632:4789387; 21632:4885358; 21632:5012907; 20340:5017635; 23012:5801555</t>
        </is>
      </c>
    </row>
    <row r="118">
      <c r="A118" s="13" t="inlineStr">
        <is>
          <t>Julia Brim-Edwards</t>
        </is>
      </c>
      <c r="B118" s="13" t="inlineStr">
        <is>
          <t>P102</t>
        </is>
      </c>
      <c r="C118" s="13" t="inlineStr">
        <is>
          <t>C117</t>
        </is>
      </c>
      <c r="D118" s="13" t="inlineStr">
        <is>
          <t>Street address or PO box</t>
        </is>
      </c>
      <c r="E118" s="15" t="inlineStr">
        <is>
          <t>Friends of Sam Adams; Rene For Portland</t>
        </is>
      </c>
      <c r="F118" s="13" t="n">
        <v>2024</v>
      </c>
      <c r="G118" s="13" t="n">
        <v>250</v>
      </c>
      <c r="H118" s="13" t="inlineStr">
        <is>
          <t>21206:4853091</t>
        </is>
      </c>
      <c r="I118" s="13" t="inlineStr">
        <is>
          <t>21605:4218977; 20340:4981797</t>
        </is>
      </c>
    </row>
    <row r="119">
      <c r="A119" s="13" t="inlineStr">
        <is>
          <t>Julia Brim-Edwards</t>
        </is>
      </c>
      <c r="B119" s="13" t="inlineStr">
        <is>
          <t>P103</t>
        </is>
      </c>
      <c r="C119" s="13" t="inlineStr">
        <is>
          <t>C085</t>
        </is>
      </c>
      <c r="D119" s="13" t="inlineStr">
        <is>
          <t>Street address or PO box</t>
        </is>
      </c>
      <c r="E119" s="15" t="inlineStr">
        <is>
          <t>Friends of Vadim; Portland Accountability PAC; Rene For Portland; Vote Vasquez</t>
        </is>
      </c>
      <c r="F119" s="13" t="n">
        <v>2024</v>
      </c>
      <c r="G119" s="13" t="n">
        <v>3000</v>
      </c>
      <c r="H119" s="13" t="inlineStr">
        <is>
          <t>21206:5845038</t>
        </is>
      </c>
      <c r="I119" s="13" t="inlineStr">
        <is>
          <t>21605:3976956; 22544:4353383; 21605:4368545; 23012:4691280; 21632:4803645</t>
        </is>
      </c>
    </row>
    <row r="120">
      <c r="A120" s="13" t="inlineStr">
        <is>
          <t>Julia Brim-Edwards</t>
        </is>
      </c>
      <c r="B120" s="13" t="inlineStr">
        <is>
          <t>P107</t>
        </is>
      </c>
      <c r="C120" s="13" t="inlineStr">
        <is>
          <t>C228</t>
        </is>
      </c>
      <c r="D120" s="13" t="inlineStr">
        <is>
          <t>Street address or PO box</t>
        </is>
      </c>
      <c r="E120" s="15" t="inlineStr">
        <is>
          <t>Friends of Vadim</t>
        </is>
      </c>
      <c r="F120" s="13" t="n">
        <v>2022</v>
      </c>
      <c r="G120" s="13" t="n">
        <v>250</v>
      </c>
      <c r="H120" s="13" t="inlineStr">
        <is>
          <t>21206:5867281</t>
        </is>
      </c>
      <c r="I120" s="13" t="inlineStr">
        <is>
          <t>21632:4014593</t>
        </is>
      </c>
    </row>
    <row r="121">
      <c r="A121" s="13" t="inlineStr">
        <is>
          <t>Julia Brim-Edwards</t>
        </is>
      </c>
      <c r="B121" s="13" t="inlineStr">
        <is>
          <t>P108</t>
        </is>
      </c>
      <c r="C121" s="13" t="inlineStr">
        <is>
          <t>C297</t>
        </is>
      </c>
      <c r="D121" s="13" t="inlineStr">
        <is>
          <t>Street address or PO box</t>
        </is>
      </c>
      <c r="E121" s="15" t="inlineStr">
        <is>
          <t>Friends of Vadim; Vote Vasquez</t>
        </is>
      </c>
      <c r="F121" s="13" t="n">
        <v>2024</v>
      </c>
      <c r="G121" s="13" t="n">
        <v>500</v>
      </c>
      <c r="H121" s="13" t="inlineStr">
        <is>
          <t>21206:5747291; 21206:5704168</t>
        </is>
      </c>
      <c r="I121" s="13" t="inlineStr">
        <is>
          <t>23012:4773706; 21632:4818955; 21632:4866931</t>
        </is>
      </c>
    </row>
    <row r="122">
      <c r="A122" s="13" t="inlineStr">
        <is>
          <t>Julia Brim-Edwards</t>
        </is>
      </c>
      <c r="B122" s="13" t="inlineStr">
        <is>
          <t>P110</t>
        </is>
      </c>
      <c r="C122" s="13" t="inlineStr">
        <is>
          <t>C290</t>
        </is>
      </c>
      <c r="D122" s="13" t="inlineStr">
        <is>
          <t>Street address or PO box</t>
        </is>
      </c>
      <c r="E122" s="15" t="inlineStr">
        <is>
          <t>Friends of Sam Adams; Friends of Vadim; Vote Vasquez</t>
        </is>
      </c>
      <c r="F122" s="13" t="n">
        <v>2024</v>
      </c>
      <c r="G122" s="13" t="n">
        <v>1000</v>
      </c>
      <c r="H122" s="13" t="inlineStr">
        <is>
          <t>21206:4853067; 21206:4530519</t>
        </is>
      </c>
      <c r="I122" s="13" t="inlineStr">
        <is>
          <t>23012:4691279; 20340:4817184; 21632:5050809</t>
        </is>
      </c>
    </row>
    <row r="123">
      <c r="A123" s="13" t="inlineStr">
        <is>
          <t>Julia Brim-Edwards</t>
        </is>
      </c>
      <c r="B123" s="13" t="inlineStr">
        <is>
          <t>P111</t>
        </is>
      </c>
      <c r="C123" s="13" t="inlineStr">
        <is>
          <t>C139</t>
        </is>
      </c>
      <c r="D123" s="13" t="inlineStr">
        <is>
          <t>Street address or PO box</t>
        </is>
      </c>
      <c r="E123" s="15" t="inlineStr">
        <is>
          <t>Rene For Portland</t>
        </is>
      </c>
      <c r="F123" s="13" t="n">
        <v>2022</v>
      </c>
      <c r="G123" s="13" t="n">
        <v>250</v>
      </c>
      <c r="H123" s="13" t="inlineStr">
        <is>
          <t>21206:5704181</t>
        </is>
      </c>
      <c r="I123" s="13" t="inlineStr">
        <is>
          <t>21605:4302341</t>
        </is>
      </c>
    </row>
    <row r="124">
      <c r="A124" s="13" t="inlineStr">
        <is>
          <t>Julia Brim-Edwards</t>
        </is>
      </c>
      <c r="B124" s="13" t="inlineStr">
        <is>
          <t>P112</t>
        </is>
      </c>
      <c r="C124" s="13" t="inlineStr">
        <is>
          <t>C259</t>
        </is>
      </c>
      <c r="D124" s="13" t="inlineStr">
        <is>
          <t>Street address or PO box</t>
        </is>
      </c>
      <c r="E124" s="15" t="inlineStr">
        <is>
          <t>Friends of Vadim</t>
        </is>
      </c>
      <c r="F124" s="13" t="n">
        <v>2024</v>
      </c>
      <c r="G124" s="13" t="n">
        <v>250</v>
      </c>
      <c r="H124" s="13" t="inlineStr">
        <is>
          <t>21206:5704156</t>
        </is>
      </c>
      <c r="I124" s="13" t="inlineStr">
        <is>
          <t>21632:4885380</t>
        </is>
      </c>
    </row>
    <row r="125">
      <c r="A125" s="13" t="inlineStr">
        <is>
          <t>Julia Brim-Edwards</t>
        </is>
      </c>
      <c r="B125" s="13" t="inlineStr">
        <is>
          <t>P112</t>
        </is>
      </c>
      <c r="C125" s="13" t="inlineStr">
        <is>
          <t>C260</t>
        </is>
      </c>
      <c r="D125" s="13" t="inlineStr">
        <is>
          <t>Street address or PO box</t>
        </is>
      </c>
      <c r="E125" s="15" t="inlineStr">
        <is>
          <t>Friends of Vadim</t>
        </is>
      </c>
      <c r="F125" s="13" t="n">
        <v>2024</v>
      </c>
      <c r="G125" s="13" t="n">
        <v>250</v>
      </c>
      <c r="H125" s="13" t="inlineStr">
        <is>
          <t>21206:5704157</t>
        </is>
      </c>
      <c r="I125" s="13" t="inlineStr">
        <is>
          <t>21632:4885382</t>
        </is>
      </c>
    </row>
    <row r="126">
      <c r="A126" s="13" t="inlineStr">
        <is>
          <t>Julia Brim-Edwards</t>
        </is>
      </c>
      <c r="B126" s="13" t="inlineStr">
        <is>
          <t>P116</t>
        </is>
      </c>
      <c r="C126" s="13" t="inlineStr">
        <is>
          <t>C133</t>
        </is>
      </c>
      <c r="D126" s="13" t="inlineStr">
        <is>
          <t>Street address or PO box</t>
        </is>
      </c>
      <c r="E126" s="15" t="inlineStr">
        <is>
          <t>Friends of Sam Adams; Friends of Vadim; Rene For Portland; Rene for Portland</t>
        </is>
      </c>
      <c r="F126" s="13" t="n">
        <v>2024</v>
      </c>
      <c r="G126" s="13" t="n">
        <v>2000</v>
      </c>
      <c r="H126" s="13" t="inlineStr">
        <is>
          <t>21206:4867867</t>
        </is>
      </c>
      <c r="I126" s="13" t="inlineStr">
        <is>
          <t>21605:4273961; 21605:4717589; 21632:4789405; 20340:4866759</t>
        </is>
      </c>
    </row>
    <row r="127">
      <c r="A127" s="13" t="inlineStr">
        <is>
          <t>Julia Brim-Edwards</t>
        </is>
      </c>
      <c r="B127" s="13" t="inlineStr">
        <is>
          <t>P116</t>
        </is>
      </c>
      <c r="C127" s="13" t="inlineStr">
        <is>
          <t>C275</t>
        </is>
      </c>
      <c r="D127" s="13" t="inlineStr">
        <is>
          <t>Street address or PO box</t>
        </is>
      </c>
      <c r="E127" s="15" t="inlineStr">
        <is>
          <t>Friends of Pam Treece; Friends of Sam Adams; Friends of Vadim; Portland Accountability PAC; Vote Vasquez</t>
        </is>
      </c>
      <c r="F127" s="13" t="n">
        <v>2026</v>
      </c>
      <c r="G127" s="13" t="n">
        <v>156000</v>
      </c>
      <c r="H127" s="13" t="inlineStr">
        <is>
          <t>21206:4867866</t>
        </is>
      </c>
      <c r="I127" s="13" t="inlineStr">
        <is>
          <t>22544:4363457; 23012:4607928; 21632:4789406; 23012:4790327; 20340:4866778; 23012:4871708; 18397:5432713; 18397:5650343; 18397:5721122; 23012:5801553; 18397:5803786; 23012:5852104</t>
        </is>
      </c>
    </row>
    <row r="128">
      <c r="A128" s="13" t="inlineStr">
        <is>
          <t>Julia Brim-Edwards</t>
        </is>
      </c>
      <c r="B128" s="13" t="inlineStr">
        <is>
          <t>P124</t>
        </is>
      </c>
      <c r="C128" s="13" t="inlineStr">
        <is>
          <t>C273</t>
        </is>
      </c>
      <c r="D128" s="13" t="inlineStr">
        <is>
          <t>ZIP + employer</t>
        </is>
      </c>
      <c r="E128" s="15" t="inlineStr">
        <is>
          <t>Portland Accountability PAC</t>
        </is>
      </c>
      <c r="F128" s="13" t="n">
        <v>2022</v>
      </c>
      <c r="G128" s="13" t="n">
        <v>500</v>
      </c>
      <c r="H128" s="13" t="inlineStr">
        <is>
          <t>21206:5852743; 21206:4536296</t>
        </is>
      </c>
      <c r="I128" s="13" t="inlineStr">
        <is>
          <t>22544:4353407</t>
        </is>
      </c>
    </row>
    <row r="129">
      <c r="A129" s="13" t="inlineStr">
        <is>
          <t>Julia Brim-Edwards</t>
        </is>
      </c>
      <c r="B129" s="13" t="inlineStr">
        <is>
          <t>P125</t>
        </is>
      </c>
      <c r="C129" s="13" t="inlineStr">
        <is>
          <t>C230</t>
        </is>
      </c>
      <c r="D129" s="13" t="inlineStr">
        <is>
          <t>Street address or PO box</t>
        </is>
      </c>
      <c r="E129" s="15" t="inlineStr">
        <is>
          <t>Friends of Vadim</t>
        </is>
      </c>
      <c r="F129" s="13" t="n">
        <v>2022</v>
      </c>
      <c r="G129" s="13" t="n">
        <v>250</v>
      </c>
      <c r="H129" s="13" t="inlineStr">
        <is>
          <t>21206:5647910</t>
        </is>
      </c>
      <c r="I129" s="13" t="inlineStr">
        <is>
          <t>21632:4014610</t>
        </is>
      </c>
    </row>
    <row r="130">
      <c r="A130" s="13" t="inlineStr">
        <is>
          <t>Julia Brim-Edwards</t>
        </is>
      </c>
      <c r="B130" s="13" t="inlineStr">
        <is>
          <t>P125</t>
        </is>
      </c>
      <c r="C130" s="13" t="inlineStr">
        <is>
          <t>C231</t>
        </is>
      </c>
      <c r="D130" s="13" t="inlineStr">
        <is>
          <t>Street address or PO box</t>
        </is>
      </c>
      <c r="E130" s="15" t="inlineStr">
        <is>
          <t>Friends of Vadim; Portland Accountability PAC; Rene For Portland</t>
        </is>
      </c>
      <c r="F130" s="13" t="n">
        <v>2022</v>
      </c>
      <c r="G130" s="13" t="n">
        <v>1000</v>
      </c>
      <c r="H130" s="13" t="inlineStr">
        <is>
          <t>21206:5704162; 21206:4554398</t>
        </is>
      </c>
      <c r="I130" s="13" t="inlineStr">
        <is>
          <t>21632:4014611; 21605:4363685; 22544:4396420</t>
        </is>
      </c>
    </row>
    <row r="131">
      <c r="A131" s="13" t="inlineStr">
        <is>
          <t>Julia Brim-Edwards</t>
        </is>
      </c>
      <c r="B131" s="13" t="inlineStr">
        <is>
          <t>P129</t>
        </is>
      </c>
      <c r="C131" s="13" t="inlineStr">
        <is>
          <t>C025</t>
        </is>
      </c>
      <c r="D131" s="13" t="inlineStr">
        <is>
          <t>Street address or PO box</t>
        </is>
      </c>
      <c r="E131" s="15" t="inlineStr">
        <is>
          <t>Friends of Pam Treece</t>
        </is>
      </c>
      <c r="F131" s="13" t="n">
        <v>2026</v>
      </c>
      <c r="G131" s="13" t="n">
        <v>250</v>
      </c>
      <c r="H131" s="13" t="inlineStr">
        <is>
          <t>21206:5814152; 21206:5554966; 21206:4913059</t>
        </is>
      </c>
      <c r="I131" s="13" t="inlineStr">
        <is>
          <t>18397:5829006</t>
        </is>
      </c>
    </row>
    <row r="132">
      <c r="A132" s="13" t="inlineStr">
        <is>
          <t>Julia Brim-Edwards</t>
        </is>
      </c>
      <c r="B132" s="13" t="inlineStr">
        <is>
          <t>P131</t>
        </is>
      </c>
      <c r="C132" s="13" t="inlineStr">
        <is>
          <t>C234</t>
        </is>
      </c>
      <c r="D132" s="13" t="inlineStr">
        <is>
          <t>Street address or PO box</t>
        </is>
      </c>
      <c r="E132" s="15" t="inlineStr">
        <is>
          <t>Friends of Sam Adams; Friends of Vadim</t>
        </is>
      </c>
      <c r="F132" s="13" t="n">
        <v>2024</v>
      </c>
      <c r="G132" s="13" t="n">
        <v>500</v>
      </c>
      <c r="H132" s="13" t="inlineStr">
        <is>
          <t>21206:5853825</t>
        </is>
      </c>
      <c r="I132" s="13" t="inlineStr">
        <is>
          <t>21632:4100079; 20340:4858176</t>
        </is>
      </c>
    </row>
    <row r="133">
      <c r="A133" s="13" t="inlineStr">
        <is>
          <t>Julia Brim-Edwards</t>
        </is>
      </c>
      <c r="B133" s="13" t="inlineStr">
        <is>
          <t>P132</t>
        </is>
      </c>
      <c r="C133" s="13" t="inlineStr">
        <is>
          <t>C020</t>
        </is>
      </c>
      <c r="D133" s="13" t="inlineStr">
        <is>
          <t>Street address or PO box</t>
        </is>
      </c>
      <c r="E133" s="15" t="inlineStr">
        <is>
          <t>Friends of Pam Treece</t>
        </is>
      </c>
      <c r="F133" s="13" t="n">
        <v>2026</v>
      </c>
      <c r="G133" s="13" t="n">
        <v>250</v>
      </c>
      <c r="H133" s="13" t="inlineStr">
        <is>
          <t>21206:5845045</t>
        </is>
      </c>
      <c r="I133" s="13" t="inlineStr">
        <is>
          <t>18397:5625580</t>
        </is>
      </c>
    </row>
    <row r="134">
      <c r="A134" s="13" t="inlineStr">
        <is>
          <t>Julia Brim-Edwards</t>
        </is>
      </c>
      <c r="B134" s="13" t="inlineStr">
        <is>
          <t>P133</t>
        </is>
      </c>
      <c r="C134" s="13" t="inlineStr">
        <is>
          <t>C254</t>
        </is>
      </c>
      <c r="D134" s="13" t="inlineStr">
        <is>
          <t>Street address or PO box</t>
        </is>
      </c>
      <c r="E134" s="15" t="inlineStr">
        <is>
          <t>Friends of Pam Treece; Friends of Vadim</t>
        </is>
      </c>
      <c r="F134" s="13" t="n">
        <v>2026</v>
      </c>
      <c r="G134" s="13" t="n">
        <v>750</v>
      </c>
      <c r="H134" s="13" t="inlineStr">
        <is>
          <t>21206:5678176; 21206:4563006</t>
        </is>
      </c>
      <c r="I134" s="13" t="inlineStr">
        <is>
          <t>21632:4855333; 18397:5625561</t>
        </is>
      </c>
    </row>
    <row r="135">
      <c r="A135" s="13" t="inlineStr">
        <is>
          <t>Julia Brim-Edwards</t>
        </is>
      </c>
      <c r="B135" s="13" t="inlineStr">
        <is>
          <t>P134</t>
        </is>
      </c>
      <c r="C135" s="13" t="inlineStr">
        <is>
          <t>C232</t>
        </is>
      </c>
      <c r="D135" s="13" t="inlineStr">
        <is>
          <t>Street address or PO box</t>
        </is>
      </c>
      <c r="E135" s="15" t="inlineStr">
        <is>
          <t>Friends of Vadim; Rene For Portland</t>
        </is>
      </c>
      <c r="F135" s="13" t="n">
        <v>2022</v>
      </c>
      <c r="G135" s="13" t="n">
        <v>500</v>
      </c>
      <c r="H135" s="13" t="inlineStr">
        <is>
          <t>21206:5554964; 21206:4530461</t>
        </is>
      </c>
      <c r="I135" s="13" t="inlineStr">
        <is>
          <t>21632:4024561; 21605:4316391; 21605:4396817</t>
        </is>
      </c>
    </row>
    <row r="136">
      <c r="A136" s="13" t="inlineStr">
        <is>
          <t>Julia Brim-Edwards</t>
        </is>
      </c>
      <c r="B136" s="13" t="inlineStr">
        <is>
          <t>P135</t>
        </is>
      </c>
      <c r="C136" s="13" t="inlineStr">
        <is>
          <t>C006</t>
        </is>
      </c>
      <c r="D136" s="13" t="inlineStr">
        <is>
          <t>Street address or PO box</t>
        </is>
      </c>
      <c r="E136" s="15" t="inlineStr">
        <is>
          <t>Friends of Pam Treece</t>
        </is>
      </c>
      <c r="F136" s="13" t="n">
        <v>2018</v>
      </c>
      <c r="G136" s="13" t="n">
        <v>250</v>
      </c>
      <c r="H136" s="13" t="inlineStr">
        <is>
          <t>21206:4530481</t>
        </is>
      </c>
      <c r="I136" s="13" t="inlineStr">
        <is>
          <t>18397:2749459</t>
        </is>
      </c>
    </row>
    <row r="137">
      <c r="A137" s="13" t="inlineStr">
        <is>
          <t>Julia Brim-Edwards</t>
        </is>
      </c>
      <c r="B137" s="13" t="inlineStr">
        <is>
          <t>P136</t>
        </is>
      </c>
      <c r="C137" s="13" t="inlineStr">
        <is>
          <t>C021</t>
        </is>
      </c>
      <c r="D137" s="13" t="inlineStr">
        <is>
          <t>Street address or PO box</t>
        </is>
      </c>
      <c r="E137" s="15" t="inlineStr">
        <is>
          <t>Friends of Pam Treece</t>
        </is>
      </c>
      <c r="F137" s="13" t="n">
        <v>2026</v>
      </c>
      <c r="G137" s="13" t="n">
        <v>250</v>
      </c>
      <c r="H137" s="13" t="inlineStr">
        <is>
          <t>21206:4530483</t>
        </is>
      </c>
      <c r="I137" s="13" t="inlineStr">
        <is>
          <t>18397:5643314</t>
        </is>
      </c>
    </row>
    <row r="138">
      <c r="A138" s="13" t="inlineStr">
        <is>
          <t>Julia Brim-Edwards</t>
        </is>
      </c>
      <c r="B138" s="13" t="inlineStr">
        <is>
          <t>P137</t>
        </is>
      </c>
      <c r="C138" s="13" t="inlineStr">
        <is>
          <t>C110</t>
        </is>
      </c>
      <c r="D138" s="13" t="inlineStr">
        <is>
          <t>Street address or PO box</t>
        </is>
      </c>
      <c r="E138" s="15" t="inlineStr">
        <is>
          <t>Friends of Sam Adams; Portland Accountability PAC; Rene For Portland</t>
        </is>
      </c>
      <c r="F138" s="13" t="n">
        <v>2024</v>
      </c>
      <c r="G138" s="13" t="n">
        <v>1000</v>
      </c>
      <c r="H138" s="13" t="inlineStr">
        <is>
          <t>21206:4867859; 21206:4530508</t>
        </is>
      </c>
      <c r="I138" s="13" t="inlineStr">
        <is>
          <t>21605:4193402; 22544:4363460; 21605:4446789; 20340:5054013</t>
        </is>
      </c>
    </row>
    <row r="139">
      <c r="A139" s="13" t="inlineStr">
        <is>
          <t>Julia Brim-Edwards</t>
        </is>
      </c>
      <c r="B139" s="13" t="inlineStr">
        <is>
          <t>P138</t>
        </is>
      </c>
      <c r="C139" s="13" t="inlineStr">
        <is>
          <t>C075</t>
        </is>
      </c>
      <c r="D139" s="13" t="inlineStr">
        <is>
          <t>Street address or PO box</t>
        </is>
      </c>
      <c r="E139" s="15" t="inlineStr">
        <is>
          <t>Friends of Pam Treece; Rene For Portland; Rene for Portland</t>
        </is>
      </c>
      <c r="F139" s="13" t="n">
        <v>2026</v>
      </c>
      <c r="G139" s="13" t="n">
        <v>2000</v>
      </c>
      <c r="H139" s="13" t="inlineStr">
        <is>
          <t>21206:5678167; 21206:4530513</t>
        </is>
      </c>
      <c r="I139" s="13" t="inlineStr">
        <is>
          <t>21605:3891299; 21605:4368539; 21605:4717560; 18397:5803796</t>
        </is>
      </c>
    </row>
    <row r="140">
      <c r="A140" s="13" t="inlineStr">
        <is>
          <t>Julia Brim-Edwards</t>
        </is>
      </c>
      <c r="B140" s="13" t="inlineStr">
        <is>
          <t>P139</t>
        </is>
      </c>
      <c r="C140" s="13" t="inlineStr">
        <is>
          <t>C190</t>
        </is>
      </c>
      <c r="D140" s="13" t="inlineStr">
        <is>
          <t>Street address or PO box</t>
        </is>
      </c>
      <c r="E140" s="15" t="inlineStr">
        <is>
          <t>Friends of Sam Adams; Friends of Vadim; Rene for Portland</t>
        </is>
      </c>
      <c r="F140" s="13" t="n">
        <v>2024</v>
      </c>
      <c r="G140" s="13" t="n">
        <v>1000</v>
      </c>
      <c r="H140" s="13" t="inlineStr">
        <is>
          <t>21206:4853066; 21206:4530515</t>
        </is>
      </c>
      <c r="I140" s="13" t="inlineStr">
        <is>
          <t>21632:3881692; 21605:4751473; 20340:4821672</t>
        </is>
      </c>
    </row>
    <row r="141">
      <c r="A141" s="13" t="inlineStr">
        <is>
          <t>Julia Brim-Edwards</t>
        </is>
      </c>
      <c r="B141" s="13" t="inlineStr">
        <is>
          <t>P140</t>
        </is>
      </c>
      <c r="C141" s="13" t="inlineStr">
        <is>
          <t>C078</t>
        </is>
      </c>
      <c r="D141" s="13" t="inlineStr">
        <is>
          <t>Street address or PO box</t>
        </is>
      </c>
      <c r="E141" s="15" t="inlineStr">
        <is>
          <t>Friends of Vadim; Rene For Portland; Rene for Portland</t>
        </is>
      </c>
      <c r="F141" s="13" t="n">
        <v>2024</v>
      </c>
      <c r="G141" s="13" t="n">
        <v>750</v>
      </c>
      <c r="H141" s="13" t="inlineStr">
        <is>
          <t>21206:5555064; 21206:4530524</t>
        </is>
      </c>
      <c r="I141" s="13" t="inlineStr">
        <is>
          <t>21605:3904980; 21632:4131071; 21605:4788320</t>
        </is>
      </c>
    </row>
    <row r="142">
      <c r="A142" s="13" t="inlineStr">
        <is>
          <t>Julia Brim-Edwards</t>
        </is>
      </c>
      <c r="B142" s="13" t="inlineStr">
        <is>
          <t>P141</t>
        </is>
      </c>
      <c r="C142" s="13" t="inlineStr">
        <is>
          <t>C017</t>
        </is>
      </c>
      <c r="D142" s="13" t="inlineStr">
        <is>
          <t>Street address or PO box</t>
        </is>
      </c>
      <c r="E142" s="15" t="inlineStr">
        <is>
          <t>Friends of Pam Treece</t>
        </is>
      </c>
      <c r="F142" s="13" t="n">
        <v>2026</v>
      </c>
      <c r="G142" s="13" t="n">
        <v>750</v>
      </c>
      <c r="H142" s="13" t="inlineStr">
        <is>
          <t>21206:5627305; 21206:4530534</t>
        </is>
      </c>
      <c r="I142" s="13" t="inlineStr">
        <is>
          <t>18397:5432743; 18397:5625560</t>
        </is>
      </c>
    </row>
    <row r="143">
      <c r="A143" s="13" t="inlineStr">
        <is>
          <t>Julia Brim-Edwards</t>
        </is>
      </c>
      <c r="B143" s="13" t="inlineStr">
        <is>
          <t>P142</t>
        </is>
      </c>
      <c r="C143" s="13" t="inlineStr">
        <is>
          <t>C219</t>
        </is>
      </c>
      <c r="D143" s="13" t="inlineStr">
        <is>
          <t>Street address or PO box</t>
        </is>
      </c>
      <c r="E143" s="15" t="inlineStr">
        <is>
          <t>Friends of Sam Adams; Friends of Vadim; Portland Accountability PAC; Rene for Portland</t>
        </is>
      </c>
      <c r="F143" s="13" t="n">
        <v>2024</v>
      </c>
      <c r="G143" s="13" t="n">
        <v>1000</v>
      </c>
      <c r="H143" s="13" t="inlineStr">
        <is>
          <t>21206:4530546</t>
        </is>
      </c>
      <c r="I143" s="13" t="inlineStr">
        <is>
          <t>21632:3942404; 22544:4353405; 21605:4717382; 20340:4821683; 20340:5054049</t>
        </is>
      </c>
    </row>
    <row r="144">
      <c r="A144" s="13" t="inlineStr">
        <is>
          <t>Julia Brim-Edwards</t>
        </is>
      </c>
      <c r="B144" s="13" t="inlineStr">
        <is>
          <t>P143</t>
        </is>
      </c>
      <c r="C144" s="13" t="inlineStr">
        <is>
          <t>C114</t>
        </is>
      </c>
      <c r="D144" s="13" t="inlineStr">
        <is>
          <t>Street address or PO box</t>
        </is>
      </c>
      <c r="E144" s="15" t="inlineStr">
        <is>
          <t>Portland Accountability PAC; Rene For Portland; Rene for Portland</t>
        </is>
      </c>
      <c r="F144" s="13" t="n">
        <v>2024</v>
      </c>
      <c r="G144" s="13" t="n">
        <v>1000</v>
      </c>
      <c r="H144" s="13" t="inlineStr">
        <is>
          <t>21206:4530547</t>
        </is>
      </c>
      <c r="I144" s="13" t="inlineStr">
        <is>
          <t>21605:4212666; 22544:4353380; 21605:4632999; 21605:4746848</t>
        </is>
      </c>
    </row>
    <row r="145">
      <c r="A145" s="13" t="inlineStr">
        <is>
          <t>Julia Brim-Edwards</t>
        </is>
      </c>
      <c r="B145" s="13" t="inlineStr">
        <is>
          <t>P144</t>
        </is>
      </c>
      <c r="C145" s="13" t="inlineStr">
        <is>
          <t>C034</t>
        </is>
      </c>
      <c r="D145" s="13" t="inlineStr">
        <is>
          <t>Street address or PO box</t>
        </is>
      </c>
      <c r="E145" s="15" t="inlineStr">
        <is>
          <t>Friends of Sam Adams; Rene For Portland</t>
        </is>
      </c>
      <c r="F145" s="13" t="n">
        <v>2022</v>
      </c>
      <c r="G145" s="13" t="n">
        <v>750</v>
      </c>
      <c r="H145" s="13" t="inlineStr">
        <is>
          <t>21206:5567209; 21206:4530560</t>
        </is>
      </c>
      <c r="I145" s="13" t="inlineStr">
        <is>
          <t>20340:3375862; 21605:4079509; 21605:4355795</t>
        </is>
      </c>
    </row>
    <row r="146">
      <c r="A146" s="13" t="inlineStr">
        <is>
          <t>Julia Brim-Edwards</t>
        </is>
      </c>
      <c r="B146" s="13" t="inlineStr">
        <is>
          <t>P145</t>
        </is>
      </c>
      <c r="C146" s="13" t="inlineStr">
        <is>
          <t>C090</t>
        </is>
      </c>
      <c r="D146" s="13" t="inlineStr">
        <is>
          <t>Street address or PO box</t>
        </is>
      </c>
      <c r="E146" s="15" t="inlineStr">
        <is>
          <t>Rene For Portland</t>
        </is>
      </c>
      <c r="F146" s="13" t="n">
        <v>2022</v>
      </c>
      <c r="G146" s="13" t="n">
        <v>750</v>
      </c>
      <c r="H146" s="13" t="inlineStr">
        <is>
          <t>21206:5647944; 21206:4853076; 21206:4536299</t>
        </is>
      </c>
      <c r="I146" s="13" t="inlineStr">
        <is>
          <t>21605:4078674; 21605:4328769; 21605:4350792</t>
        </is>
      </c>
    </row>
    <row r="147">
      <c r="A147" s="13" t="inlineStr">
        <is>
          <t>Julia Brim-Edwards</t>
        </is>
      </c>
      <c r="B147" s="13" t="inlineStr">
        <is>
          <t>P146</t>
        </is>
      </c>
      <c r="C147" s="13" t="inlineStr">
        <is>
          <t>C240</t>
        </is>
      </c>
      <c r="D147" s="13" t="inlineStr">
        <is>
          <t>Street address or PO box</t>
        </is>
      </c>
      <c r="E147" s="15" t="inlineStr">
        <is>
          <t>Friends of Vadim</t>
        </is>
      </c>
      <c r="F147" s="13" t="n">
        <v>2022</v>
      </c>
      <c r="G147" s="13" t="n">
        <v>250</v>
      </c>
      <c r="H147" s="13" t="inlineStr">
        <is>
          <t>21206:5704154; 21206:4536328</t>
        </is>
      </c>
      <c r="I147" s="13" t="inlineStr">
        <is>
          <t>21632:4109064</t>
        </is>
      </c>
    </row>
    <row r="148">
      <c r="A148" s="13" t="inlineStr">
        <is>
          <t>Julia Brim-Edwards</t>
        </is>
      </c>
      <c r="B148" s="13" t="inlineStr">
        <is>
          <t>P147</t>
        </is>
      </c>
      <c r="C148" s="13" t="inlineStr">
        <is>
          <t>C016</t>
        </is>
      </c>
      <c r="D148" s="13" t="inlineStr">
        <is>
          <t>Street address or PO box</t>
        </is>
      </c>
      <c r="E148" s="15" t="inlineStr">
        <is>
          <t>Friends of Pam Treece</t>
        </is>
      </c>
      <c r="F148" s="13" t="n">
        <v>2025</v>
      </c>
      <c r="G148" s="13" t="n">
        <v>1000</v>
      </c>
      <c r="H148" s="13" t="inlineStr">
        <is>
          <t>21206:5567148; 21206:4861352; 21206:4536332</t>
        </is>
      </c>
      <c r="I148" s="13" t="inlineStr">
        <is>
          <t>18397:5387400</t>
        </is>
      </c>
    </row>
    <row r="149">
      <c r="A149" s="13" t="inlineStr">
        <is>
          <t>Julia Brim-Edwards</t>
        </is>
      </c>
      <c r="B149" s="13" t="inlineStr">
        <is>
          <t>P148</t>
        </is>
      </c>
      <c r="C149" s="13" t="inlineStr">
        <is>
          <t>C055</t>
        </is>
      </c>
      <c r="D149" s="13" t="inlineStr">
        <is>
          <t>Street address or PO box</t>
        </is>
      </c>
      <c r="E149" s="15" t="inlineStr">
        <is>
          <t>Friends of Sam Adams</t>
        </is>
      </c>
      <c r="F149" s="13" t="n">
        <v>2024</v>
      </c>
      <c r="G149" s="13" t="n">
        <v>250</v>
      </c>
      <c r="H149" s="13" t="inlineStr">
        <is>
          <t>21206:4536336</t>
        </is>
      </c>
      <c r="I149" s="13" t="inlineStr">
        <is>
          <t>20340:4858173</t>
        </is>
      </c>
    </row>
    <row r="150">
      <c r="A150" s="13" t="inlineStr">
        <is>
          <t>Julia Brim-Edwards</t>
        </is>
      </c>
      <c r="B150" s="13" t="inlineStr">
        <is>
          <t>P149</t>
        </is>
      </c>
      <c r="C150" s="13" t="inlineStr">
        <is>
          <t>C299</t>
        </is>
      </c>
      <c r="D150" s="13" t="inlineStr">
        <is>
          <t>Street address or PO box</t>
        </is>
      </c>
      <c r="E150" s="15" t="inlineStr">
        <is>
          <t>Vote Vasquez</t>
        </is>
      </c>
      <c r="F150" s="13" t="n">
        <v>2024</v>
      </c>
      <c r="G150" s="13" t="n">
        <v>250</v>
      </c>
      <c r="H150" s="13" t="inlineStr">
        <is>
          <t>21206:4551151</t>
        </is>
      </c>
      <c r="I150" s="13" t="inlineStr">
        <is>
          <t>23012:4790278</t>
        </is>
      </c>
    </row>
    <row r="151">
      <c r="A151" s="13" t="inlineStr">
        <is>
          <t>Julia Brim-Edwards</t>
        </is>
      </c>
      <c r="B151" s="13" t="inlineStr">
        <is>
          <t>P150</t>
        </is>
      </c>
      <c r="C151" s="13" t="inlineStr">
        <is>
          <t>C140</t>
        </is>
      </c>
      <c r="D151" s="13" t="inlineStr">
        <is>
          <t>Street address or PO box</t>
        </is>
      </c>
      <c r="E151" s="15" t="inlineStr">
        <is>
          <t>Rene For Portland; Vote Vasquez</t>
        </is>
      </c>
      <c r="F151" s="13" t="n">
        <v>2023</v>
      </c>
      <c r="G151" s="13" t="n">
        <v>500</v>
      </c>
      <c r="H151" s="13" t="inlineStr">
        <is>
          <t>21206:5627289; 21206:4551174</t>
        </is>
      </c>
      <c r="I151" s="13" t="inlineStr">
        <is>
          <t>21605:4306200; 23012:4743898</t>
        </is>
      </c>
    </row>
    <row r="152">
      <c r="A152" s="13" t="inlineStr">
        <is>
          <t>Julia Brim-Edwards</t>
        </is>
      </c>
      <c r="B152" s="13" t="inlineStr">
        <is>
          <t>P151</t>
        </is>
      </c>
      <c r="C152" s="13" t="inlineStr">
        <is>
          <t>C257</t>
        </is>
      </c>
      <c r="D152" s="13" t="inlineStr">
        <is>
          <t>Street address or PO box</t>
        </is>
      </c>
      <c r="E152" s="15" t="inlineStr">
        <is>
          <t>Friends of Vadim</t>
        </is>
      </c>
      <c r="F152" s="13" t="n">
        <v>2024</v>
      </c>
      <c r="G152" s="13" t="n">
        <v>250</v>
      </c>
      <c r="H152" s="13" t="inlineStr">
        <is>
          <t>21206:5578336; 21206:4853107; 21206:4551176</t>
        </is>
      </c>
      <c r="I152" s="13" t="inlineStr">
        <is>
          <t>21632:4868076</t>
        </is>
      </c>
    </row>
    <row r="153">
      <c r="A153" s="13" t="inlineStr">
        <is>
          <t>Julia Brim-Edwards</t>
        </is>
      </c>
      <c r="B153" s="13" t="inlineStr">
        <is>
          <t>P152</t>
        </is>
      </c>
      <c r="C153" s="13" t="inlineStr">
        <is>
          <t>C170</t>
        </is>
      </c>
      <c r="D153" s="13" t="inlineStr">
        <is>
          <t>Street address or PO box</t>
        </is>
      </c>
      <c r="E153" s="15" t="inlineStr">
        <is>
          <t>Rene for Portland</t>
        </is>
      </c>
      <c r="F153" s="13" t="n">
        <v>2023</v>
      </c>
      <c r="G153" s="13" t="n">
        <v>250</v>
      </c>
      <c r="H153" s="13" t="inlineStr">
        <is>
          <t>21206:4551182</t>
        </is>
      </c>
      <c r="I153" s="13" t="inlineStr">
        <is>
          <t>21605:4717529</t>
        </is>
      </c>
    </row>
    <row r="154">
      <c r="A154" s="13" t="inlineStr">
        <is>
          <t>Julia Brim-Edwards</t>
        </is>
      </c>
      <c r="B154" s="13" t="inlineStr">
        <is>
          <t>P153</t>
        </is>
      </c>
      <c r="C154" s="13" t="inlineStr">
        <is>
          <t>C287</t>
        </is>
      </c>
      <c r="D154" s="13" t="inlineStr">
        <is>
          <t>Street address or PO box</t>
        </is>
      </c>
      <c r="E154" s="15" t="inlineStr">
        <is>
          <t>Friends of Vadim; Vote Vasquez</t>
        </is>
      </c>
      <c r="F154" s="13" t="n">
        <v>2024</v>
      </c>
      <c r="G154" s="13" t="n">
        <v>2000</v>
      </c>
      <c r="H154" s="13" t="inlineStr">
        <is>
          <t>21206:5678190; 21206:4551186</t>
        </is>
      </c>
      <c r="I154" s="13" t="inlineStr">
        <is>
          <t>23012:4682757; 21632:4855361; 23012:4856773</t>
        </is>
      </c>
    </row>
    <row r="155">
      <c r="A155" s="13" t="inlineStr">
        <is>
          <t>Julia Brim-Edwards</t>
        </is>
      </c>
      <c r="B155" s="13" t="inlineStr">
        <is>
          <t>P154</t>
        </is>
      </c>
      <c r="C155" s="13" t="inlineStr">
        <is>
          <t>C062</t>
        </is>
      </c>
      <c r="D155" s="13" t="inlineStr">
        <is>
          <t>Street address or PO box</t>
        </is>
      </c>
      <c r="E155" s="15" t="inlineStr">
        <is>
          <t>Friends of Sam Adams</t>
        </is>
      </c>
      <c r="F155" s="13" t="n">
        <v>2024</v>
      </c>
      <c r="G155" s="13" t="n">
        <v>250</v>
      </c>
      <c r="H155" s="13" t="inlineStr">
        <is>
          <t>21206:5627269; 21206:4554402</t>
        </is>
      </c>
      <c r="I155" s="13" t="inlineStr">
        <is>
          <t>20340:4877706</t>
        </is>
      </c>
    </row>
    <row r="156">
      <c r="A156" s="13" t="inlineStr">
        <is>
          <t>Julia Brim-Edwards</t>
        </is>
      </c>
      <c r="B156" s="13" t="inlineStr">
        <is>
          <t>P155</t>
        </is>
      </c>
      <c r="C156" s="13" t="inlineStr">
        <is>
          <t>C068</t>
        </is>
      </c>
      <c r="D156" s="13" t="inlineStr">
        <is>
          <t>Street address or PO box</t>
        </is>
      </c>
      <c r="E156" s="15" t="inlineStr">
        <is>
          <t>Friends of Sam Adams</t>
        </is>
      </c>
      <c r="F156" s="13" t="n">
        <v>2024</v>
      </c>
      <c r="G156" s="13" t="n">
        <v>500</v>
      </c>
      <c r="H156" s="13" t="inlineStr">
        <is>
          <t>21206:4557169</t>
        </is>
      </c>
      <c r="I156" s="13" t="inlineStr">
        <is>
          <t>20340:5029338</t>
        </is>
      </c>
    </row>
    <row r="157">
      <c r="A157" s="13" t="inlineStr">
        <is>
          <t>Julia Brim-Edwards</t>
        </is>
      </c>
      <c r="B157" s="13" t="inlineStr">
        <is>
          <t>P156</t>
        </is>
      </c>
      <c r="C157" s="13" t="inlineStr">
        <is>
          <t>C100</t>
        </is>
      </c>
      <c r="D157" s="13" t="inlineStr">
        <is>
          <t>Street address or PO box, ZIP + employer</t>
        </is>
      </c>
      <c r="E157" s="15" t="inlineStr">
        <is>
          <t>Rene For Portland; Vote Vasquez</t>
        </is>
      </c>
      <c r="F157" s="13" t="n">
        <v>2024</v>
      </c>
      <c r="G157" s="13" t="n">
        <v>750</v>
      </c>
      <c r="H157" s="13" t="inlineStr">
        <is>
          <t>21206:4563007</t>
        </is>
      </c>
      <c r="I157" s="13" t="inlineStr">
        <is>
          <t>21605:4146139; 23012:4803144</t>
        </is>
      </c>
    </row>
    <row r="158">
      <c r="A158" s="13" t="inlineStr">
        <is>
          <t>Julia Brim-Edwards</t>
        </is>
      </c>
      <c r="B158" s="13" t="inlineStr">
        <is>
          <t>P157</t>
        </is>
      </c>
      <c r="C158" s="13" t="inlineStr">
        <is>
          <t>C043</t>
        </is>
      </c>
      <c r="D158" s="13" t="inlineStr">
        <is>
          <t>Street address or PO box</t>
        </is>
      </c>
      <c r="E158" s="15" t="inlineStr">
        <is>
          <t>Friends of Sam Adams</t>
        </is>
      </c>
      <c r="F158" s="13" t="n">
        <v>2024</v>
      </c>
      <c r="G158" s="13" t="n">
        <v>1000</v>
      </c>
      <c r="H158" s="13" t="inlineStr">
        <is>
          <t>21206:5554920; 21206:4876634; 21206:4563009</t>
        </is>
      </c>
      <c r="I158" s="13" t="inlineStr">
        <is>
          <t>20340:3442718; 20340:4927734</t>
        </is>
      </c>
    </row>
    <row r="159">
      <c r="A159" s="13" t="inlineStr">
        <is>
          <t>Julia Brim-Edwards</t>
        </is>
      </c>
      <c r="B159" s="13" t="inlineStr">
        <is>
          <t>P158</t>
        </is>
      </c>
      <c r="C159" s="13" t="inlineStr">
        <is>
          <t>C184</t>
        </is>
      </c>
      <c r="D159" s="13" t="inlineStr">
        <is>
          <t>Street address or PO box</t>
        </is>
      </c>
      <c r="E159" s="15" t="inlineStr">
        <is>
          <t>Rene for Portland</t>
        </is>
      </c>
      <c r="F159" s="13" t="n">
        <v>2024</v>
      </c>
      <c r="G159" s="13" t="n">
        <v>250</v>
      </c>
      <c r="H159" s="13" t="inlineStr">
        <is>
          <t>21206:4563019</t>
        </is>
      </c>
      <c r="I159" s="13" t="inlineStr">
        <is>
          <t>21605:5042275</t>
        </is>
      </c>
    </row>
    <row r="160">
      <c r="A160" s="13" t="inlineStr">
        <is>
          <t>Julia Brim-Edwards</t>
        </is>
      </c>
      <c r="B160" s="13" t="inlineStr">
        <is>
          <t>P159</t>
        </is>
      </c>
      <c r="C160" s="13" t="inlineStr">
        <is>
          <t>C211</t>
        </is>
      </c>
      <c r="D160" s="13" t="inlineStr">
        <is>
          <t>Street address or PO box</t>
        </is>
      </c>
      <c r="E160" s="15" t="inlineStr">
        <is>
          <t>Friends of Sam Adams; Friends of Vadim; Rene for Portland</t>
        </is>
      </c>
      <c r="F160" s="13" t="n">
        <v>2024</v>
      </c>
      <c r="G160" s="13" t="n">
        <v>3000</v>
      </c>
      <c r="H160" s="13" t="inlineStr">
        <is>
          <t>21206:5627285; 21206:4563031</t>
        </is>
      </c>
      <c r="I160" s="13" t="inlineStr">
        <is>
          <t>21632:3935230; 21605:4717584; 21632:4778205; 20340:4817165; 20340:4919173; 20340:5029335</t>
        </is>
      </c>
    </row>
    <row r="161">
      <c r="A161" s="13" t="inlineStr">
        <is>
          <t>Julia Brim-Edwards</t>
        </is>
      </c>
      <c r="B161" s="13" t="inlineStr">
        <is>
          <t>P160</t>
        </is>
      </c>
      <c r="C161" s="13" t="inlineStr">
        <is>
          <t>C278</t>
        </is>
      </c>
      <c r="D161" s="13" t="inlineStr">
        <is>
          <t>Street address or PO box</t>
        </is>
      </c>
      <c r="E161" s="15" t="inlineStr">
        <is>
          <t>Portland Accountability PAC</t>
        </is>
      </c>
      <c r="F161" s="13" t="n">
        <v>2022</v>
      </c>
      <c r="G161" s="13" t="n">
        <v>5000</v>
      </c>
      <c r="H161" s="13" t="inlineStr">
        <is>
          <t>21206:4563034</t>
        </is>
      </c>
      <c r="I161" s="13" t="inlineStr">
        <is>
          <t>22544:4396416</t>
        </is>
      </c>
    </row>
    <row r="162">
      <c r="A162" s="13" t="inlineStr">
        <is>
          <t>Julia Brim-Edwards</t>
        </is>
      </c>
      <c r="B162" s="13" t="inlineStr">
        <is>
          <t>P161</t>
        </is>
      </c>
      <c r="C162" s="13" t="inlineStr">
        <is>
          <t>C065</t>
        </is>
      </c>
      <c r="D162" s="13" t="inlineStr">
        <is>
          <t>Street address or PO box</t>
        </is>
      </c>
      <c r="E162" s="15" t="inlineStr">
        <is>
          <t>Friends of Sam Adams</t>
        </is>
      </c>
      <c r="F162" s="13" t="n">
        <v>2024</v>
      </c>
      <c r="G162" s="13" t="n">
        <v>500</v>
      </c>
      <c r="H162" s="13" t="inlineStr">
        <is>
          <t>21206:5555002; 21206:4853163; 21206:4563040</t>
        </is>
      </c>
      <c r="I162" s="13" t="inlineStr">
        <is>
          <t>20340:4899786</t>
        </is>
      </c>
    </row>
    <row r="163">
      <c r="A163" s="13" t="inlineStr">
        <is>
          <t>Julia Brim-Edwards</t>
        </is>
      </c>
      <c r="B163" s="13" t="inlineStr">
        <is>
          <t>P162</t>
        </is>
      </c>
      <c r="C163" s="13" t="inlineStr">
        <is>
          <t>C311</t>
        </is>
      </c>
      <c r="D163" s="13" t="inlineStr">
        <is>
          <t>Street address or PO box</t>
        </is>
      </c>
      <c r="E163" s="15" t="inlineStr">
        <is>
          <t>Vote Vasquez</t>
        </is>
      </c>
      <c r="F163" s="13" t="n">
        <v>2024</v>
      </c>
      <c r="G163" s="13" t="n">
        <v>500</v>
      </c>
      <c r="H163" s="13" t="inlineStr">
        <is>
          <t>21206:5555035; 21206:4853160; 21206:4572190</t>
        </is>
      </c>
      <c r="I163" s="13" t="inlineStr">
        <is>
          <t>23012:4926250</t>
        </is>
      </c>
    </row>
    <row r="164">
      <c r="A164" s="13" t="inlineStr">
        <is>
          <t>Julia Brim-Edwards</t>
        </is>
      </c>
      <c r="B164" s="13" t="inlineStr">
        <is>
          <t>P163</t>
        </is>
      </c>
      <c r="C164" s="13" t="inlineStr">
        <is>
          <t>C127</t>
        </is>
      </c>
      <c r="D164" s="13" t="inlineStr">
        <is>
          <t>Street address or PO box</t>
        </is>
      </c>
      <c r="E164" s="15" t="inlineStr">
        <is>
          <t>Rene For Portland</t>
        </is>
      </c>
      <c r="F164" s="13" t="n">
        <v>2022</v>
      </c>
      <c r="G164" s="13" t="n">
        <v>250</v>
      </c>
      <c r="H164" s="13" t="inlineStr">
        <is>
          <t>21206:4572192</t>
        </is>
      </c>
      <c r="I164" s="13" t="inlineStr">
        <is>
          <t>21605:4249677</t>
        </is>
      </c>
    </row>
    <row r="165">
      <c r="A165" s="13" t="inlineStr">
        <is>
          <t>Julia Brim-Edwards</t>
        </is>
      </c>
      <c r="B165" s="13" t="inlineStr">
        <is>
          <t>P164</t>
        </is>
      </c>
      <c r="C165" s="13" t="inlineStr">
        <is>
          <t>C265</t>
        </is>
      </c>
      <c r="D165" s="13" t="inlineStr">
        <is>
          <t>Street address or PO box</t>
        </is>
      </c>
      <c r="E165" s="15" t="inlineStr">
        <is>
          <t>Friends of Sam Adams; Friends of Vadim</t>
        </is>
      </c>
      <c r="F165" s="13" t="n">
        <v>2024</v>
      </c>
      <c r="G165" s="13" t="n">
        <v>500</v>
      </c>
      <c r="H165" s="13" t="inlineStr">
        <is>
          <t>21206:4572210</t>
        </is>
      </c>
      <c r="I165" s="13" t="inlineStr">
        <is>
          <t>21632:4899448; 20340:4899779</t>
        </is>
      </c>
    </row>
    <row r="166">
      <c r="A166" s="13" t="inlineStr">
        <is>
          <t>Julia Brim-Edwards</t>
        </is>
      </c>
      <c r="B166" s="13" t="inlineStr">
        <is>
          <t>P165</t>
        </is>
      </c>
      <c r="C166" s="13" t="inlineStr">
        <is>
          <t>C164</t>
        </is>
      </c>
      <c r="D166" s="13" t="inlineStr">
        <is>
          <t>Street address or PO box</t>
        </is>
      </c>
      <c r="E166" s="15" t="inlineStr">
        <is>
          <t>Rene for Portland</t>
        </is>
      </c>
      <c r="F166" s="13" t="n">
        <v>2024</v>
      </c>
      <c r="G166" s="13" t="n">
        <v>750</v>
      </c>
      <c r="H166" s="13" t="inlineStr">
        <is>
          <t>21206:4572230</t>
        </is>
      </c>
      <c r="I166" s="13" t="inlineStr">
        <is>
          <t>21605:4717376; 21605:5042380</t>
        </is>
      </c>
    </row>
    <row r="167">
      <c r="A167" s="13" t="inlineStr">
        <is>
          <t>Julia Brim-Edwards</t>
        </is>
      </c>
      <c r="B167" s="13" t="inlineStr">
        <is>
          <t>P166</t>
        </is>
      </c>
      <c r="C167" s="13" t="inlineStr">
        <is>
          <t>C009</t>
        </is>
      </c>
      <c r="D167" s="13" t="inlineStr">
        <is>
          <t>Street address or PO box</t>
        </is>
      </c>
      <c r="E167" s="15" t="inlineStr">
        <is>
          <t>Friends of Pam Treece; Portland Accountability PAC</t>
        </is>
      </c>
      <c r="F167" s="13" t="n">
        <v>2026</v>
      </c>
      <c r="G167" s="13" t="n">
        <v>13000</v>
      </c>
      <c r="H167" s="13" t="inlineStr">
        <is>
          <t>21206:5555037; 21206:4572239</t>
        </is>
      </c>
      <c r="I167" s="13" t="inlineStr">
        <is>
          <t>18397:2763018; 22544:4353368; 18397:5761240</t>
        </is>
      </c>
    </row>
    <row r="168">
      <c r="A168" s="13" t="inlineStr">
        <is>
          <t>Julia Brim-Edwards</t>
        </is>
      </c>
      <c r="B168" s="13" t="inlineStr">
        <is>
          <t>P167</t>
        </is>
      </c>
      <c r="C168" s="13" t="inlineStr">
        <is>
          <t>C056</t>
        </is>
      </c>
      <c r="D168" s="13" t="inlineStr">
        <is>
          <t>Street address or PO box</t>
        </is>
      </c>
      <c r="E168" s="15" t="inlineStr">
        <is>
          <t>Friends of Sam Adams</t>
        </is>
      </c>
      <c r="F168" s="13" t="n">
        <v>2024</v>
      </c>
      <c r="G168" s="13" t="n">
        <v>500</v>
      </c>
      <c r="H168" s="13" t="inlineStr">
        <is>
          <t>21206:5555029; 21206:4574710</t>
        </is>
      </c>
      <c r="I168" s="13" t="inlineStr">
        <is>
          <t>20340:4860430; 20340:4885549; 20340:5029331</t>
        </is>
      </c>
    </row>
    <row r="169">
      <c r="A169" s="13" t="inlineStr">
        <is>
          <t>Julia Brim-Edwards</t>
        </is>
      </c>
      <c r="B169" s="13" t="inlineStr">
        <is>
          <t>P168</t>
        </is>
      </c>
      <c r="C169" s="13" t="inlineStr">
        <is>
          <t>C099</t>
        </is>
      </c>
      <c r="D169" s="13" t="inlineStr">
        <is>
          <t>Street address or PO box</t>
        </is>
      </c>
      <c r="E169" s="15" t="inlineStr">
        <is>
          <t>Rene For Portland; Rene for Portland; Vote Vasquez</t>
        </is>
      </c>
      <c r="F169" s="13" t="n">
        <v>2024</v>
      </c>
      <c r="G169" s="13" t="n">
        <v>750</v>
      </c>
      <c r="H169" s="13" t="inlineStr">
        <is>
          <t>21206:5678193; 21206:4591210</t>
        </is>
      </c>
      <c r="I169" s="13" t="inlineStr">
        <is>
          <t>21605:4140335; 21605:4824131; 23012:4824177</t>
        </is>
      </c>
    </row>
    <row r="170">
      <c r="A170" s="13" t="inlineStr">
        <is>
          <t>Julia Brim-Edwards</t>
        </is>
      </c>
      <c r="B170" s="13" t="inlineStr">
        <is>
          <t>P169</t>
        </is>
      </c>
      <c r="C170" s="13" t="inlineStr">
        <is>
          <t>C283</t>
        </is>
      </c>
      <c r="D170" s="13" t="inlineStr">
        <is>
          <t>Street address or PO box</t>
        </is>
      </c>
      <c r="E170" s="15" t="inlineStr">
        <is>
          <t>Vote Vasquez</t>
        </is>
      </c>
      <c r="F170" s="13" t="n">
        <v>2023</v>
      </c>
      <c r="G170" s="13" t="n">
        <v>250</v>
      </c>
      <c r="H170" s="13" t="inlineStr">
        <is>
          <t>21206:4853095</t>
        </is>
      </c>
      <c r="I170" s="13" t="inlineStr">
        <is>
          <t>23012:4663859</t>
        </is>
      </c>
    </row>
    <row r="171">
      <c r="A171" s="13" t="inlineStr">
        <is>
          <t>Julia Brim-Edwards</t>
        </is>
      </c>
      <c r="B171" s="13" t="inlineStr">
        <is>
          <t>P170</t>
        </is>
      </c>
      <c r="C171" s="13" t="inlineStr">
        <is>
          <t>C123</t>
        </is>
      </c>
      <c r="D171" s="13" t="inlineStr">
        <is>
          <t>Street address or PO box</t>
        </is>
      </c>
      <c r="E171" s="15" t="inlineStr">
        <is>
          <t>Friends of Vadim; Rene For Portland</t>
        </is>
      </c>
      <c r="F171" s="13" t="n">
        <v>2024</v>
      </c>
      <c r="G171" s="13" t="n">
        <v>750</v>
      </c>
      <c r="H171" s="13" t="inlineStr">
        <is>
          <t>21206:5567159; 21206:4853098</t>
        </is>
      </c>
      <c r="I171" s="13" t="inlineStr">
        <is>
          <t>21605:4247845; 21632:4855310</t>
        </is>
      </c>
    </row>
    <row r="172">
      <c r="A172" s="13" t="inlineStr">
        <is>
          <t>Julia Brim-Edwards</t>
        </is>
      </c>
      <c r="B172" s="13" t="inlineStr">
        <is>
          <t>P171</t>
        </is>
      </c>
      <c r="C172" s="13" t="inlineStr">
        <is>
          <t>C253</t>
        </is>
      </c>
      <c r="D172" s="13" t="inlineStr">
        <is>
          <t>Street address or PO box</t>
        </is>
      </c>
      <c r="E172" s="15" t="inlineStr">
        <is>
          <t>Friends of Vadim</t>
        </is>
      </c>
      <c r="F172" s="13" t="n">
        <v>2024</v>
      </c>
      <c r="G172" s="13" t="n">
        <v>500</v>
      </c>
      <c r="H172" s="13" t="inlineStr">
        <is>
          <t>21206:4853099</t>
        </is>
      </c>
      <c r="I172" s="13" t="inlineStr">
        <is>
          <t>21632:4855313</t>
        </is>
      </c>
    </row>
    <row r="173">
      <c r="A173" s="13" t="inlineStr">
        <is>
          <t>Julia Brim-Edwards</t>
        </is>
      </c>
      <c r="B173" s="13" t="inlineStr">
        <is>
          <t>P172</t>
        </is>
      </c>
      <c r="C173" s="13" t="inlineStr">
        <is>
          <t>C210</t>
        </is>
      </c>
      <c r="D173" s="13" t="inlineStr">
        <is>
          <t>Street address or PO box</t>
        </is>
      </c>
      <c r="E173" s="15" t="inlineStr">
        <is>
          <t>Friends of Sam Adams; Friends of Vadim; Vote Vasquez</t>
        </is>
      </c>
      <c r="F173" s="13" t="n">
        <v>2024</v>
      </c>
      <c r="G173" s="13" t="n">
        <v>2000</v>
      </c>
      <c r="H173" s="13" t="inlineStr">
        <is>
          <t>21206:4853101</t>
        </is>
      </c>
      <c r="I173" s="13" t="inlineStr">
        <is>
          <t>21632:3935225; 21632:4855401; 23012:4823243; 20340:4834953</t>
        </is>
      </c>
    </row>
    <row r="174">
      <c r="A174" s="13" t="inlineStr">
        <is>
          <t>Julia Brim-Edwards</t>
        </is>
      </c>
      <c r="B174" s="13" t="inlineStr">
        <is>
          <t>P173</t>
        </is>
      </c>
      <c r="C174" s="13" t="inlineStr">
        <is>
          <t>C051</t>
        </is>
      </c>
      <c r="D174" s="13" t="inlineStr">
        <is>
          <t>Street address or PO box</t>
        </is>
      </c>
      <c r="E174" s="15" t="inlineStr">
        <is>
          <t>Friends of Sam Adams</t>
        </is>
      </c>
      <c r="F174" s="13" t="n">
        <v>2024</v>
      </c>
      <c r="G174" s="13" t="n">
        <v>250</v>
      </c>
      <c r="H174" s="13" t="inlineStr">
        <is>
          <t>21206:5554968; 21206:4853146</t>
        </is>
      </c>
      <c r="I174" s="13" t="inlineStr">
        <is>
          <t>20340:4811696; 20340:4922831</t>
        </is>
      </c>
    </row>
    <row r="175">
      <c r="A175" s="13" t="inlineStr">
        <is>
          <t>Julia Brim-Edwards</t>
        </is>
      </c>
      <c r="B175" s="13" t="inlineStr">
        <is>
          <t>P174</t>
        </is>
      </c>
      <c r="C175" s="13" t="inlineStr">
        <is>
          <t>C053</t>
        </is>
      </c>
      <c r="D175" s="13" t="inlineStr">
        <is>
          <t>Street address or PO box</t>
        </is>
      </c>
      <c r="E175" s="15" t="inlineStr">
        <is>
          <t>Friends of Sam Adams</t>
        </is>
      </c>
      <c r="F175" s="13" t="n">
        <v>2024</v>
      </c>
      <c r="G175" s="13" t="n">
        <v>500</v>
      </c>
      <c r="H175" s="13" t="inlineStr">
        <is>
          <t>21206:4867868</t>
        </is>
      </c>
      <c r="I175" s="13" t="inlineStr">
        <is>
          <t>20340:4834970</t>
        </is>
      </c>
    </row>
    <row r="176">
      <c r="A176" s="13" t="inlineStr">
        <is>
          <t>Julia Brim-Edwards</t>
        </is>
      </c>
      <c r="B176" s="13" t="inlineStr">
        <is>
          <t>P175</t>
        </is>
      </c>
      <c r="C176" s="13" t="inlineStr">
        <is>
          <t>C258</t>
        </is>
      </c>
      <c r="D176" s="13" t="inlineStr">
        <is>
          <t>Street address or PO box</t>
        </is>
      </c>
      <c r="E176" s="15" t="inlineStr">
        <is>
          <t>Friends of Sam Adams; Friends of Vadim; Vote Vasquez</t>
        </is>
      </c>
      <c r="F176" s="13" t="n">
        <v>2024</v>
      </c>
      <c r="G176" s="13" t="n">
        <v>2000</v>
      </c>
      <c r="H176" s="13" t="inlineStr">
        <is>
          <t>21206:4876633</t>
        </is>
      </c>
      <c r="I176" s="13" t="inlineStr">
        <is>
          <t>21632:4870936; 23012:4869317; 20340:4869120</t>
        </is>
      </c>
    </row>
    <row r="177">
      <c r="A177" s="13" t="inlineStr">
        <is>
          <t>Julia Brim-Edwards</t>
        </is>
      </c>
      <c r="B177" s="13" t="inlineStr">
        <is>
          <t>P176</t>
        </is>
      </c>
      <c r="C177" s="13" t="inlineStr">
        <is>
          <t>C067</t>
        </is>
      </c>
      <c r="D177" s="13" t="inlineStr">
        <is>
          <t>Street address or PO box</t>
        </is>
      </c>
      <c r="E177" s="15" t="inlineStr">
        <is>
          <t>Friends of Pam Treece; Friends of Sam Adams</t>
        </is>
      </c>
      <c r="F177" s="13" t="n">
        <v>2026</v>
      </c>
      <c r="G177" s="13" t="n">
        <v>750</v>
      </c>
      <c r="H177" s="13" t="inlineStr">
        <is>
          <t>21206:4876638</t>
        </is>
      </c>
      <c r="I177" s="13" t="inlineStr">
        <is>
          <t>20340:5017674; 18397:5625556</t>
        </is>
      </c>
    </row>
    <row r="178">
      <c r="A178" s="13" t="inlineStr">
        <is>
          <t>Julia Brim-Edwards</t>
        </is>
      </c>
      <c r="B178" s="13" t="inlineStr">
        <is>
          <t>P177</t>
        </is>
      </c>
      <c r="C178" s="13" t="inlineStr">
        <is>
          <t>C188</t>
        </is>
      </c>
      <c r="D178" s="13" t="inlineStr">
        <is>
          <t>Street address or PO box</t>
        </is>
      </c>
      <c r="E178" s="15" t="inlineStr">
        <is>
          <t>Friends of Sam Adams; Friends of Vadim; Vote Vasquez</t>
        </is>
      </c>
      <c r="F178" s="13" t="n">
        <v>2024</v>
      </c>
      <c r="G178" s="13" t="n">
        <v>2000</v>
      </c>
      <c r="H178" s="13" t="inlineStr">
        <is>
          <t>21206:4913062</t>
        </is>
      </c>
      <c r="I178" s="13" t="inlineStr">
        <is>
          <t>21632:3875251; 21632:4789417; 23012:4913252; 20340:4941245; 20340:5017656</t>
        </is>
      </c>
    </row>
    <row r="179">
      <c r="A179" s="13" t="inlineStr">
        <is>
          <t>Julia Brim-Edwards</t>
        </is>
      </c>
      <c r="B179" s="13" t="inlineStr">
        <is>
          <t>P178</t>
        </is>
      </c>
      <c r="C179" s="13" t="inlineStr">
        <is>
          <t>C307</t>
        </is>
      </c>
      <c r="D179" s="13" t="inlineStr">
        <is>
          <t>Street address or PO box</t>
        </is>
      </c>
      <c r="E179" s="15" t="inlineStr">
        <is>
          <t>Friends of Sam Adams; Friends of Vadim; Vote Vasquez</t>
        </is>
      </c>
      <c r="F179" s="13" t="n">
        <v>2024</v>
      </c>
      <c r="G179" s="13" t="n">
        <v>2000</v>
      </c>
      <c r="H179" s="13" t="inlineStr">
        <is>
          <t>21206:5554985; 21206:4913064</t>
        </is>
      </c>
      <c r="I179" s="13" t="inlineStr">
        <is>
          <t>23012:4908833; 21632:4920500; 20340:5131607</t>
        </is>
      </c>
    </row>
    <row r="180">
      <c r="A180" s="13" t="inlineStr">
        <is>
          <t>Julia Brim-Edwards</t>
        </is>
      </c>
      <c r="B180" s="13" t="inlineStr">
        <is>
          <t>P179</t>
        </is>
      </c>
      <c r="C180" s="13" t="inlineStr">
        <is>
          <t>C243</t>
        </is>
      </c>
      <c r="D180" s="13" t="inlineStr">
        <is>
          <t>Street address or PO box</t>
        </is>
      </c>
      <c r="E180" s="15" t="inlineStr">
        <is>
          <t>Friends of Vadim; Vote Vasquez</t>
        </is>
      </c>
      <c r="F180" s="13" t="n">
        <v>2023</v>
      </c>
      <c r="G180" s="13" t="n">
        <v>500</v>
      </c>
      <c r="H180" s="13" t="inlineStr">
        <is>
          <t>21206:5554938</t>
        </is>
      </c>
      <c r="I180" s="13" t="inlineStr">
        <is>
          <t>21632:4131057; 23012:4633224</t>
        </is>
      </c>
    </row>
    <row r="181">
      <c r="A181" s="13" t="inlineStr">
        <is>
          <t>Julia Brim-Edwards</t>
        </is>
      </c>
      <c r="B181" s="13" t="inlineStr">
        <is>
          <t>P180</t>
        </is>
      </c>
      <c r="C181" s="13" t="inlineStr">
        <is>
          <t>C037</t>
        </is>
      </c>
      <c r="D181" s="13" t="inlineStr">
        <is>
          <t>Street address or PO box</t>
        </is>
      </c>
      <c r="E181" s="15" t="inlineStr">
        <is>
          <t>Friends of Sam Adams</t>
        </is>
      </c>
      <c r="F181" s="13" t="n">
        <v>2024</v>
      </c>
      <c r="G181" s="13" t="n">
        <v>750</v>
      </c>
      <c r="H181" s="13" t="inlineStr">
        <is>
          <t>21206:5555022</t>
        </is>
      </c>
      <c r="I181" s="13" t="inlineStr">
        <is>
          <t>20340:3409808; 20340:4812236</t>
        </is>
      </c>
    </row>
    <row r="182">
      <c r="A182" s="13" t="inlineStr">
        <is>
          <t>Julia Brim-Edwards</t>
        </is>
      </c>
      <c r="B182" s="13" t="inlineStr">
        <is>
          <t>P181</t>
        </is>
      </c>
      <c r="C182" s="13" t="inlineStr">
        <is>
          <t>C216</t>
        </is>
      </c>
      <c r="D182" s="13" t="inlineStr">
        <is>
          <t>Street address or PO box</t>
        </is>
      </c>
      <c r="E182" s="15" t="inlineStr">
        <is>
          <t>Friends of Vadim</t>
        </is>
      </c>
      <c r="F182" s="13" t="n">
        <v>2021</v>
      </c>
      <c r="G182" s="13" t="n">
        <v>250</v>
      </c>
      <c r="H182" s="13" t="inlineStr">
        <is>
          <t>21206:5555044</t>
        </is>
      </c>
      <c r="I182" s="13" t="inlineStr">
        <is>
          <t>21632:3935271</t>
        </is>
      </c>
    </row>
    <row r="183">
      <c r="A183" s="13" t="inlineStr">
        <is>
          <t>Julia Brim-Edwards</t>
        </is>
      </c>
      <c r="B183" s="13" t="inlineStr">
        <is>
          <t>P182</t>
        </is>
      </c>
      <c r="C183" s="13" t="inlineStr">
        <is>
          <t>C199</t>
        </is>
      </c>
      <c r="D183" s="13" t="inlineStr">
        <is>
          <t>Street address or PO box</t>
        </is>
      </c>
      <c r="E183" s="15" t="inlineStr">
        <is>
          <t>Friends of Vadim; Rene For Portland</t>
        </is>
      </c>
      <c r="F183" s="13" t="n">
        <v>2022</v>
      </c>
      <c r="G183" s="13" t="n">
        <v>500</v>
      </c>
      <c r="H183" s="13" t="inlineStr">
        <is>
          <t>21206:5555059</t>
        </is>
      </c>
      <c r="I183" s="13" t="inlineStr">
        <is>
          <t>21632:3906322; 21605:4293193</t>
        </is>
      </c>
    </row>
    <row r="184">
      <c r="A184" s="13" t="inlineStr">
        <is>
          <t>Julia Brim-Edwards</t>
        </is>
      </c>
      <c r="B184" s="13" t="inlineStr">
        <is>
          <t>P183</t>
        </is>
      </c>
      <c r="C184" s="13" t="inlineStr">
        <is>
          <t>C280</t>
        </is>
      </c>
      <c r="D184" s="13" t="inlineStr">
        <is>
          <t>Street address or PO box</t>
        </is>
      </c>
      <c r="E184" s="15" t="inlineStr">
        <is>
          <t>Vote Vasquez</t>
        </is>
      </c>
      <c r="F184" s="13" t="n">
        <v>2023</v>
      </c>
      <c r="G184" s="13" t="n">
        <v>250</v>
      </c>
      <c r="H184" s="13" t="inlineStr">
        <is>
          <t>21206:5567156</t>
        </is>
      </c>
      <c r="I184" s="13" t="inlineStr">
        <is>
          <t>23012:4592338</t>
        </is>
      </c>
    </row>
    <row r="185">
      <c r="A185" s="13" t="inlineStr">
        <is>
          <t>Julia Brim-Edwards</t>
        </is>
      </c>
      <c r="B185" s="13" t="inlineStr">
        <is>
          <t>P184</t>
        </is>
      </c>
      <c r="C185" s="13" t="inlineStr">
        <is>
          <t>C069</t>
        </is>
      </c>
      <c r="D185" s="13" t="inlineStr">
        <is>
          <t>Street address or PO box</t>
        </is>
      </c>
      <c r="E185" s="15" t="inlineStr">
        <is>
          <t>Friends of Sam Adams</t>
        </is>
      </c>
      <c r="F185" s="13" t="n">
        <v>2024</v>
      </c>
      <c r="G185" s="13" t="n">
        <v>500</v>
      </c>
      <c r="H185" s="13" t="inlineStr">
        <is>
          <t>21206:5567194</t>
        </is>
      </c>
      <c r="I185" s="13" t="inlineStr">
        <is>
          <t>20340:5029358</t>
        </is>
      </c>
    </row>
    <row r="186">
      <c r="A186" s="13" t="inlineStr">
        <is>
          <t>Julia Brim-Edwards</t>
        </is>
      </c>
      <c r="B186" s="13" t="inlineStr">
        <is>
          <t>P185</t>
        </is>
      </c>
      <c r="C186" s="13" t="inlineStr">
        <is>
          <t>C115</t>
        </is>
      </c>
      <c r="D186" s="13" t="inlineStr">
        <is>
          <t>Street address or PO box</t>
        </is>
      </c>
      <c r="E186" s="15" t="inlineStr">
        <is>
          <t>Rene For Portland</t>
        </is>
      </c>
      <c r="F186" s="13" t="n">
        <v>2022</v>
      </c>
      <c r="G186" s="13" t="n">
        <v>250</v>
      </c>
      <c r="H186" s="13" t="inlineStr">
        <is>
          <t>21206:5567215</t>
        </is>
      </c>
      <c r="I186" s="13" t="inlineStr">
        <is>
          <t>21605:4212998</t>
        </is>
      </c>
    </row>
    <row r="187">
      <c r="A187" s="13" t="inlineStr">
        <is>
          <t>Julia Brim-Edwards</t>
        </is>
      </c>
      <c r="B187" s="13" t="inlineStr">
        <is>
          <t>P186</t>
        </is>
      </c>
      <c r="C187" s="13" t="inlineStr">
        <is>
          <t>C166</t>
        </is>
      </c>
      <c r="D187" s="13" t="inlineStr">
        <is>
          <t>Street address or PO box</t>
        </is>
      </c>
      <c r="E187" s="15" t="inlineStr">
        <is>
          <t>Rene for Portland</t>
        </is>
      </c>
      <c r="F187" s="13" t="n">
        <v>2023</v>
      </c>
      <c r="G187" s="13" t="n">
        <v>250</v>
      </c>
      <c r="H187" s="13" t="inlineStr">
        <is>
          <t>21206:5678178</t>
        </is>
      </c>
      <c r="I187" s="13" t="inlineStr">
        <is>
          <t>21605:4717380</t>
        </is>
      </c>
    </row>
    <row r="188">
      <c r="A188" s="13" t="inlineStr">
        <is>
          <t>Julia Brim-Edwards</t>
        </is>
      </c>
      <c r="B188" s="13" t="inlineStr">
        <is>
          <t>P186</t>
        </is>
      </c>
      <c r="C188" s="13" t="inlineStr">
        <is>
          <t>C305</t>
        </is>
      </c>
      <c r="D188" s="13" t="inlineStr">
        <is>
          <t>Street address or PO box</t>
        </is>
      </c>
      <c r="E188" s="15" t="inlineStr">
        <is>
          <t>Vote Vasquez</t>
        </is>
      </c>
      <c r="F188" s="13" t="n">
        <v>2024</v>
      </c>
      <c r="G188" s="13" t="n">
        <v>1000</v>
      </c>
      <c r="H188" s="13" t="inlineStr">
        <is>
          <t>21206:5584302</t>
        </is>
      </c>
      <c r="I188" s="13" t="inlineStr">
        <is>
          <t>23012:4871691</t>
        </is>
      </c>
    </row>
    <row r="189">
      <c r="A189" s="13" t="inlineStr">
        <is>
          <t>Julia Brim-Edwards</t>
        </is>
      </c>
      <c r="B189" s="13" t="inlineStr">
        <is>
          <t>P187</t>
        </is>
      </c>
      <c r="C189" s="13" t="inlineStr">
        <is>
          <t>C116</t>
        </is>
      </c>
      <c r="D189" s="13" t="inlineStr">
        <is>
          <t>Street address or PO box</t>
        </is>
      </c>
      <c r="E189" s="15" t="inlineStr">
        <is>
          <t>Rene For Portland</t>
        </is>
      </c>
      <c r="F189" s="13" t="n">
        <v>2022</v>
      </c>
      <c r="G189" s="13" t="n">
        <v>250</v>
      </c>
      <c r="H189" s="13" t="inlineStr">
        <is>
          <t>21206:5586295</t>
        </is>
      </c>
      <c r="I189" s="13" t="inlineStr">
        <is>
          <t>21605:4213001</t>
        </is>
      </c>
    </row>
    <row r="190">
      <c r="A190" s="13" t="inlineStr">
        <is>
          <t>Julia Brim-Edwards</t>
        </is>
      </c>
      <c r="B190" s="13" t="inlineStr">
        <is>
          <t>P188</t>
        </is>
      </c>
      <c r="C190" s="13" t="inlineStr">
        <is>
          <t>C263</t>
        </is>
      </c>
      <c r="D190" s="13" t="inlineStr">
        <is>
          <t>Street address or PO box</t>
        </is>
      </c>
      <c r="E190" s="15" t="inlineStr">
        <is>
          <t>Friends of Sam Adams; Friends of Vadim</t>
        </is>
      </c>
      <c r="F190" s="13" t="n">
        <v>2024</v>
      </c>
      <c r="G190" s="13" t="n">
        <v>1000</v>
      </c>
      <c r="H190" s="13" t="inlineStr">
        <is>
          <t>21206:5627271</t>
        </is>
      </c>
      <c r="I190" s="13" t="inlineStr">
        <is>
          <t>21632:4899444; 20340:5054031</t>
        </is>
      </c>
    </row>
    <row r="191">
      <c r="A191" s="13" t="inlineStr">
        <is>
          <t>Julia Brim-Edwards</t>
        </is>
      </c>
      <c r="B191" s="13" t="inlineStr">
        <is>
          <t>P189</t>
        </is>
      </c>
      <c r="C191" s="13" t="inlineStr">
        <is>
          <t>C208</t>
        </is>
      </c>
      <c r="D191" s="13" t="inlineStr">
        <is>
          <t>Street address or PO box</t>
        </is>
      </c>
      <c r="E191" s="15" t="inlineStr">
        <is>
          <t>Friends of Vadim</t>
        </is>
      </c>
      <c r="F191" s="13" t="n">
        <v>2021</v>
      </c>
      <c r="G191" s="13" t="n">
        <v>250</v>
      </c>
      <c r="H191" s="13" t="inlineStr">
        <is>
          <t>21206:5627281</t>
        </is>
      </c>
      <c r="I191" s="13" t="inlineStr">
        <is>
          <t>21632:3935179</t>
        </is>
      </c>
    </row>
    <row r="192">
      <c r="A192" s="13" t="inlineStr">
        <is>
          <t>Julia Brim-Edwards</t>
        </is>
      </c>
      <c r="B192" s="13" t="inlineStr">
        <is>
          <t>P190</t>
        </is>
      </c>
      <c r="C192" s="13" t="inlineStr">
        <is>
          <t>C226</t>
        </is>
      </c>
      <c r="D192" s="13" t="inlineStr">
        <is>
          <t>Street address or PO box</t>
        </is>
      </c>
      <c r="E192" s="15" t="inlineStr">
        <is>
          <t>Friends of Vadim</t>
        </is>
      </c>
      <c r="F192" s="13" t="n">
        <v>2022</v>
      </c>
      <c r="G192" s="13" t="n">
        <v>250</v>
      </c>
      <c r="H192" s="13" t="inlineStr">
        <is>
          <t>21206:5747294; 21206:5627283</t>
        </is>
      </c>
      <c r="I192" s="13" t="inlineStr">
        <is>
          <t>21632:3979736</t>
        </is>
      </c>
    </row>
    <row r="193">
      <c r="A193" s="13" t="inlineStr">
        <is>
          <t>Julia Brim-Edwards</t>
        </is>
      </c>
      <c r="B193" s="13" t="inlineStr">
        <is>
          <t>P191</t>
        </is>
      </c>
      <c r="C193" s="13" t="inlineStr">
        <is>
          <t>C081</t>
        </is>
      </c>
      <c r="D193" s="13" t="inlineStr">
        <is>
          <t>Street address or PO box</t>
        </is>
      </c>
      <c r="E193" s="15" t="inlineStr">
        <is>
          <t>Friends of Vadim; Rene For Portland; Rene for Portland; Vote Vasquez</t>
        </is>
      </c>
      <c r="F193" s="13" t="n">
        <v>2024</v>
      </c>
      <c r="G193" s="13" t="n">
        <v>2000</v>
      </c>
      <c r="H193" s="13" t="inlineStr">
        <is>
          <t>21206:5627293</t>
        </is>
      </c>
      <c r="I193" s="13" t="inlineStr">
        <is>
          <t>21605:3927574; 21632:4004644; 21605:4371628; 21605:4446935; 23012:4619220; 23012:4663846; 21632:4818914; 21605:5042397</t>
        </is>
      </c>
    </row>
    <row r="194">
      <c r="A194" s="13" t="inlineStr">
        <is>
          <t>Julia Brim-Edwards</t>
        </is>
      </c>
      <c r="B194" s="13" t="inlineStr">
        <is>
          <t>P192</t>
        </is>
      </c>
      <c r="C194" s="13" t="inlineStr">
        <is>
          <t>C220</t>
        </is>
      </c>
      <c r="D194" s="13" t="inlineStr">
        <is>
          <t>Street address or PO box</t>
        </is>
      </c>
      <c r="E194" s="15" t="inlineStr">
        <is>
          <t>Friends of Vadim</t>
        </is>
      </c>
      <c r="F194" s="13" t="n">
        <v>2021</v>
      </c>
      <c r="G194" s="13" t="n">
        <v>250</v>
      </c>
      <c r="H194" s="13" t="inlineStr">
        <is>
          <t>21206:5627298</t>
        </is>
      </c>
      <c r="I194" s="13" t="inlineStr">
        <is>
          <t>21632:3966919</t>
        </is>
      </c>
    </row>
    <row r="195">
      <c r="A195" s="13" t="inlineStr">
        <is>
          <t>Julia Brim-Edwards</t>
        </is>
      </c>
      <c r="B195" s="13" t="inlineStr">
        <is>
          <t>P193</t>
        </is>
      </c>
      <c r="C195" s="13" t="inlineStr">
        <is>
          <t>C052</t>
        </is>
      </c>
      <c r="D195" s="13" t="inlineStr">
        <is>
          <t>Street address or PO box</t>
        </is>
      </c>
      <c r="E195" s="15" t="inlineStr">
        <is>
          <t>Friends of Sam Adams</t>
        </is>
      </c>
      <c r="F195" s="13" t="n">
        <v>2024</v>
      </c>
      <c r="G195" s="13" t="n">
        <v>500</v>
      </c>
      <c r="H195" s="13" t="inlineStr">
        <is>
          <t>21206:5647945</t>
        </is>
      </c>
      <c r="I195" s="13" t="inlineStr">
        <is>
          <t>20340:4811705</t>
        </is>
      </c>
    </row>
    <row r="196">
      <c r="A196" s="13" t="inlineStr">
        <is>
          <t>Julia Brim-Edwards</t>
        </is>
      </c>
      <c r="B196" s="13" t="inlineStr">
        <is>
          <t>P194</t>
        </is>
      </c>
      <c r="C196" s="13" t="inlineStr">
        <is>
          <t>C022</t>
        </is>
      </c>
      <c r="D196" s="13" t="inlineStr">
        <is>
          <t>Street address or PO box</t>
        </is>
      </c>
      <c r="E196" s="15" t="inlineStr">
        <is>
          <t>Friends of Pam Treece</t>
        </is>
      </c>
      <c r="F196" s="13" t="n">
        <v>2026</v>
      </c>
      <c r="G196" s="13" t="n">
        <v>1000</v>
      </c>
      <c r="H196" s="13" t="inlineStr">
        <is>
          <t>21206:5647960</t>
        </is>
      </c>
      <c r="I196" s="13" t="inlineStr">
        <is>
          <t>18397:5687842</t>
        </is>
      </c>
    </row>
    <row r="197">
      <c r="A197" s="13" t="inlineStr">
        <is>
          <t>Julia Brim-Edwards</t>
        </is>
      </c>
      <c r="B197" s="13" t="inlineStr">
        <is>
          <t>P195</t>
        </is>
      </c>
      <c r="C197" s="13" t="inlineStr">
        <is>
          <t>C281</t>
        </is>
      </c>
      <c r="D197" s="13" t="inlineStr">
        <is>
          <t>Street address or PO box</t>
        </is>
      </c>
      <c r="E197" s="15" t="inlineStr">
        <is>
          <t>Vote Vasquez</t>
        </is>
      </c>
      <c r="F197" s="13" t="n">
        <v>2023</v>
      </c>
      <c r="G197" s="13" t="n">
        <v>500</v>
      </c>
      <c r="H197" s="13" t="inlineStr">
        <is>
          <t>21206:5678184</t>
        </is>
      </c>
      <c r="I197" s="13" t="inlineStr">
        <is>
          <t>23012:4592348</t>
        </is>
      </c>
    </row>
    <row r="198">
      <c r="A198" s="13" t="inlineStr">
        <is>
          <t>Julia Brim-Edwards</t>
        </is>
      </c>
      <c r="B198" s="13" t="inlineStr">
        <is>
          <t>P196</t>
        </is>
      </c>
      <c r="C198" s="13" t="inlineStr">
        <is>
          <t>C282</t>
        </is>
      </c>
      <c r="D198" s="13" t="inlineStr">
        <is>
          <t>Street address or PO box</t>
        </is>
      </c>
      <c r="E198" s="15" t="inlineStr">
        <is>
          <t>Friends of Sam Adams; Friends of Vadim; Rene for Portland; Vote Vasquez</t>
        </is>
      </c>
      <c r="F198" s="13" t="n">
        <v>2024</v>
      </c>
      <c r="G198" s="13" t="n">
        <v>2000</v>
      </c>
      <c r="H198" s="13" t="inlineStr">
        <is>
          <t>21206:5678191</t>
        </is>
      </c>
      <c r="I198" s="13" t="inlineStr">
        <is>
          <t>23012:4607804; 23012:4641506; 23012:4641508; 23012:4665619; 21605:4717591; 21632:4803642; 21632:5068194; 20340:5070411</t>
        </is>
      </c>
    </row>
    <row r="199">
      <c r="A199" s="13" t="inlineStr">
        <is>
          <t>Julia Brim-Edwards</t>
        </is>
      </c>
      <c r="B199" s="13" t="inlineStr">
        <is>
          <t>P197</t>
        </is>
      </c>
      <c r="C199" s="13" t="inlineStr">
        <is>
          <t>C251</t>
        </is>
      </c>
      <c r="D199" s="13" t="inlineStr">
        <is>
          <t>Street address or PO box</t>
        </is>
      </c>
      <c r="E199" s="15" t="inlineStr">
        <is>
          <t>Friends of Vadim</t>
        </is>
      </c>
      <c r="F199" s="13" t="n">
        <v>2024</v>
      </c>
      <c r="G199" s="13" t="n">
        <v>500</v>
      </c>
      <c r="H199" s="13" t="inlineStr">
        <is>
          <t>21206:5704184</t>
        </is>
      </c>
      <c r="I199" s="13" t="inlineStr">
        <is>
          <t>21632:4803644</t>
        </is>
      </c>
    </row>
    <row r="200">
      <c r="A200" s="13" t="inlineStr">
        <is>
          <t>Julia Brim-Edwards</t>
        </is>
      </c>
      <c r="B200" s="13" t="inlineStr">
        <is>
          <t>P198</t>
        </is>
      </c>
      <c r="C200" s="13" t="inlineStr">
        <is>
          <t>C312</t>
        </is>
      </c>
      <c r="D200" s="13" t="inlineStr">
        <is>
          <t>Street address or PO box</t>
        </is>
      </c>
      <c r="E200" s="15" t="inlineStr">
        <is>
          <t>Vote Vasquez</t>
        </is>
      </c>
      <c r="F200" s="13" t="n">
        <v>2026</v>
      </c>
      <c r="G200" s="13" t="n">
        <v>500</v>
      </c>
      <c r="H200" s="13" t="inlineStr">
        <is>
          <t>21206:5704198</t>
        </is>
      </c>
      <c r="I200" s="13" t="inlineStr">
        <is>
          <t>23012:5847481; 23012:5847504</t>
        </is>
      </c>
    </row>
    <row r="201">
      <c r="A201" s="13" t="inlineStr">
        <is>
          <t>Julia Brim-Edwards</t>
        </is>
      </c>
      <c r="B201" s="13" t="inlineStr">
        <is>
          <t>P199</t>
        </is>
      </c>
      <c r="C201" s="13" t="inlineStr">
        <is>
          <t>C298</t>
        </is>
      </c>
      <c r="D201" s="13" t="inlineStr">
        <is>
          <t>Street address or PO box</t>
        </is>
      </c>
      <c r="E201" s="15" t="inlineStr">
        <is>
          <t>Vote Vasquez</t>
        </is>
      </c>
      <c r="F201" s="13" t="n">
        <v>2024</v>
      </c>
      <c r="G201" s="13" t="n">
        <v>500</v>
      </c>
      <c r="H201" s="13" t="inlineStr">
        <is>
          <t>21206:5747305</t>
        </is>
      </c>
      <c r="I201" s="13" t="inlineStr">
        <is>
          <t>23012:4790252</t>
        </is>
      </c>
    </row>
    <row r="202">
      <c r="A202" s="13" t="inlineStr">
        <is>
          <t>Julia Brim-Edwards</t>
        </is>
      </c>
      <c r="B202" s="13" t="inlineStr">
        <is>
          <t>P200</t>
        </is>
      </c>
      <c r="C202" s="13" t="inlineStr">
        <is>
          <t>C239</t>
        </is>
      </c>
      <c r="D202" s="13" t="inlineStr">
        <is>
          <t>Street address or PO box</t>
        </is>
      </c>
      <c r="E202" s="15" t="inlineStr">
        <is>
          <t>Friends of Vadim</t>
        </is>
      </c>
      <c r="F202" s="13" t="n">
        <v>2022</v>
      </c>
      <c r="G202" s="13" t="n">
        <v>250</v>
      </c>
      <c r="H202" s="13" t="inlineStr">
        <is>
          <t>21206:5747313</t>
        </is>
      </c>
      <c r="I202" s="13" t="inlineStr">
        <is>
          <t>21632:4107543</t>
        </is>
      </c>
    </row>
    <row r="203">
      <c r="A203" s="13" t="inlineStr">
        <is>
          <t>Julia Brim-Edwards</t>
        </is>
      </c>
      <c r="B203" s="13" t="inlineStr">
        <is>
          <t>P201</t>
        </is>
      </c>
      <c r="C203" s="13" t="inlineStr">
        <is>
          <t>C157</t>
        </is>
      </c>
      <c r="D203" s="13" t="inlineStr">
        <is>
          <t>Street address or PO box</t>
        </is>
      </c>
      <c r="E203" s="15" t="inlineStr">
        <is>
          <t>Rene For Portland</t>
        </is>
      </c>
      <c r="F203" s="13" t="n">
        <v>2022</v>
      </c>
      <c r="G203" s="13" t="n">
        <v>250</v>
      </c>
      <c r="H203" s="13" t="inlineStr">
        <is>
          <t>21206:5814178</t>
        </is>
      </c>
      <c r="I203" s="13" t="inlineStr">
        <is>
          <t>21605:4394374</t>
        </is>
      </c>
    </row>
    <row r="204">
      <c r="A204" s="13" t="inlineStr">
        <is>
          <t>Julia Brim-Edwards</t>
        </is>
      </c>
      <c r="B204" s="13" t="inlineStr">
        <is>
          <t>P202</t>
        </is>
      </c>
      <c r="C204" s="13" t="inlineStr">
        <is>
          <t>C092</t>
        </is>
      </c>
      <c r="D204" s="13" t="inlineStr">
        <is>
          <t>Street address or PO box</t>
        </is>
      </c>
      <c r="E204" s="15" t="inlineStr">
        <is>
          <t>Rene For Portland; Rene for Portland</t>
        </is>
      </c>
      <c r="F204" s="13" t="n">
        <v>2024</v>
      </c>
      <c r="G204" s="13" t="n">
        <v>500</v>
      </c>
      <c r="H204" s="13" t="inlineStr">
        <is>
          <t>21206:5814181</t>
        </is>
      </c>
      <c r="I204" s="13" t="inlineStr">
        <is>
          <t>21605:4092724; 21605:4280347; 21605:5102292</t>
        </is>
      </c>
    </row>
    <row r="205">
      <c r="A205" s="13" t="inlineStr">
        <is>
          <t>Julia Brim-Edwards</t>
        </is>
      </c>
      <c r="B205" s="13" t="inlineStr">
        <is>
          <t>P203</t>
        </is>
      </c>
      <c r="C205" s="13" t="inlineStr">
        <is>
          <t>C279</t>
        </is>
      </c>
      <c r="D205" s="13" t="inlineStr">
        <is>
          <t>Street address or PO box</t>
        </is>
      </c>
      <c r="E205" s="15" t="inlineStr">
        <is>
          <t>Vote Vasquez</t>
        </is>
      </c>
      <c r="F205" s="13" t="n">
        <v>2023</v>
      </c>
      <c r="G205" s="13" t="n">
        <v>500</v>
      </c>
      <c r="H205" s="13" t="inlineStr">
        <is>
          <t>21206:5852747</t>
        </is>
      </c>
      <c r="I205" s="13" t="inlineStr">
        <is>
          <t>23012:4592217</t>
        </is>
      </c>
    </row>
    <row r="206">
      <c r="A206" s="13" t="inlineStr">
        <is>
          <t>Olivia Clark</t>
        </is>
      </c>
      <c r="B206" s="13" t="inlineStr">
        <is>
          <t>H007</t>
        </is>
      </c>
      <c r="C206" s="13" t="inlineStr">
        <is>
          <t>C225</t>
        </is>
      </c>
      <c r="D206" s="13" t="inlineStr">
        <is>
          <t>Street address or PO box</t>
        </is>
      </c>
      <c r="E206" s="15" t="inlineStr">
        <is>
          <t>Friends of Vadim; Vote Vasquez</t>
        </is>
      </c>
      <c r="F206" s="13" t="n">
        <v>2026</v>
      </c>
      <c r="G206" s="13" t="n">
        <v>3000</v>
      </c>
      <c r="H206" s="13" t="inlineStr">
        <is>
          <t>23199:5844178; 23199:4842656</t>
        </is>
      </c>
      <c r="I206" s="13" t="inlineStr">
        <is>
          <t>21632:3979731; 21632:4818908; 23012:4885504; 21632:5050780; 23012:5756031</t>
        </is>
      </c>
    </row>
    <row r="207">
      <c r="A207" s="13" t="inlineStr">
        <is>
          <t>Olivia Clark</t>
        </is>
      </c>
      <c r="B207" s="13" t="inlineStr">
        <is>
          <t>H032</t>
        </is>
      </c>
      <c r="C207" s="13" t="inlineStr">
        <is>
          <t>C255</t>
        </is>
      </c>
      <c r="D207" s="13" t="inlineStr">
        <is>
          <t>Street address or PO box</t>
        </is>
      </c>
      <c r="E207" s="15" t="inlineStr">
        <is>
          <t>Friends of Sam Adams; Friends of Vadim</t>
        </is>
      </c>
      <c r="F207" s="13" t="n">
        <v>2024</v>
      </c>
      <c r="G207" s="13" t="n">
        <v>1000</v>
      </c>
      <c r="H207" s="13" t="inlineStr">
        <is>
          <t>23199:5844266</t>
        </is>
      </c>
      <c r="I207" s="13" t="inlineStr">
        <is>
          <t>21632:4866937; 21632:4899434; 20340:5054033</t>
        </is>
      </c>
    </row>
    <row r="208">
      <c r="A208" s="13" t="inlineStr">
        <is>
          <t>Olivia Clark</t>
        </is>
      </c>
      <c r="B208" s="13" t="inlineStr">
        <is>
          <t>H032</t>
        </is>
      </c>
      <c r="C208" s="13" t="inlineStr">
        <is>
          <t>C264</t>
        </is>
      </c>
      <c r="D208" s="13" t="inlineStr">
        <is>
          <t>Street address or PO box</t>
        </is>
      </c>
      <c r="E208" s="15" t="inlineStr">
        <is>
          <t>Friends of Vadim</t>
        </is>
      </c>
      <c r="F208" s="13" t="n">
        <v>2024</v>
      </c>
      <c r="G208" s="13" t="n">
        <v>500</v>
      </c>
      <c r="H208" s="13" t="inlineStr">
        <is>
          <t>23199:5850417</t>
        </is>
      </c>
      <c r="I208" s="13" t="inlineStr">
        <is>
          <t>21632:4899445</t>
        </is>
      </c>
    </row>
    <row r="209">
      <c r="A209" s="13" t="inlineStr">
        <is>
          <t>Olivia Clark</t>
        </is>
      </c>
      <c r="B209" s="13" t="inlineStr">
        <is>
          <t>P001</t>
        </is>
      </c>
      <c r="C209" s="13" t="inlineStr">
        <is>
          <t>C218</t>
        </is>
      </c>
      <c r="D209" s="13" t="inlineStr">
        <is>
          <t>Street address or PO box</t>
        </is>
      </c>
      <c r="E209" s="15" t="inlineStr">
        <is>
          <t>Friends of Sam Adams; Friends of Vadim; Portland Accountability PAC; Rene For Portland; Rene for Portland</t>
        </is>
      </c>
      <c r="F209" s="13" t="n">
        <v>2024</v>
      </c>
      <c r="G209" s="13" t="n">
        <v>13000</v>
      </c>
      <c r="H209" s="13" t="inlineStr">
        <is>
          <t>23199:5473738; 23199:5444403</t>
        </is>
      </c>
      <c r="I209" s="13" t="inlineStr">
        <is>
          <t>21632:3942402; 21605:4312451; 22544:4329715; 21605:4446798; 22544:4577120; 21605:4740724; 21632:4778204; 20340:4797897</t>
        </is>
      </c>
    </row>
    <row r="210">
      <c r="A210" s="13" t="inlineStr">
        <is>
          <t>Olivia Clark</t>
        </is>
      </c>
      <c r="B210" s="13" t="inlineStr">
        <is>
          <t>P004</t>
        </is>
      </c>
      <c r="C210" s="13" t="inlineStr">
        <is>
          <t>C079</t>
        </is>
      </c>
      <c r="D210" s="13" t="inlineStr">
        <is>
          <t>Street address or PO box</t>
        </is>
      </c>
      <c r="E210" s="15" t="inlineStr">
        <is>
          <t>Rene For Portland; Rene for Portland</t>
        </is>
      </c>
      <c r="F210" s="13" t="n">
        <v>2024</v>
      </c>
      <c r="G210" s="13" t="n">
        <v>1000</v>
      </c>
      <c r="H210" s="13" t="inlineStr">
        <is>
          <t>23199:5473774</t>
        </is>
      </c>
      <c r="I210" s="13" t="inlineStr">
        <is>
          <t>21605:3904988; 21605:4376922; 21605:4717570; 21605:4877538</t>
        </is>
      </c>
    </row>
    <row r="211">
      <c r="A211" s="13" t="inlineStr">
        <is>
          <t>Olivia Clark</t>
        </is>
      </c>
      <c r="B211" s="13" t="inlineStr">
        <is>
          <t>P005</t>
        </is>
      </c>
      <c r="C211" s="13" t="inlineStr">
        <is>
          <t>C308</t>
        </is>
      </c>
      <c r="D211" s="13" t="inlineStr">
        <is>
          <t>Street address or PO box</t>
        </is>
      </c>
      <c r="E211" s="15" t="inlineStr">
        <is>
          <t>Vote Vasquez</t>
        </is>
      </c>
      <c r="F211" s="13" t="n">
        <v>2024</v>
      </c>
      <c r="G211" s="13" t="n">
        <v>500</v>
      </c>
      <c r="H211" s="13" t="inlineStr">
        <is>
          <t>23199:5717796; 23199:4907892</t>
        </is>
      </c>
      <c r="I211" s="13" t="inlineStr">
        <is>
          <t>23012:4908855</t>
        </is>
      </c>
    </row>
    <row r="212">
      <c r="A212" s="13" t="inlineStr">
        <is>
          <t>Olivia Clark</t>
        </is>
      </c>
      <c r="B212" s="13" t="inlineStr">
        <is>
          <t>P009</t>
        </is>
      </c>
      <c r="C212" s="13" t="inlineStr">
        <is>
          <t>C233</t>
        </is>
      </c>
      <c r="D212" s="13" t="inlineStr">
        <is>
          <t>Street address or PO box</t>
        </is>
      </c>
      <c r="E212" s="15" t="inlineStr">
        <is>
          <t>Friends of Vadim</t>
        </is>
      </c>
      <c r="F212" s="13" t="n">
        <v>2022</v>
      </c>
      <c r="G212" s="13" t="n">
        <v>250</v>
      </c>
      <c r="H212" s="13" t="inlineStr">
        <is>
          <t>23199:4794313</t>
        </is>
      </c>
      <c r="I212" s="13" t="inlineStr">
        <is>
          <t>21632:4100043</t>
        </is>
      </c>
    </row>
    <row r="213">
      <c r="A213" s="13" t="inlineStr">
        <is>
          <t>Olivia Clark</t>
        </is>
      </c>
      <c r="B213" s="13" t="inlineStr">
        <is>
          <t>P010</t>
        </is>
      </c>
      <c r="C213" s="13" t="inlineStr">
        <is>
          <t>C080</t>
        </is>
      </c>
      <c r="D213" s="13" t="inlineStr">
        <is>
          <t>Street address or PO box</t>
        </is>
      </c>
      <c r="E213" s="15" t="inlineStr">
        <is>
          <t>Friends of Vadim; Rene For Portland; Rene for Portland</t>
        </is>
      </c>
      <c r="F213" s="13" t="n">
        <v>2024</v>
      </c>
      <c r="G213" s="13" t="n">
        <v>2000</v>
      </c>
      <c r="H213" s="13" t="inlineStr">
        <is>
          <t>23199:5586619</t>
        </is>
      </c>
      <c r="I213" s="13" t="inlineStr">
        <is>
          <t>21605:3911325; 21632:4117137; 21605:4310169; 21605:4446790; 21632:4778171; 21605:4824159; 21605:5067551</t>
        </is>
      </c>
    </row>
    <row r="214">
      <c r="A214" s="13" t="inlineStr">
        <is>
          <t>Olivia Clark</t>
        </is>
      </c>
      <c r="B214" s="13" t="inlineStr">
        <is>
          <t>P012</t>
        </is>
      </c>
      <c r="C214" s="13" t="inlineStr">
        <is>
          <t>C030</t>
        </is>
      </c>
      <c r="D214" s="13" t="inlineStr">
        <is>
          <t>Street address or PO box</t>
        </is>
      </c>
      <c r="E214" s="15" t="inlineStr">
        <is>
          <t>Friends of Sam Adams</t>
        </is>
      </c>
      <c r="F214" s="13" t="n">
        <v>2024</v>
      </c>
      <c r="G214" s="13" t="n">
        <v>750</v>
      </c>
      <c r="H214" s="13" t="inlineStr">
        <is>
          <t>23199:5633043; 23199:4966520</t>
        </is>
      </c>
      <c r="I214" s="13" t="inlineStr">
        <is>
          <t>20340:3362285; 20340:4877681</t>
        </is>
      </c>
    </row>
    <row r="215">
      <c r="A215" s="13" t="inlineStr">
        <is>
          <t>Olivia Clark</t>
        </is>
      </c>
      <c r="B215" s="13" t="inlineStr">
        <is>
          <t>P016</t>
        </is>
      </c>
      <c r="C215" s="13" t="inlineStr">
        <is>
          <t>C012</t>
        </is>
      </c>
      <c r="D215" s="13" t="inlineStr">
        <is>
          <t>ZIP + employer</t>
        </is>
      </c>
      <c r="E215" s="15" t="inlineStr">
        <is>
          <t>Friends of Pam Treece</t>
        </is>
      </c>
      <c r="F215" s="13" t="n">
        <v>2026</v>
      </c>
      <c r="G215" s="13" t="n">
        <v>750</v>
      </c>
      <c r="H215" s="13" t="inlineStr">
        <is>
          <t>23199:5473740; 23199:4907827</t>
        </is>
      </c>
      <c r="I215" s="13" t="inlineStr">
        <is>
          <t>18397:5331987; 18397:5650357</t>
        </is>
      </c>
    </row>
    <row r="216">
      <c r="A216" s="13" t="inlineStr">
        <is>
          <t>Olivia Clark</t>
        </is>
      </c>
      <c r="B216" s="13" t="inlineStr">
        <is>
          <t>P018</t>
        </is>
      </c>
      <c r="C216" s="13" t="inlineStr">
        <is>
          <t>C002</t>
        </is>
      </c>
      <c r="D216" s="13" t="inlineStr">
        <is>
          <t>Street address or PO box</t>
        </is>
      </c>
      <c r="E216" s="15" t="inlineStr">
        <is>
          <t>Friends of Pam Treece; Friends of Vadim</t>
        </is>
      </c>
      <c r="F216" s="13" t="n">
        <v>2024</v>
      </c>
      <c r="G216" s="13" t="n">
        <v>2000</v>
      </c>
      <c r="H216" s="13" t="inlineStr">
        <is>
          <t>23199:5868486</t>
        </is>
      </c>
      <c r="I216" s="13" t="inlineStr">
        <is>
          <t>18397:2682525; 18397:2805211; 21632:4899451</t>
        </is>
      </c>
    </row>
    <row r="217">
      <c r="A217" s="13" t="inlineStr">
        <is>
          <t>Olivia Clark</t>
        </is>
      </c>
      <c r="B217" s="13" t="inlineStr">
        <is>
          <t>P021</t>
        </is>
      </c>
      <c r="C217" s="13" t="inlineStr">
        <is>
          <t>C031</t>
        </is>
      </c>
      <c r="D217" s="13" t="inlineStr">
        <is>
          <t>Street address or PO box</t>
        </is>
      </c>
      <c r="E217" s="15" t="inlineStr">
        <is>
          <t>Friends of Sam Adams</t>
        </is>
      </c>
      <c r="F217" s="13" t="n">
        <v>2020</v>
      </c>
      <c r="G217" s="13" t="n">
        <v>250</v>
      </c>
      <c r="H217" s="13" t="inlineStr">
        <is>
          <t>23199:5844179; 23199:4966519</t>
        </is>
      </c>
      <c r="I217" s="13" t="inlineStr">
        <is>
          <t>20340:3362286</t>
        </is>
      </c>
    </row>
    <row r="218">
      <c r="A218" s="13" t="inlineStr">
        <is>
          <t>Olivia Clark</t>
        </is>
      </c>
      <c r="B218" s="13" t="inlineStr">
        <is>
          <t>P022</t>
        </is>
      </c>
      <c r="C218" s="13" t="inlineStr">
        <is>
          <t>C047</t>
        </is>
      </c>
      <c r="D218" s="13" t="inlineStr">
        <is>
          <t>Street address or PO box</t>
        </is>
      </c>
      <c r="E218" s="15" t="inlineStr">
        <is>
          <t>Friends of Pam Treece; Friends of Sam Adams</t>
        </is>
      </c>
      <c r="F218" s="13" t="n">
        <v>2026</v>
      </c>
      <c r="G218" s="13" t="n">
        <v>1000</v>
      </c>
      <c r="H218" s="13" t="inlineStr">
        <is>
          <t>23199:5717764; 23199:4718147</t>
        </is>
      </c>
      <c r="I218" s="13" t="inlineStr">
        <is>
          <t>20340:4797852; 20340:5054000; 18397:5625570</t>
        </is>
      </c>
    </row>
    <row r="219">
      <c r="A219" s="13" t="inlineStr">
        <is>
          <t>Olivia Clark</t>
        </is>
      </c>
      <c r="B219" s="13" t="inlineStr">
        <is>
          <t>P023</t>
        </is>
      </c>
      <c r="C219" s="13" t="inlineStr">
        <is>
          <t>C084</t>
        </is>
      </c>
      <c r="D219" s="13" t="inlineStr">
        <is>
          <t>Street address or PO box</t>
        </is>
      </c>
      <c r="E219" s="15" t="inlineStr">
        <is>
          <t>Friends of Vadim; Rene For Portland; Rene for Portland</t>
        </is>
      </c>
      <c r="F219" s="13" t="n">
        <v>2024</v>
      </c>
      <c r="G219" s="13" t="n">
        <v>2000</v>
      </c>
      <c r="H219" s="13" t="inlineStr">
        <is>
          <t>23199:5685665; 23199:4842643</t>
        </is>
      </c>
      <c r="I219" s="13" t="inlineStr">
        <is>
          <t>21605:3976952; 21605:4179507; 21605:4446929; 21605:4748792; 21632:4778143; 21605:5078067</t>
        </is>
      </c>
    </row>
    <row r="220">
      <c r="A220" s="13" t="inlineStr">
        <is>
          <t>Olivia Clark</t>
        </is>
      </c>
      <c r="B220" s="13" t="inlineStr">
        <is>
          <t>P025</t>
        </is>
      </c>
      <c r="C220" s="13" t="inlineStr">
        <is>
          <t>C193</t>
        </is>
      </c>
      <c r="D220" s="13" t="inlineStr">
        <is>
          <t>Street address or PO box</t>
        </is>
      </c>
      <c r="E220" s="15" t="inlineStr">
        <is>
          <t>Friends of Sam Adams; Friends of Vadim; Rene For Portland</t>
        </is>
      </c>
      <c r="F220" s="13" t="n">
        <v>2024</v>
      </c>
      <c r="G220" s="13" t="n">
        <v>2000</v>
      </c>
      <c r="H220" s="13" t="inlineStr">
        <is>
          <t>23199:5685643; 23199:4819133</t>
        </is>
      </c>
      <c r="I220" s="13" t="inlineStr">
        <is>
          <t>21632:3881705; 21605:4222565; 21632:4899452; 21632:5050816; 20340:5054050</t>
        </is>
      </c>
    </row>
    <row r="221">
      <c r="A221" s="13" t="inlineStr">
        <is>
          <t>Olivia Clark</t>
        </is>
      </c>
      <c r="B221" s="13" t="inlineStr">
        <is>
          <t>P037</t>
        </is>
      </c>
      <c r="C221" s="13" t="inlineStr">
        <is>
          <t>C271</t>
        </is>
      </c>
      <c r="D221" s="13" t="inlineStr">
        <is>
          <t>Street address or PO box</t>
        </is>
      </c>
      <c r="E221" s="15" t="inlineStr">
        <is>
          <t>Portland Accountability PAC</t>
        </is>
      </c>
      <c r="F221" s="13" t="n">
        <v>2023</v>
      </c>
      <c r="G221" s="13" t="n">
        <v>15000</v>
      </c>
      <c r="H221" s="13" t="inlineStr">
        <is>
          <t>23199:5685642</t>
        </is>
      </c>
      <c r="I221" s="13" t="inlineStr">
        <is>
          <t>22544:4353399; 22544:4562711</t>
        </is>
      </c>
    </row>
    <row r="222">
      <c r="A222" s="13" t="inlineStr">
        <is>
          <t>Olivia Clark</t>
        </is>
      </c>
      <c r="B222" s="13" t="inlineStr">
        <is>
          <t>P039</t>
        </is>
      </c>
      <c r="C222" s="13" t="inlineStr">
        <is>
          <t>C035</t>
        </is>
      </c>
      <c r="D222" s="13" t="inlineStr">
        <is>
          <t>Street address or PO box</t>
        </is>
      </c>
      <c r="E222" s="15" t="inlineStr">
        <is>
          <t>Friends of Sam Adams</t>
        </is>
      </c>
      <c r="F222" s="13" t="n">
        <v>2020</v>
      </c>
      <c r="G222" s="13" t="n">
        <v>250</v>
      </c>
      <c r="H222" s="13" t="inlineStr">
        <is>
          <t>23199:4679641</t>
        </is>
      </c>
      <c r="I222" s="13" t="inlineStr">
        <is>
          <t>20340:3390964; 20340:3448108</t>
        </is>
      </c>
    </row>
    <row r="223">
      <c r="A223" s="13" t="inlineStr">
        <is>
          <t>Olivia Clark</t>
        </is>
      </c>
      <c r="B223" s="13" t="inlineStr">
        <is>
          <t>P041</t>
        </is>
      </c>
      <c r="C223" s="13" t="inlineStr">
        <is>
          <t>C202</t>
        </is>
      </c>
      <c r="D223" s="13" t="inlineStr">
        <is>
          <t>Street address or PO box</t>
        </is>
      </c>
      <c r="E223" s="15" t="inlineStr">
        <is>
          <t>Friends of Sam Adams; Friends of Vadim; Rene For Portland</t>
        </is>
      </c>
      <c r="F223" s="13" t="n">
        <v>2024</v>
      </c>
      <c r="G223" s="13" t="n">
        <v>2000</v>
      </c>
      <c r="H223" s="13" t="inlineStr">
        <is>
          <t>23199:5473746</t>
        </is>
      </c>
      <c r="I223" s="13" t="inlineStr">
        <is>
          <t>21632:3915644; 21605:4212669; 21632:4803656; 20340:4860435</t>
        </is>
      </c>
    </row>
    <row r="224">
      <c r="A224" s="13" t="inlineStr">
        <is>
          <t>Olivia Clark</t>
        </is>
      </c>
      <c r="B224" s="13" t="inlineStr">
        <is>
          <t>P042</t>
        </is>
      </c>
      <c r="C224" s="13" t="inlineStr">
        <is>
          <t>C008</t>
        </is>
      </c>
      <c r="D224" s="13" t="inlineStr">
        <is>
          <t>Street address or PO box</t>
        </is>
      </c>
      <c r="E224" s="15" t="inlineStr">
        <is>
          <t>Friends of Pam Treece</t>
        </is>
      </c>
      <c r="F224" s="13" t="n">
        <v>2018</v>
      </c>
      <c r="G224" s="13" t="n">
        <v>250</v>
      </c>
      <c r="H224" s="13" t="inlineStr">
        <is>
          <t>23199:5426261; 23199:4687426</t>
        </is>
      </c>
      <c r="I224" s="13" t="inlineStr">
        <is>
          <t>18397:2760096</t>
        </is>
      </c>
    </row>
    <row r="225">
      <c r="A225" s="13" t="inlineStr">
        <is>
          <t>Olivia Clark</t>
        </is>
      </c>
      <c r="B225" s="13" t="inlineStr">
        <is>
          <t>P049</t>
        </is>
      </c>
      <c r="C225" s="13" t="inlineStr">
        <is>
          <t>C128</t>
        </is>
      </c>
      <c r="D225" s="13" t="inlineStr">
        <is>
          <t>Street address or PO box</t>
        </is>
      </c>
      <c r="E225" s="15" t="inlineStr">
        <is>
          <t>Friends of Pam Treece; Rene For Portland</t>
        </is>
      </c>
      <c r="F225" s="13" t="n">
        <v>2026</v>
      </c>
      <c r="G225" s="13" t="n">
        <v>250</v>
      </c>
      <c r="H225" s="13" t="inlineStr">
        <is>
          <t>23199:4679626</t>
        </is>
      </c>
      <c r="I225" s="13" t="inlineStr">
        <is>
          <t>21605:4251540; 18397:5829000</t>
        </is>
      </c>
    </row>
    <row r="226">
      <c r="A226" s="13" t="inlineStr">
        <is>
          <t>Olivia Clark</t>
        </is>
      </c>
      <c r="B226" s="13" t="inlineStr">
        <is>
          <t>P050</t>
        </is>
      </c>
      <c r="C226" s="13" t="inlineStr">
        <is>
          <t>C241</t>
        </is>
      </c>
      <c r="D226" s="13" t="inlineStr">
        <is>
          <t>Street address or PO box</t>
        </is>
      </c>
      <c r="E226" s="15" t="inlineStr">
        <is>
          <t>Friends of Vadim</t>
        </is>
      </c>
      <c r="F226" s="13" t="n">
        <v>2022</v>
      </c>
      <c r="G226" s="13" t="n">
        <v>500</v>
      </c>
      <c r="H226" s="13" t="inlineStr">
        <is>
          <t>23199:5800291</t>
        </is>
      </c>
      <c r="I226" s="13" t="inlineStr">
        <is>
          <t>21632:4117135</t>
        </is>
      </c>
    </row>
    <row r="227">
      <c r="A227" s="13" t="inlineStr">
        <is>
          <t>Olivia Clark</t>
        </is>
      </c>
      <c r="B227" s="13" t="inlineStr">
        <is>
          <t>P052</t>
        </is>
      </c>
      <c r="C227" s="13" t="inlineStr">
        <is>
          <t>C087</t>
        </is>
      </c>
      <c r="D227" s="13" t="inlineStr">
        <is>
          <t>Street address or PO box</t>
        </is>
      </c>
      <c r="E227" s="15" t="inlineStr">
        <is>
          <t>Rene For Portland</t>
        </is>
      </c>
      <c r="F227" s="13" t="n">
        <v>2022</v>
      </c>
      <c r="G227" s="13" t="n">
        <v>250</v>
      </c>
      <c r="H227" s="13" t="inlineStr">
        <is>
          <t>23199:5844237</t>
        </is>
      </c>
      <c r="I227" s="13" t="inlineStr">
        <is>
          <t>21605:4008762; 21605:4235734</t>
        </is>
      </c>
    </row>
    <row r="228">
      <c r="A228" s="13" t="inlineStr">
        <is>
          <t>Olivia Clark</t>
        </is>
      </c>
      <c r="B228" s="13" t="inlineStr">
        <is>
          <t>P053</t>
        </is>
      </c>
      <c r="C228" s="13" t="inlineStr">
        <is>
          <t>C196</t>
        </is>
      </c>
      <c r="D228" s="13" t="inlineStr">
        <is>
          <t>Street address or PO box</t>
        </is>
      </c>
      <c r="E228" s="15" t="inlineStr">
        <is>
          <t>Friends of Vadim</t>
        </is>
      </c>
      <c r="F228" s="13" t="n">
        <v>2024</v>
      </c>
      <c r="G228" s="13" t="n">
        <v>500</v>
      </c>
      <c r="H228" s="13" t="inlineStr">
        <is>
          <t>23199:5844284</t>
        </is>
      </c>
      <c r="I228" s="13" t="inlineStr">
        <is>
          <t>21632:3885689; 21632:4818967; 21632:5050799</t>
        </is>
      </c>
    </row>
    <row r="229">
      <c r="A229" s="13" t="inlineStr">
        <is>
          <t>Olivia Clark</t>
        </is>
      </c>
      <c r="B229" s="13" t="inlineStr">
        <is>
          <t>P055</t>
        </is>
      </c>
      <c r="C229" s="13" t="inlineStr">
        <is>
          <t>C167</t>
        </is>
      </c>
      <c r="D229" s="13" t="inlineStr">
        <is>
          <t>Street address or PO box</t>
        </is>
      </c>
      <c r="E229" s="15" t="inlineStr">
        <is>
          <t>Friends of Sam Adams; Friends of Vadim; Rene for Portland</t>
        </is>
      </c>
      <c r="F229" s="13" t="n">
        <v>2024</v>
      </c>
      <c r="G229" s="13" t="n">
        <v>1000</v>
      </c>
      <c r="H229" s="13" t="inlineStr">
        <is>
          <t>23199:5473736</t>
        </is>
      </c>
      <c r="I229" s="13" t="inlineStr">
        <is>
          <t>21605:4717388; 21632:4818979; 20340:4860433</t>
        </is>
      </c>
    </row>
    <row r="230">
      <c r="A230" s="13" t="inlineStr">
        <is>
          <t>Olivia Clark</t>
        </is>
      </c>
      <c r="B230" s="13" t="inlineStr">
        <is>
          <t>P064</t>
        </is>
      </c>
      <c r="C230" s="13" t="inlineStr">
        <is>
          <t>C276</t>
        </is>
      </c>
      <c r="D230" s="13" t="inlineStr">
        <is>
          <t>Street address or PO box</t>
        </is>
      </c>
      <c r="E230" s="15" t="inlineStr">
        <is>
          <t>Friends of Sam Adams; Friends of Vadim; Portland Accountability PAC; Rene for Portland; Vote Vasquez</t>
        </is>
      </c>
      <c r="F230" s="13" t="n">
        <v>2024</v>
      </c>
      <c r="G230" s="13" t="n">
        <v>26000</v>
      </c>
      <c r="H230" s="13" t="inlineStr">
        <is>
          <t>23199:5685616; 23199:4946611</t>
        </is>
      </c>
      <c r="I230" s="13" t="inlineStr">
        <is>
          <t>22544:4364852; 23012:4687586; 21605:4721981; 21632:4778139; 20340:4811686; 23012:4885527</t>
        </is>
      </c>
    </row>
    <row r="231">
      <c r="A231" s="13" t="inlineStr">
        <is>
          <t>Olivia Clark</t>
        </is>
      </c>
      <c r="B231" s="13" t="inlineStr">
        <is>
          <t>P065</t>
        </is>
      </c>
      <c r="C231" s="13" t="inlineStr">
        <is>
          <t>C249</t>
        </is>
      </c>
      <c r="D231" s="13" t="inlineStr">
        <is>
          <t>Street address or PO box</t>
        </is>
      </c>
      <c r="E231" s="15" t="inlineStr">
        <is>
          <t>Friends of Vadim</t>
        </is>
      </c>
      <c r="F231" s="13" t="n">
        <v>2024</v>
      </c>
      <c r="G231" s="13" t="n">
        <v>500</v>
      </c>
      <c r="H231" s="13" t="inlineStr">
        <is>
          <t>23199:4946612</t>
        </is>
      </c>
      <c r="I231" s="13" t="inlineStr">
        <is>
          <t>21632:4778136</t>
        </is>
      </c>
    </row>
    <row r="232">
      <c r="A232" s="13" t="inlineStr">
        <is>
          <t>Olivia Clark</t>
        </is>
      </c>
      <c r="B232" s="13" t="inlineStr">
        <is>
          <t>P071</t>
        </is>
      </c>
      <c r="C232" s="13" t="inlineStr">
        <is>
          <t>C153</t>
        </is>
      </c>
      <c r="D232" s="13" t="inlineStr">
        <is>
          <t>Street address or PO box</t>
        </is>
      </c>
      <c r="E232" s="15" t="inlineStr">
        <is>
          <t>Rene For Portland</t>
        </is>
      </c>
      <c r="F232" s="13" t="n">
        <v>2022</v>
      </c>
      <c r="G232" s="13" t="n">
        <v>250</v>
      </c>
      <c r="H232" s="13" t="inlineStr">
        <is>
          <t>23199:5850416</t>
        </is>
      </c>
      <c r="I232" s="13" t="inlineStr">
        <is>
          <t>21605:4343924</t>
        </is>
      </c>
    </row>
    <row r="233">
      <c r="A233" s="13" t="inlineStr">
        <is>
          <t>Olivia Clark</t>
        </is>
      </c>
      <c r="B233" s="13" t="inlineStr">
        <is>
          <t>P079</t>
        </is>
      </c>
      <c r="C233" s="13" t="inlineStr">
        <is>
          <t>C049</t>
        </is>
      </c>
      <c r="D233" s="13" t="inlineStr">
        <is>
          <t>Street address or PO box</t>
        </is>
      </c>
      <c r="E233" s="15" t="inlineStr">
        <is>
          <t>Friends of Sam Adams</t>
        </is>
      </c>
      <c r="F233" s="13" t="n">
        <v>2024</v>
      </c>
      <c r="G233" s="13" t="n">
        <v>250</v>
      </c>
      <c r="H233" s="13" t="inlineStr">
        <is>
          <t>23199:5131402</t>
        </is>
      </c>
      <c r="I233" s="13" t="inlineStr">
        <is>
          <t>20340:4797903</t>
        </is>
      </c>
    </row>
    <row r="234">
      <c r="A234" s="13" t="inlineStr">
        <is>
          <t>Olivia Clark</t>
        </is>
      </c>
      <c r="B234" s="13" t="inlineStr">
        <is>
          <t>P080</t>
        </is>
      </c>
      <c r="C234" s="13" t="inlineStr">
        <is>
          <t>C091</t>
        </is>
      </c>
      <c r="D234" s="13" t="inlineStr">
        <is>
          <t>Street address or PO box</t>
        </is>
      </c>
      <c r="E234" s="15" t="inlineStr">
        <is>
          <t>Friends of Sam Adams; Rene For Portland; Vote Vasquez</t>
        </is>
      </c>
      <c r="F234" s="13" t="n">
        <v>2024</v>
      </c>
      <c r="G234" s="13" t="n">
        <v>2000</v>
      </c>
      <c r="H234" s="13" t="inlineStr">
        <is>
          <t>23199:5586615; 23199:5047899</t>
        </is>
      </c>
      <c r="I234" s="13" t="inlineStr">
        <is>
          <t>21605:4085190; 23012:4871696; 23012:4885468; 20340:4954334</t>
        </is>
      </c>
    </row>
    <row r="235">
      <c r="A235" s="13" t="inlineStr">
        <is>
          <t>Olivia Clark</t>
        </is>
      </c>
      <c r="B235" s="13" t="inlineStr">
        <is>
          <t>P092</t>
        </is>
      </c>
      <c r="C235" s="13" t="inlineStr">
        <is>
          <t>C155</t>
        </is>
      </c>
      <c r="D235" s="13" t="inlineStr">
        <is>
          <t>Street address or PO box</t>
        </is>
      </c>
      <c r="E235" s="15" t="inlineStr">
        <is>
          <t>Friends of Sam Adams; Friends of Vadim; Portland Accountability PAC; Rene For Portland; Rene for Portland; Vote Vasquez</t>
        </is>
      </c>
      <c r="F235" s="13" t="n">
        <v>2024</v>
      </c>
      <c r="G235" s="13" t="n">
        <v>4000</v>
      </c>
      <c r="H235" s="13" t="inlineStr">
        <is>
          <t>23199:5685630</t>
        </is>
      </c>
      <c r="I235" s="13" t="inlineStr">
        <is>
          <t>21605:4348575; 22544:4376954; 21605:4446786; 21605:4740731; 23012:4743886; 23012:4825947; 20340:5017680; 21632:5068200</t>
        </is>
      </c>
    </row>
    <row r="236">
      <c r="A236" s="13" t="inlineStr">
        <is>
          <t>Olivia Clark</t>
        </is>
      </c>
      <c r="B236" s="13" t="inlineStr">
        <is>
          <t>P097</t>
        </is>
      </c>
      <c r="C236" s="13" t="inlineStr">
        <is>
          <t>C176</t>
        </is>
      </c>
      <c r="D236" s="13" t="inlineStr">
        <is>
          <t>Street address or PO box</t>
        </is>
      </c>
      <c r="E236" s="15" t="inlineStr">
        <is>
          <t>Rene for Portland; Vote Vasquez</t>
        </is>
      </c>
      <c r="F236" s="13" t="n">
        <v>2024</v>
      </c>
      <c r="G236" s="13" t="n">
        <v>7000</v>
      </c>
      <c r="H236" s="13" t="inlineStr">
        <is>
          <t>23199:5844217</t>
        </is>
      </c>
      <c r="I236" s="13" t="inlineStr">
        <is>
          <t>21605:4740726; 23012:4773673; 23012:4869292; 21605:5067539; 21605:5090041</t>
        </is>
      </c>
    </row>
    <row r="237">
      <c r="A237" s="13" t="inlineStr">
        <is>
          <t>Olivia Clark</t>
        </is>
      </c>
      <c r="B237" s="13" t="inlineStr">
        <is>
          <t>P101</t>
        </is>
      </c>
      <c r="C237" s="13" t="inlineStr">
        <is>
          <t>C250</t>
        </is>
      </c>
      <c r="D237" s="13" t="inlineStr">
        <is>
          <t>Street address or PO box</t>
        </is>
      </c>
      <c r="E237" s="15" t="inlineStr">
        <is>
          <t>Friends of Vadim</t>
        </is>
      </c>
      <c r="F237" s="13" t="n">
        <v>2024</v>
      </c>
      <c r="G237" s="13" t="n">
        <v>250</v>
      </c>
      <c r="H237" s="13" t="inlineStr">
        <is>
          <t>23199:5800281</t>
        </is>
      </c>
      <c r="I237" s="13" t="inlineStr">
        <is>
          <t>21632:4789419</t>
        </is>
      </c>
    </row>
    <row r="238">
      <c r="A238" s="13" t="inlineStr">
        <is>
          <t>Olivia Clark</t>
        </is>
      </c>
      <c r="B238" s="13" t="inlineStr">
        <is>
          <t>P103</t>
        </is>
      </c>
      <c r="C238" s="13" t="inlineStr">
        <is>
          <t>C085</t>
        </is>
      </c>
      <c r="D238" s="13" t="inlineStr">
        <is>
          <t>Street address or PO box</t>
        </is>
      </c>
      <c r="E238" s="15" t="inlineStr">
        <is>
          <t>Friends of Vadim; Portland Accountability PAC; Rene For Portland; Vote Vasquez</t>
        </is>
      </c>
      <c r="F238" s="13" t="n">
        <v>2024</v>
      </c>
      <c r="G238" s="13" t="n">
        <v>3000</v>
      </c>
      <c r="H238" s="13" t="inlineStr">
        <is>
          <t>23199:5800292</t>
        </is>
      </c>
      <c r="I238" s="13" t="inlineStr">
        <is>
          <t>21605:3976956; 22544:4353383; 21605:4368545; 23012:4691280; 21632:4803645</t>
        </is>
      </c>
    </row>
    <row r="239">
      <c r="A239" s="13" t="inlineStr">
        <is>
          <t>Olivia Clark</t>
        </is>
      </c>
      <c r="B239" s="13" t="inlineStr">
        <is>
          <t>P106</t>
        </is>
      </c>
      <c r="C239" s="13" t="inlineStr">
        <is>
          <t>C252</t>
        </is>
      </c>
      <c r="D239" s="13" t="inlineStr">
        <is>
          <t>Street address or PO box</t>
        </is>
      </c>
      <c r="E239" s="15" t="inlineStr">
        <is>
          <t>Friends of Vadim</t>
        </is>
      </c>
      <c r="F239" s="13" t="n">
        <v>2024</v>
      </c>
      <c r="G239" s="13" t="n">
        <v>250</v>
      </c>
      <c r="H239" s="13" t="inlineStr">
        <is>
          <t>23199:5800293</t>
        </is>
      </c>
      <c r="I239" s="13" t="inlineStr">
        <is>
          <t>21632:4803646</t>
        </is>
      </c>
    </row>
    <row r="240">
      <c r="A240" s="13" t="inlineStr">
        <is>
          <t>Olivia Clark</t>
        </is>
      </c>
      <c r="B240" s="13" t="inlineStr">
        <is>
          <t>P108</t>
        </is>
      </c>
      <c r="C240" s="13" t="inlineStr">
        <is>
          <t>C296</t>
        </is>
      </c>
      <c r="D240" s="13" t="inlineStr">
        <is>
          <t>Street address or PO box</t>
        </is>
      </c>
      <c r="E240" s="15" t="inlineStr">
        <is>
          <t>Friends of Vadim; Vote Vasquez</t>
        </is>
      </c>
      <c r="F240" s="13" t="n">
        <v>2024</v>
      </c>
      <c r="G240" s="13" t="n">
        <v>500</v>
      </c>
      <c r="H240" s="13" t="inlineStr">
        <is>
          <t>23199:5844221</t>
        </is>
      </c>
      <c r="I240" s="13" t="inlineStr">
        <is>
          <t>23012:4773706; 21632:4818955; 21632:4866931</t>
        </is>
      </c>
    </row>
    <row r="241">
      <c r="A241" s="13" t="inlineStr">
        <is>
          <t>Olivia Clark</t>
        </is>
      </c>
      <c r="B241" s="13" t="inlineStr">
        <is>
          <t>P110</t>
        </is>
      </c>
      <c r="C241" s="13" t="inlineStr">
        <is>
          <t>C005</t>
        </is>
      </c>
      <c r="D241" s="13" t="inlineStr">
        <is>
          <t>Street address or PO box</t>
        </is>
      </c>
      <c r="E241" s="15" t="inlineStr">
        <is>
          <t>Friends of Pam Treece; Rene For Portland</t>
        </is>
      </c>
      <c r="F241" s="13" t="n">
        <v>2022</v>
      </c>
      <c r="G241" s="13" t="n">
        <v>750</v>
      </c>
      <c r="H241" s="13" t="inlineStr">
        <is>
          <t>23199:5844209</t>
        </is>
      </c>
      <c r="I241" s="13" t="inlineStr">
        <is>
          <t>18397:2742120; 21605:4212650</t>
        </is>
      </c>
    </row>
    <row r="242">
      <c r="A242" s="13" t="inlineStr">
        <is>
          <t>Olivia Clark</t>
        </is>
      </c>
      <c r="B242" s="13" t="inlineStr">
        <is>
          <t>P110</t>
        </is>
      </c>
      <c r="C242" s="13" t="inlineStr">
        <is>
          <t>C011</t>
        </is>
      </c>
      <c r="D242" s="13" t="inlineStr">
        <is>
          <t>Street address or PO box</t>
        </is>
      </c>
      <c r="E242" s="15" t="inlineStr">
        <is>
          <t>Friends of Pam Treece</t>
        </is>
      </c>
      <c r="F242" s="13" t="n">
        <v>2025</v>
      </c>
      <c r="G242" s="13" t="n">
        <v>500</v>
      </c>
      <c r="H242" s="13" t="inlineStr">
        <is>
          <t>23199:5844224</t>
        </is>
      </c>
      <c r="I242" s="13" t="inlineStr">
        <is>
          <t>18397:5327498</t>
        </is>
      </c>
    </row>
    <row r="243">
      <c r="A243" s="13" t="inlineStr">
        <is>
          <t>Olivia Clark</t>
        </is>
      </c>
      <c r="B243" s="13" t="inlineStr">
        <is>
          <t>P111</t>
        </is>
      </c>
      <c r="C243" s="13" t="inlineStr">
        <is>
          <t>C139</t>
        </is>
      </c>
      <c r="D243" s="13" t="inlineStr">
        <is>
          <t>Street address or PO box</t>
        </is>
      </c>
      <c r="E243" s="15" t="inlineStr">
        <is>
          <t>Rene For Portland</t>
        </is>
      </c>
      <c r="F243" s="13" t="n">
        <v>2022</v>
      </c>
      <c r="G243" s="13" t="n">
        <v>250</v>
      </c>
      <c r="H243" s="13" t="inlineStr">
        <is>
          <t>23199:5844222</t>
        </is>
      </c>
      <c r="I243" s="13" t="inlineStr">
        <is>
          <t>21605:4302341</t>
        </is>
      </c>
    </row>
    <row r="244">
      <c r="A244" s="13" t="inlineStr">
        <is>
          <t>Olivia Clark</t>
        </is>
      </c>
      <c r="B244" s="13" t="inlineStr">
        <is>
          <t>P112</t>
        </is>
      </c>
      <c r="C244" s="13" t="inlineStr">
        <is>
          <t>C259</t>
        </is>
      </c>
      <c r="D244" s="13" t="inlineStr">
        <is>
          <t>Street address or PO box</t>
        </is>
      </c>
      <c r="E244" s="15" t="inlineStr">
        <is>
          <t>Friends of Vadim</t>
        </is>
      </c>
      <c r="F244" s="13" t="n">
        <v>2024</v>
      </c>
      <c r="G244" s="13" t="n">
        <v>250</v>
      </c>
      <c r="H244" s="13" t="inlineStr">
        <is>
          <t>23199:5844211</t>
        </is>
      </c>
      <c r="I244" s="13" t="inlineStr">
        <is>
          <t>21632:4885380</t>
        </is>
      </c>
    </row>
    <row r="245">
      <c r="A245" s="13" t="inlineStr">
        <is>
          <t>Olivia Clark</t>
        </is>
      </c>
      <c r="B245" s="13" t="inlineStr">
        <is>
          <t>P112</t>
        </is>
      </c>
      <c r="C245" s="13" t="inlineStr">
        <is>
          <t>C260</t>
        </is>
      </c>
      <c r="D245" s="13" t="inlineStr">
        <is>
          <t>Street address or PO box</t>
        </is>
      </c>
      <c r="E245" s="15" t="inlineStr">
        <is>
          <t>Friends of Vadim</t>
        </is>
      </c>
      <c r="F245" s="13" t="n">
        <v>2024</v>
      </c>
      <c r="G245" s="13" t="n">
        <v>250</v>
      </c>
      <c r="H245" s="13" t="inlineStr">
        <is>
          <t>23199:5844213</t>
        </is>
      </c>
      <c r="I245" s="13" t="inlineStr">
        <is>
          <t>21632:4885382</t>
        </is>
      </c>
    </row>
    <row r="246">
      <c r="A246" s="13" t="inlineStr">
        <is>
          <t>Olivia Clark</t>
        </is>
      </c>
      <c r="B246" s="13" t="inlineStr">
        <is>
          <t>P113</t>
        </is>
      </c>
      <c r="C246" s="13" t="inlineStr">
        <is>
          <t>C137</t>
        </is>
      </c>
      <c r="D246" s="13" t="inlineStr">
        <is>
          <t>Street address or PO box</t>
        </is>
      </c>
      <c r="E246" s="15" t="inlineStr">
        <is>
          <t>Friends of Pam Treece; Rene For Portland</t>
        </is>
      </c>
      <c r="F246" s="13" t="n">
        <v>2026</v>
      </c>
      <c r="G246" s="13" t="n">
        <v>250</v>
      </c>
      <c r="H246" s="13" t="inlineStr">
        <is>
          <t>23199:5844231</t>
        </is>
      </c>
      <c r="I246" s="13" t="inlineStr">
        <is>
          <t>21605:4292527; 18397:5586463</t>
        </is>
      </c>
    </row>
    <row r="247">
      <c r="A247" s="13" t="inlineStr">
        <is>
          <t>Olivia Clark</t>
        </is>
      </c>
      <c r="B247" s="13" t="inlineStr">
        <is>
          <t>P114</t>
        </is>
      </c>
      <c r="C247" s="13" t="inlineStr">
        <is>
          <t>C284</t>
        </is>
      </c>
      <c r="D247" s="13" t="inlineStr">
        <is>
          <t>Street address or PO box</t>
        </is>
      </c>
      <c r="E247" s="15" t="inlineStr">
        <is>
          <t>Vote Vasquez</t>
        </is>
      </c>
      <c r="F247" s="13" t="n">
        <v>2023</v>
      </c>
      <c r="G247" s="13" t="n">
        <v>1000</v>
      </c>
      <c r="H247" s="13" t="inlineStr">
        <is>
          <t>23199:5844232</t>
        </is>
      </c>
      <c r="I247" s="13" t="inlineStr">
        <is>
          <t>23012:4682709</t>
        </is>
      </c>
    </row>
    <row r="248">
      <c r="A248" s="13" t="inlineStr">
        <is>
          <t>Olivia Clark</t>
        </is>
      </c>
      <c r="B248" s="13" t="inlineStr">
        <is>
          <t>P116</t>
        </is>
      </c>
      <c r="C248" s="13" t="inlineStr">
        <is>
          <t>C275</t>
        </is>
      </c>
      <c r="D248" s="13" t="inlineStr">
        <is>
          <t>Street address or PO box</t>
        </is>
      </c>
      <c r="E248" s="15" t="inlineStr">
        <is>
          <t>Friends of Pam Treece; Friends of Sam Adams; Friends of Vadim; Portland Accountability PAC; Vote Vasquez</t>
        </is>
      </c>
      <c r="F248" s="13" t="n">
        <v>2026</v>
      </c>
      <c r="G248" s="13" t="n">
        <v>156000</v>
      </c>
      <c r="H248" s="13" t="inlineStr">
        <is>
          <t>23199:5844260</t>
        </is>
      </c>
      <c r="I248" s="13" t="inlineStr">
        <is>
          <t>22544:4363457; 23012:4607928; 21632:4789406; 23012:4790327; 20340:4866778; 23012:4871708; 18397:5432713; 18397:5650343; 18397:5721122; 23012:5801553; 18397:5803786; 23012:5852104</t>
        </is>
      </c>
    </row>
    <row r="249">
      <c r="A249" s="13" t="inlineStr">
        <is>
          <t>Olivia Clark</t>
        </is>
      </c>
      <c r="B249" s="13" t="inlineStr">
        <is>
          <t>P117</t>
        </is>
      </c>
      <c r="C249" s="13" t="inlineStr">
        <is>
          <t>C261</t>
        </is>
      </c>
      <c r="D249" s="13" t="inlineStr">
        <is>
          <t>Street address or PO box</t>
        </is>
      </c>
      <c r="E249" s="15" t="inlineStr">
        <is>
          <t>Friends of Vadim</t>
        </is>
      </c>
      <c r="F249" s="13" t="n">
        <v>2024</v>
      </c>
      <c r="G249" s="13" t="n">
        <v>250</v>
      </c>
      <c r="H249" s="13" t="inlineStr">
        <is>
          <t>23199:5844269</t>
        </is>
      </c>
      <c r="I249" s="13" t="inlineStr">
        <is>
          <t>21632:4885393</t>
        </is>
      </c>
    </row>
    <row r="250">
      <c r="A250" s="13" t="inlineStr">
        <is>
          <t>Olivia Clark</t>
        </is>
      </c>
      <c r="B250" s="13" t="inlineStr">
        <is>
          <t>P118</t>
        </is>
      </c>
      <c r="C250" s="13" t="inlineStr">
        <is>
          <t>C256</t>
        </is>
      </c>
      <c r="D250" s="13" t="inlineStr">
        <is>
          <t>Street address or PO box</t>
        </is>
      </c>
      <c r="E250" s="15" t="inlineStr">
        <is>
          <t>Friends of Vadim</t>
        </is>
      </c>
      <c r="F250" s="13" t="n">
        <v>2024</v>
      </c>
      <c r="G250" s="13" t="n">
        <v>500</v>
      </c>
      <c r="H250" s="13" t="inlineStr">
        <is>
          <t>23199:5844263</t>
        </is>
      </c>
      <c r="I250" s="13" t="inlineStr">
        <is>
          <t>21632:4868075</t>
        </is>
      </c>
    </row>
    <row r="251">
      <c r="A251" s="13" t="inlineStr">
        <is>
          <t>Olivia Clark</t>
        </is>
      </c>
      <c r="B251" s="13" t="inlineStr">
        <is>
          <t>P118</t>
        </is>
      </c>
      <c r="C251" s="13" t="inlineStr">
        <is>
          <t>C295</t>
        </is>
      </c>
      <c r="D251" s="13" t="inlineStr">
        <is>
          <t>Street address or PO box</t>
        </is>
      </c>
      <c r="E251" s="15" t="inlineStr">
        <is>
          <t>Vote Vasquez</t>
        </is>
      </c>
      <c r="F251" s="13" t="n">
        <v>2024</v>
      </c>
      <c r="G251" s="13" t="n">
        <v>500</v>
      </c>
      <c r="H251" s="13" t="inlineStr">
        <is>
          <t>23199:5844262</t>
        </is>
      </c>
      <c r="I251" s="13" t="inlineStr">
        <is>
          <t>23012:4750800</t>
        </is>
      </c>
    </row>
    <row r="252">
      <c r="A252" s="13" t="inlineStr">
        <is>
          <t>Olivia Clark</t>
        </is>
      </c>
      <c r="B252" s="13" t="inlineStr">
        <is>
          <t>P121</t>
        </is>
      </c>
      <c r="C252" s="13" t="inlineStr">
        <is>
          <t>C154</t>
        </is>
      </c>
      <c r="D252" s="13" t="inlineStr">
        <is>
          <t>Street address or PO box</t>
        </is>
      </c>
      <c r="E252" s="15" t="inlineStr">
        <is>
          <t>Friends of Pam Treece; Friends of Vadim; Rene For Portland; Vote Vasquez</t>
        </is>
      </c>
      <c r="F252" s="13" t="n">
        <v>2026</v>
      </c>
      <c r="G252" s="13" t="n">
        <v>1000</v>
      </c>
      <c r="H252" s="13" t="inlineStr">
        <is>
          <t>23199:5844285</t>
        </is>
      </c>
      <c r="I252" s="13" t="inlineStr">
        <is>
          <t>21605:4348558; 23012:4638926; 21632:4913166; 18397:5537687</t>
        </is>
      </c>
    </row>
    <row r="253">
      <c r="A253" s="13" t="inlineStr">
        <is>
          <t>Olivia Clark</t>
        </is>
      </c>
      <c r="B253" s="13" t="inlineStr">
        <is>
          <t>P122</t>
        </is>
      </c>
      <c r="C253" s="13" t="inlineStr">
        <is>
          <t>C180</t>
        </is>
      </c>
      <c r="D253" s="13" t="inlineStr">
        <is>
          <t>Street address or PO box</t>
        </is>
      </c>
      <c r="E253" s="15" t="inlineStr">
        <is>
          <t>Rene for Portland</t>
        </is>
      </c>
      <c r="F253" s="13" t="n">
        <v>2024</v>
      </c>
      <c r="G253" s="13" t="n">
        <v>250</v>
      </c>
      <c r="H253" s="13" t="inlineStr">
        <is>
          <t>23199:5850414</t>
        </is>
      </c>
      <c r="I253" s="13" t="inlineStr">
        <is>
          <t>21605:4941173</t>
        </is>
      </c>
    </row>
    <row r="254">
      <c r="A254" s="13" t="inlineStr">
        <is>
          <t>Olivia Clark</t>
        </is>
      </c>
      <c r="B254" s="13" t="inlineStr">
        <is>
          <t>P125</t>
        </is>
      </c>
      <c r="C254" s="13" t="inlineStr">
        <is>
          <t>C231</t>
        </is>
      </c>
      <c r="D254" s="13" t="inlineStr">
        <is>
          <t>Street address or PO box</t>
        </is>
      </c>
      <c r="E254" s="15" t="inlineStr">
        <is>
          <t>Friends of Vadim; Portland Accountability PAC; Rene For Portland</t>
        </is>
      </c>
      <c r="F254" s="13" t="n">
        <v>2022</v>
      </c>
      <c r="G254" s="13" t="n">
        <v>1000</v>
      </c>
      <c r="H254" s="13" t="inlineStr">
        <is>
          <t>23199:5850409</t>
        </is>
      </c>
      <c r="I254" s="13" t="inlineStr">
        <is>
          <t>21632:4014611; 21605:4363685; 22544:4396420</t>
        </is>
      </c>
    </row>
    <row r="255">
      <c r="A255" s="13" t="inlineStr">
        <is>
          <t>Olivia Clark</t>
        </is>
      </c>
      <c r="B255" s="13" t="inlineStr">
        <is>
          <t>P126</t>
        </is>
      </c>
      <c r="C255" s="13" t="inlineStr">
        <is>
          <t>C161</t>
        </is>
      </c>
      <c r="D255" s="13" t="inlineStr">
        <is>
          <t>Street address or PO box</t>
        </is>
      </c>
      <c r="E255" s="15" t="inlineStr">
        <is>
          <t>Rene For Portland</t>
        </is>
      </c>
      <c r="F255" s="13" t="n">
        <v>2022</v>
      </c>
      <c r="G255" s="13" t="n">
        <v>250</v>
      </c>
      <c r="H255" s="13" t="inlineStr">
        <is>
          <t>23199:5868468</t>
        </is>
      </c>
      <c r="I255" s="13" t="inlineStr">
        <is>
          <t>21605:4446856</t>
        </is>
      </c>
    </row>
    <row r="256">
      <c r="A256" s="13" t="inlineStr">
        <is>
          <t>Olivia Clark</t>
        </is>
      </c>
      <c r="B256" s="13" t="inlineStr">
        <is>
          <t>P127</t>
        </is>
      </c>
      <c r="C256" s="13" t="inlineStr">
        <is>
          <t>C057</t>
        </is>
      </c>
      <c r="D256" s="13" t="inlineStr">
        <is>
          <t>Street address or PO box</t>
        </is>
      </c>
      <c r="E256" s="15" t="inlineStr">
        <is>
          <t>Friends of Sam Adams</t>
        </is>
      </c>
      <c r="F256" s="13" t="n">
        <v>2024</v>
      </c>
      <c r="G256" s="13" t="n">
        <v>500</v>
      </c>
      <c r="H256" s="13" t="inlineStr">
        <is>
          <t>23199:5868469</t>
        </is>
      </c>
      <c r="I256" s="13" t="inlineStr">
        <is>
          <t>20340:4860432</t>
        </is>
      </c>
    </row>
    <row r="257">
      <c r="A257" s="13" t="inlineStr">
        <is>
          <t>Olivia Clark</t>
        </is>
      </c>
      <c r="B257" s="13" t="inlineStr">
        <is>
          <t>P128</t>
        </is>
      </c>
      <c r="C257" s="13" t="inlineStr">
        <is>
          <t>C236</t>
        </is>
      </c>
      <c r="D257" s="13" t="inlineStr">
        <is>
          <t>Street address or PO box</t>
        </is>
      </c>
      <c r="E257" s="15" t="inlineStr">
        <is>
          <t>Friends of Pam Treece; Friends of Sam Adams; Friends of Vadim; Rene For Portland; Vote Vasquez</t>
        </is>
      </c>
      <c r="F257" s="13" t="n">
        <v>2026</v>
      </c>
      <c r="G257" s="13" t="n">
        <v>1000</v>
      </c>
      <c r="H257" s="13" t="inlineStr">
        <is>
          <t>23199:5868470</t>
        </is>
      </c>
      <c r="I257" s="13" t="inlineStr">
        <is>
          <t>21632:4100110; 21605:4296448; 23012:4865300; 20340:5054041; 18397:5650349</t>
        </is>
      </c>
    </row>
    <row r="258">
      <c r="A258" s="13" t="inlineStr">
        <is>
          <t>Olivia Clark</t>
        </is>
      </c>
      <c r="B258" s="13" t="inlineStr">
        <is>
          <t>P129</t>
        </is>
      </c>
      <c r="C258" s="13" t="inlineStr">
        <is>
          <t>C024</t>
        </is>
      </c>
      <c r="D258" s="13" t="inlineStr">
        <is>
          <t>Street address or PO box</t>
        </is>
      </c>
      <c r="E258" s="15" t="inlineStr">
        <is>
          <t>Friends of Pam Treece</t>
        </is>
      </c>
      <c r="F258" s="13" t="n">
        <v>2026</v>
      </c>
      <c r="G258" s="13" t="n">
        <v>250</v>
      </c>
      <c r="H258" s="13" t="inlineStr">
        <is>
          <t>23199:5633083; 23199:5098678; 23199:4907837</t>
        </is>
      </c>
      <c r="I258" s="13" t="inlineStr">
        <is>
          <t>18397:5829006</t>
        </is>
      </c>
    </row>
    <row r="259">
      <c r="A259" s="13" t="inlineStr">
        <is>
          <t>Olivia Clark</t>
        </is>
      </c>
      <c r="B259" s="13" t="inlineStr">
        <is>
          <t>P133</t>
        </is>
      </c>
      <c r="C259" s="13" t="inlineStr">
        <is>
          <t>C254</t>
        </is>
      </c>
      <c r="D259" s="13" t="inlineStr">
        <is>
          <t>Street address or PO box</t>
        </is>
      </c>
      <c r="E259" s="15" t="inlineStr">
        <is>
          <t>Friends of Pam Treece; Friends of Vadim</t>
        </is>
      </c>
      <c r="F259" s="13" t="n">
        <v>2026</v>
      </c>
      <c r="G259" s="13" t="n">
        <v>750</v>
      </c>
      <c r="H259" s="13" t="inlineStr">
        <is>
          <t>23199:5889458</t>
        </is>
      </c>
      <c r="I259" s="13" t="inlineStr">
        <is>
          <t>21632:4855333; 18397:5625561</t>
        </is>
      </c>
    </row>
    <row r="260">
      <c r="A260" s="13" t="inlineStr">
        <is>
          <t>Olivia Clark</t>
        </is>
      </c>
      <c r="B260" s="13" t="inlineStr">
        <is>
          <t>P186</t>
        </is>
      </c>
      <c r="C260" s="13" t="inlineStr">
        <is>
          <t>C166</t>
        </is>
      </c>
      <c r="D260" s="13" t="inlineStr">
        <is>
          <t>Street address or PO box</t>
        </is>
      </c>
      <c r="E260" s="15" t="inlineStr">
        <is>
          <t>Rene for Portland</t>
        </is>
      </c>
      <c r="F260" s="13" t="n">
        <v>2023</v>
      </c>
      <c r="G260" s="13" t="n">
        <v>250</v>
      </c>
      <c r="H260" s="13" t="inlineStr">
        <is>
          <t>23199:5868474</t>
        </is>
      </c>
      <c r="I260" s="13" t="inlineStr">
        <is>
          <t>21605:4717380</t>
        </is>
      </c>
    </row>
    <row r="261">
      <c r="A261" s="13" t="inlineStr">
        <is>
          <t>Olivia Clark</t>
        </is>
      </c>
      <c r="B261" s="13" t="inlineStr">
        <is>
          <t>P204</t>
        </is>
      </c>
      <c r="C261" s="13" t="inlineStr">
        <is>
          <t>C103</t>
        </is>
      </c>
      <c r="D261" s="13" t="inlineStr">
        <is>
          <t>Street address or PO box</t>
        </is>
      </c>
      <c r="E261" s="15" t="inlineStr">
        <is>
          <t>Portland Accountability PAC; Rene For Portland; Rene for Portland</t>
        </is>
      </c>
      <c r="F261" s="13" t="n">
        <v>2023</v>
      </c>
      <c r="G261" s="13" t="n">
        <v>2000</v>
      </c>
      <c r="H261" s="13" t="inlineStr">
        <is>
          <t>23199:4687396</t>
        </is>
      </c>
      <c r="I261" s="13" t="inlineStr">
        <is>
          <t>21605:4168478; 21605:4214861; 22544:4363459; 21605:4446938; 21605:4717491</t>
        </is>
      </c>
    </row>
    <row r="262">
      <c r="A262" s="13" t="inlineStr">
        <is>
          <t>Olivia Clark</t>
        </is>
      </c>
      <c r="B262" s="13" t="inlineStr">
        <is>
          <t>P205</t>
        </is>
      </c>
      <c r="C262" s="13" t="inlineStr">
        <is>
          <t>C001</t>
        </is>
      </c>
      <c r="D262" s="13" t="inlineStr">
        <is>
          <t>Street address or PO box</t>
        </is>
      </c>
      <c r="E262" s="15" t="inlineStr">
        <is>
          <t>Friends of Pam Treece</t>
        </is>
      </c>
      <c r="F262" s="13" t="n">
        <v>2026</v>
      </c>
      <c r="G262" s="13" t="n">
        <v>750</v>
      </c>
      <c r="H262" s="13" t="inlineStr">
        <is>
          <t>23199:4712039</t>
        </is>
      </c>
      <c r="I262" s="13" t="inlineStr">
        <is>
          <t>18397:2645199; 18397:5541757; 18397:5829001</t>
        </is>
      </c>
    </row>
    <row r="263">
      <c r="A263" s="13" t="inlineStr">
        <is>
          <t>Olivia Clark</t>
        </is>
      </c>
      <c r="B263" s="13" t="inlineStr">
        <is>
          <t>P206</t>
        </is>
      </c>
      <c r="C263" s="13" t="inlineStr">
        <is>
          <t>C270</t>
        </is>
      </c>
      <c r="D263" s="13" t="inlineStr">
        <is>
          <t>Street address or PO box</t>
        </is>
      </c>
      <c r="E263" s="15" t="inlineStr">
        <is>
          <t>Friends of Sam Adams; Friends of Vadim; Portland Accountability PAC</t>
        </is>
      </c>
      <c r="F263" s="13" t="n">
        <v>2024</v>
      </c>
      <c r="G263" s="13" t="n">
        <v>750</v>
      </c>
      <c r="H263" s="13" t="inlineStr">
        <is>
          <t>23199:5586598; 23199:4712078</t>
        </is>
      </c>
      <c r="I263" s="13" t="inlineStr">
        <is>
          <t>22544:4353398; 21632:4870942; 20340:5029330</t>
        </is>
      </c>
    </row>
    <row r="264">
      <c r="A264" s="13" t="inlineStr">
        <is>
          <t>Olivia Clark</t>
        </is>
      </c>
      <c r="B264" s="13" t="inlineStr">
        <is>
          <t>P207</t>
        </is>
      </c>
      <c r="C264" s="13" t="inlineStr">
        <is>
          <t>C018</t>
        </is>
      </c>
      <c r="D264" s="13" t="inlineStr">
        <is>
          <t>Street address or PO box</t>
        </is>
      </c>
      <c r="E264" s="15" t="inlineStr">
        <is>
          <t>Friends of Pam Treece</t>
        </is>
      </c>
      <c r="F264" s="13" t="n">
        <v>2026</v>
      </c>
      <c r="G264" s="13" t="n">
        <v>250</v>
      </c>
      <c r="H264" s="13" t="inlineStr">
        <is>
          <t>23199:4745095</t>
        </is>
      </c>
      <c r="I264" s="13" t="inlineStr">
        <is>
          <t>18397:5460703; 18397:5586467</t>
        </is>
      </c>
    </row>
    <row r="265">
      <c r="A265" s="13" t="inlineStr">
        <is>
          <t>Olivia Clark</t>
        </is>
      </c>
      <c r="B265" s="13" t="inlineStr">
        <is>
          <t>P208</t>
        </is>
      </c>
      <c r="C265" s="13" t="inlineStr">
        <is>
          <t>C286</t>
        </is>
      </c>
      <c r="D265" s="13" t="inlineStr">
        <is>
          <t>Street address or PO box</t>
        </is>
      </c>
      <c r="E265" s="15" t="inlineStr">
        <is>
          <t>Vote Vasquez</t>
        </is>
      </c>
      <c r="F265" s="13" t="n">
        <v>2023</v>
      </c>
      <c r="G265" s="13" t="n">
        <v>250</v>
      </c>
      <c r="H265" s="13" t="inlineStr">
        <is>
          <t>23199:4819117; 23199:4819118</t>
        </is>
      </c>
      <c r="I265" s="13" t="inlineStr">
        <is>
          <t>23012:4682734</t>
        </is>
      </c>
    </row>
    <row r="266">
      <c r="A266" s="13" t="inlineStr">
        <is>
          <t>Olivia Clark</t>
        </is>
      </c>
      <c r="B266" s="13" t="inlineStr">
        <is>
          <t>P209</t>
        </is>
      </c>
      <c r="C266" s="13" t="inlineStr">
        <is>
          <t>C238</t>
        </is>
      </c>
      <c r="D266" s="13" t="inlineStr">
        <is>
          <t>Street address or PO box</t>
        </is>
      </c>
      <c r="E266" s="15" t="inlineStr">
        <is>
          <t>Friends of Vadim</t>
        </is>
      </c>
      <c r="F266" s="13" t="n">
        <v>2022</v>
      </c>
      <c r="G266" s="13" t="n">
        <v>250</v>
      </c>
      <c r="H266" s="13" t="inlineStr">
        <is>
          <t>23199:5633056; 23199:4907809; 23199:4907812</t>
        </is>
      </c>
      <c r="I266" s="13" t="inlineStr">
        <is>
          <t>21632:4107536</t>
        </is>
      </c>
    </row>
    <row r="267">
      <c r="A267" s="13" t="inlineStr">
        <is>
          <t>Olivia Clark</t>
        </is>
      </c>
      <c r="B267" s="13" t="inlineStr">
        <is>
          <t>P210</t>
        </is>
      </c>
      <c r="C267" s="13" t="inlineStr">
        <is>
          <t>C245</t>
        </is>
      </c>
      <c r="D267" s="13" t="inlineStr">
        <is>
          <t>Street address or PO box</t>
        </is>
      </c>
      <c r="E267" s="15" t="inlineStr">
        <is>
          <t>Friends of Vadim</t>
        </is>
      </c>
      <c r="F267" s="13" t="n">
        <v>2024</v>
      </c>
      <c r="G267" s="13" t="n">
        <v>500</v>
      </c>
      <c r="H267" s="13" t="inlineStr">
        <is>
          <t>23199:5717737; 23199:4946587</t>
        </is>
      </c>
      <c r="I267" s="13" t="inlineStr">
        <is>
          <t>21632:4149582; 21632:5117186</t>
        </is>
      </c>
    </row>
    <row r="268">
      <c r="A268" s="13" t="inlineStr">
        <is>
          <t>Olivia Clark</t>
        </is>
      </c>
      <c r="B268" s="13" t="inlineStr">
        <is>
          <t>P211</t>
        </is>
      </c>
      <c r="C268" s="13" t="inlineStr">
        <is>
          <t>C007</t>
        </is>
      </c>
      <c r="D268" s="13" t="inlineStr">
        <is>
          <t>Street address or PO box</t>
        </is>
      </c>
      <c r="E268" s="15" t="inlineStr">
        <is>
          <t>Friends of Pam Treece; Friends of Sam Adams; Rene For Portland; Rene for Portland; Vote Vasquez</t>
        </is>
      </c>
      <c r="F268" s="13" t="n">
        <v>2024</v>
      </c>
      <c r="G268" s="13" t="n">
        <v>1000</v>
      </c>
      <c r="H268" s="13" t="inlineStr">
        <is>
          <t>23199:4966479</t>
        </is>
      </c>
      <c r="I268" s="13" t="inlineStr">
        <is>
          <t>18397:2751465; 20340:3442839; 21605:4208374; 21605:4717500; 23012:4743890; 20340:4817189</t>
        </is>
      </c>
    </row>
    <row r="269">
      <c r="A269" s="13" t="inlineStr">
        <is>
          <t>Olivia Clark</t>
        </is>
      </c>
      <c r="B269" s="13" t="inlineStr">
        <is>
          <t>P212</t>
        </is>
      </c>
      <c r="C269" s="13" t="inlineStr">
        <is>
          <t>C300</t>
        </is>
      </c>
      <c r="D269" s="13" t="inlineStr">
        <is>
          <t>Street address or PO box</t>
        </is>
      </c>
      <c r="E269" s="15" t="inlineStr">
        <is>
          <t>Vote Vasquez</t>
        </is>
      </c>
      <c r="F269" s="13" t="n">
        <v>2024</v>
      </c>
      <c r="G269" s="13" t="n">
        <v>250</v>
      </c>
      <c r="H269" s="13" t="inlineStr">
        <is>
          <t>23199:5047931; 23199:5009223</t>
        </is>
      </c>
      <c r="I269" s="13" t="inlineStr">
        <is>
          <t>23012:4790304</t>
        </is>
      </c>
    </row>
    <row r="270">
      <c r="A270" s="13" t="inlineStr">
        <is>
          <t>Olivia Clark</t>
        </is>
      </c>
      <c r="B270" s="13" t="inlineStr">
        <is>
          <t>P213</t>
        </is>
      </c>
      <c r="C270" s="13" t="inlineStr">
        <is>
          <t>C158</t>
        </is>
      </c>
      <c r="D270" s="13" t="inlineStr">
        <is>
          <t>Street address or PO box</t>
        </is>
      </c>
      <c r="E270" s="15" t="inlineStr">
        <is>
          <t>Rene For Portland</t>
        </is>
      </c>
      <c r="F270" s="13" t="n">
        <v>2022</v>
      </c>
      <c r="G270" s="13" t="n">
        <v>250</v>
      </c>
      <c r="H270" s="13" t="inlineStr">
        <is>
          <t>23199:5397285</t>
        </is>
      </c>
      <c r="I270" s="13" t="inlineStr">
        <is>
          <t>21605:4394543</t>
        </is>
      </c>
    </row>
    <row r="271">
      <c r="A271" s="13" t="inlineStr">
        <is>
          <t>Olivia Clark</t>
        </is>
      </c>
      <c r="B271" s="13" t="inlineStr">
        <is>
          <t>P214</t>
        </is>
      </c>
      <c r="C271" s="13" t="inlineStr">
        <is>
          <t>C111</t>
        </is>
      </c>
      <c r="D271" s="13" t="inlineStr">
        <is>
          <t>Street address or PO box</t>
        </is>
      </c>
      <c r="E271" s="15" t="inlineStr">
        <is>
          <t>Friends of Sam Adams; Rene For Portland; Rene for Portland; Vote Vasquez</t>
        </is>
      </c>
      <c r="F271" s="13" t="n">
        <v>2024</v>
      </c>
      <c r="G271" s="13" t="n">
        <v>250</v>
      </c>
      <c r="H271" s="13" t="inlineStr">
        <is>
          <t>23199:5586624</t>
        </is>
      </c>
      <c r="I271" s="13" t="inlineStr">
        <is>
          <t>21605:4208144; 21605:4725585; 23012:4865244; 20340:4990642</t>
        </is>
      </c>
    </row>
    <row r="272">
      <c r="A272" s="13" t="inlineStr">
        <is>
          <t>Olivia Clark</t>
        </is>
      </c>
      <c r="B272" s="13" t="inlineStr">
        <is>
          <t>P215</t>
        </is>
      </c>
      <c r="C272" s="13" t="inlineStr">
        <is>
          <t>C217</t>
        </is>
      </c>
      <c r="D272" s="13" t="inlineStr">
        <is>
          <t>Street address or PO box</t>
        </is>
      </c>
      <c r="E272" s="15" t="inlineStr">
        <is>
          <t>Friends of Vadim; Rene For Portland; Rene for Portland</t>
        </is>
      </c>
      <c r="F272" s="13" t="n">
        <v>2024</v>
      </c>
      <c r="G272" s="13" t="n">
        <v>1000</v>
      </c>
      <c r="H272" s="13" t="inlineStr">
        <is>
          <t>23199:5666513</t>
        </is>
      </c>
      <c r="I272" s="13" t="inlineStr">
        <is>
          <t>21632:3935278; 21605:4328747; 21632:4868081; 21605:4936332</t>
        </is>
      </c>
    </row>
    <row r="273">
      <c r="A273" s="13" t="inlineStr">
        <is>
          <t>Olivia Clark</t>
        </is>
      </c>
      <c r="B273" s="13" t="inlineStr">
        <is>
          <t>P216</t>
        </is>
      </c>
      <c r="C273" s="13" t="inlineStr">
        <is>
          <t>C119</t>
        </is>
      </c>
      <c r="D273" s="13" t="inlineStr">
        <is>
          <t>Street address or PO box</t>
        </is>
      </c>
      <c r="E273" s="15" t="inlineStr">
        <is>
          <t>Rene For Portland</t>
        </is>
      </c>
      <c r="F273" s="13" t="n">
        <v>2022</v>
      </c>
      <c r="G273" s="13" t="n">
        <v>250</v>
      </c>
      <c r="H273" s="13" t="inlineStr">
        <is>
          <t>23199:5759628</t>
        </is>
      </c>
      <c r="I273" s="13" t="inlineStr">
        <is>
          <t>21605:4237727</t>
        </is>
      </c>
    </row>
    <row r="274">
      <c r="A274" s="13" t="inlineStr">
        <is>
          <t>Olivia Clark</t>
        </is>
      </c>
      <c r="B274" s="13" t="inlineStr">
        <is>
          <t>P217</t>
        </is>
      </c>
      <c r="C274" s="13" t="inlineStr">
        <is>
          <t>C032</t>
        </is>
      </c>
      <c r="D274" s="13" t="inlineStr">
        <is>
          <t>Street address or PO box</t>
        </is>
      </c>
      <c r="E274" s="15" t="inlineStr">
        <is>
          <t>Friends of Sam Adams</t>
        </is>
      </c>
      <c r="F274" s="13" t="n">
        <v>2024</v>
      </c>
      <c r="G274" s="13" t="n">
        <v>500</v>
      </c>
      <c r="H274" s="13" t="inlineStr">
        <is>
          <t>23199:5844216</t>
        </is>
      </c>
      <c r="I274" s="13" t="inlineStr">
        <is>
          <t>20340:3375783; 20340:3447899; 20340:4869104; 20340:4985001; 20340:5054003; 20340:5106980</t>
        </is>
      </c>
    </row>
    <row r="275">
      <c r="A275" s="13" t="inlineStr">
        <is>
          <t>Olivia Clark</t>
        </is>
      </c>
      <c r="B275" s="13" t="inlineStr">
        <is>
          <t>P218</t>
        </is>
      </c>
      <c r="C275" s="13" t="inlineStr">
        <is>
          <t>C142</t>
        </is>
      </c>
      <c r="D275" s="13" t="inlineStr">
        <is>
          <t>Street address or PO box</t>
        </is>
      </c>
      <c r="E275" s="15" t="inlineStr">
        <is>
          <t>Rene For Portland</t>
        </is>
      </c>
      <c r="F275" s="13" t="n">
        <v>2022</v>
      </c>
      <c r="G275" s="13" t="n">
        <v>250</v>
      </c>
      <c r="H275" s="13" t="inlineStr">
        <is>
          <t>23199:5868482</t>
        </is>
      </c>
      <c r="I275" s="13" t="inlineStr">
        <is>
          <t>21605:4316385</t>
        </is>
      </c>
    </row>
    <row r="276">
      <c r="A276" s="13" t="inlineStr">
        <is>
          <t>Olivia Clark</t>
        </is>
      </c>
      <c r="B276" s="13" t="inlineStr">
        <is>
          <t>P218</t>
        </is>
      </c>
      <c r="C276" s="13" t="inlineStr">
        <is>
          <t>C206</t>
        </is>
      </c>
      <c r="D276" s="13" t="inlineStr">
        <is>
          <t>Street address or PO box</t>
        </is>
      </c>
      <c r="E276" s="15" t="inlineStr">
        <is>
          <t>Friends of Vadim; Rene For Portland</t>
        </is>
      </c>
      <c r="F276" s="13" t="n">
        <v>2022</v>
      </c>
      <c r="G276" s="13" t="n">
        <v>500</v>
      </c>
      <c r="H276" s="13" t="inlineStr">
        <is>
          <t>23199:5868487</t>
        </is>
      </c>
      <c r="I276" s="13" t="inlineStr">
        <is>
          <t>21632:3926302; 21605:4316383</t>
        </is>
      </c>
    </row>
    <row r="277">
      <c r="A277" s="13" t="inlineStr">
        <is>
          <t>Olivia Clark</t>
        </is>
      </c>
      <c r="B277" s="13" t="inlineStr">
        <is>
          <t>P219</t>
        </is>
      </c>
      <c r="C277" s="13" t="inlineStr">
        <is>
          <t>C149</t>
        </is>
      </c>
      <c r="D277" s="13" t="inlineStr">
        <is>
          <t>Street address or PO box</t>
        </is>
      </c>
      <c r="E277" s="15" t="inlineStr">
        <is>
          <t>Portland Accountability PAC; Rene For Portland</t>
        </is>
      </c>
      <c r="F277" s="13" t="n">
        <v>2022</v>
      </c>
      <c r="G277" s="13" t="n">
        <v>10000</v>
      </c>
      <c r="H277" s="13" t="inlineStr">
        <is>
          <t>23199:5868502</t>
        </is>
      </c>
      <c r="I277" s="13" t="inlineStr">
        <is>
          <t>21605:4335940; 22544:4353400</t>
        </is>
      </c>
    </row>
    <row r="278">
      <c r="A278" s="13" t="inlineStr">
        <is>
          <t>Olivia Clark</t>
        </is>
      </c>
      <c r="B278" s="13" t="inlineStr">
        <is>
          <t>P220</t>
        </is>
      </c>
      <c r="C278" s="13" t="inlineStr">
        <is>
          <t>C186</t>
        </is>
      </c>
      <c r="D278" s="13" t="inlineStr">
        <is>
          <t>Street address or PO box</t>
        </is>
      </c>
      <c r="E278" s="15" t="inlineStr">
        <is>
          <t>Rene for Portland</t>
        </is>
      </c>
      <c r="F278" s="13" t="n">
        <v>2024</v>
      </c>
      <c r="G278" s="13" t="n">
        <v>250</v>
      </c>
      <c r="H278" s="13" t="inlineStr">
        <is>
          <t>23199:5878450</t>
        </is>
      </c>
      <c r="I278" s="13" t="inlineStr">
        <is>
          <t>21605:5042378</t>
        </is>
      </c>
    </row>
    <row r="279">
      <c r="A279" s="13" t="inlineStr">
        <is>
          <t>Steve Novick</t>
        </is>
      </c>
      <c r="B279" s="13" t="inlineStr">
        <is>
          <t>H003</t>
        </is>
      </c>
      <c r="C279" s="13" t="inlineStr">
        <is>
          <t>C042</t>
        </is>
      </c>
      <c r="D279" s="13" t="inlineStr">
        <is>
          <t>ZIP + employer</t>
        </is>
      </c>
      <c r="E279" s="15" t="inlineStr">
        <is>
          <t>Friends of Pam Treece; Friends of Sam Adams; Friends of Vadim; Rene For Portland; Vote Vasquez</t>
        </is>
      </c>
      <c r="F279" s="13" t="n">
        <v>2025</v>
      </c>
      <c r="G279" s="13" t="n">
        <v>3000</v>
      </c>
      <c r="H279" s="13" t="inlineStr">
        <is>
          <t>15109:5685094</t>
        </is>
      </c>
      <c r="I279" s="13" t="inlineStr">
        <is>
          <t>20340:3442713; 21632:3881710; 21605:3991736; 20340:4797834; 21632:4818975; 23012:4808398; 18397:5373198</t>
        </is>
      </c>
    </row>
    <row r="280">
      <c r="A280" s="13" t="inlineStr">
        <is>
          <t>Steve Novick</t>
        </is>
      </c>
      <c r="B280" s="13" t="inlineStr">
        <is>
          <t>H055</t>
        </is>
      </c>
      <c r="C280" s="13" t="inlineStr">
        <is>
          <t>C125</t>
        </is>
      </c>
      <c r="D280" s="13" t="inlineStr">
        <is>
          <t>Street address or PO box</t>
        </is>
      </c>
      <c r="E280" s="15" t="inlineStr">
        <is>
          <t>Rene For Portland</t>
        </is>
      </c>
      <c r="F280" s="13" t="n">
        <v>2022</v>
      </c>
      <c r="G280" s="13" t="n">
        <v>250</v>
      </c>
      <c r="H280" s="13" t="inlineStr">
        <is>
          <t>15109:5717503</t>
        </is>
      </c>
      <c r="I280" s="13" t="inlineStr">
        <is>
          <t>21605:4248167</t>
        </is>
      </c>
    </row>
    <row r="281">
      <c r="A281" s="13" t="inlineStr">
        <is>
          <t>Steve Novick</t>
        </is>
      </c>
      <c r="B281" s="13" t="inlineStr">
        <is>
          <t>H083</t>
        </is>
      </c>
      <c r="C281" s="13" t="inlineStr">
        <is>
          <t>C165</t>
        </is>
      </c>
      <c r="D281" s="13" t="inlineStr">
        <is>
          <t>Street address or PO box</t>
        </is>
      </c>
      <c r="E281" s="15" t="inlineStr">
        <is>
          <t>Rene for Portland</t>
        </is>
      </c>
      <c r="F281" s="13" t="n">
        <v>2023</v>
      </c>
      <c r="G281" s="13" t="n">
        <v>250</v>
      </c>
      <c r="H281" s="13" t="inlineStr">
        <is>
          <t>15109:5685085</t>
        </is>
      </c>
      <c r="I281" s="13" t="inlineStr">
        <is>
          <t>21605:4717377</t>
        </is>
      </c>
    </row>
    <row r="282">
      <c r="A282" s="13" t="inlineStr">
        <is>
          <t>Steve Novick</t>
        </is>
      </c>
      <c r="B282" s="13" t="inlineStr">
        <is>
          <t>H087</t>
        </is>
      </c>
      <c r="C282" s="13" t="inlineStr">
        <is>
          <t>C185</t>
        </is>
      </c>
      <c r="D282" s="13" t="inlineStr">
        <is>
          <t>Street address or PO box, ZIP + employer</t>
        </is>
      </c>
      <c r="E282" s="15" t="inlineStr">
        <is>
          <t>Friends of Pam Treece; Rene for Portland</t>
        </is>
      </c>
      <c r="F282" s="13" t="n">
        <v>2026</v>
      </c>
      <c r="G282" s="13" t="n">
        <v>500</v>
      </c>
      <c r="H282" s="13" t="inlineStr">
        <is>
          <t>15109:4865073</t>
        </is>
      </c>
      <c r="I282" s="13" t="inlineStr">
        <is>
          <t>21605:5042345; 18397:5803805</t>
        </is>
      </c>
    </row>
    <row r="283">
      <c r="A283" s="13" t="inlineStr">
        <is>
          <t>Steve Novick</t>
        </is>
      </c>
      <c r="B283" s="13" t="inlineStr">
        <is>
          <t>H123</t>
        </is>
      </c>
      <c r="C283" s="13" t="inlineStr">
        <is>
          <t>C274</t>
        </is>
      </c>
      <c r="D283" s="13" t="inlineStr">
        <is>
          <t>Street address or PO box</t>
        </is>
      </c>
      <c r="E283" s="15" t="inlineStr">
        <is>
          <t>Friends of Vadim; Portland Accountability PAC; Vote Vasquez</t>
        </is>
      </c>
      <c r="F283" s="13" t="n">
        <v>2024</v>
      </c>
      <c r="G283" s="13" t="n">
        <v>2000</v>
      </c>
      <c r="H283" s="13" t="inlineStr">
        <is>
          <t>15109:5685079</t>
        </is>
      </c>
      <c r="I283" s="13" t="inlineStr">
        <is>
          <t>22544:4353412; 21632:4855356; 23012:4838518</t>
        </is>
      </c>
    </row>
    <row r="284">
      <c r="A284" s="13" t="inlineStr">
        <is>
          <t>Steve Novick</t>
        </is>
      </c>
      <c r="B284" s="13" t="inlineStr">
        <is>
          <t>P001</t>
        </is>
      </c>
      <c r="C284" s="13" t="inlineStr">
        <is>
          <t>C218</t>
        </is>
      </c>
      <c r="D284" s="13" t="inlineStr">
        <is>
          <t>Street address or PO box</t>
        </is>
      </c>
      <c r="E284" s="15" t="inlineStr">
        <is>
          <t>Friends of Sam Adams; Friends of Vadim; Portland Accountability PAC; Rene For Portland; Rene for Portland</t>
        </is>
      </c>
      <c r="F284" s="13" t="n">
        <v>2024</v>
      </c>
      <c r="G284" s="13" t="n">
        <v>13000</v>
      </c>
      <c r="H284" s="13" t="inlineStr">
        <is>
          <t>15109:5503304; 15109:5503310; 15109:5503313; 15109:4725772</t>
        </is>
      </c>
      <c r="I284" s="13" t="inlineStr">
        <is>
          <t>21632:3942402; 21605:4312451; 22544:4329715; 21605:4446798; 22544:4577120; 21605:4740724; 21632:4778204; 20340:4797897</t>
        </is>
      </c>
    </row>
    <row r="285">
      <c r="A285" s="13" t="inlineStr">
        <is>
          <t>Steve Novick</t>
        </is>
      </c>
      <c r="B285" s="13" t="inlineStr">
        <is>
          <t>P002</t>
        </is>
      </c>
      <c r="C285" s="13" t="inlineStr">
        <is>
          <t>C058</t>
        </is>
      </c>
      <c r="D285" s="13" t="inlineStr">
        <is>
          <t>Street address or PO box</t>
        </is>
      </c>
      <c r="E285" s="15" t="inlineStr">
        <is>
          <t>Friends of Sam Adams</t>
        </is>
      </c>
      <c r="F285" s="13" t="n">
        <v>2024</v>
      </c>
      <c r="G285" s="13" t="n">
        <v>500</v>
      </c>
      <c r="H285" s="13" t="inlineStr">
        <is>
          <t>15109:4725810</t>
        </is>
      </c>
      <c r="I285" s="13" t="inlineStr">
        <is>
          <t>20340:4869102; 20340:5029328</t>
        </is>
      </c>
    </row>
    <row r="286">
      <c r="A286" s="13" t="inlineStr">
        <is>
          <t>Steve Novick</t>
        </is>
      </c>
      <c r="B286" s="13" t="inlineStr">
        <is>
          <t>P003</t>
        </is>
      </c>
      <c r="C286" s="13" t="inlineStr">
        <is>
          <t>C061</t>
        </is>
      </c>
      <c r="D286" s="13" t="inlineStr">
        <is>
          <t>Street address or PO box</t>
        </is>
      </c>
      <c r="E286" s="15" t="inlineStr">
        <is>
          <t>Friends of Sam Adams</t>
        </is>
      </c>
      <c r="F286" s="13" t="n">
        <v>2024</v>
      </c>
      <c r="G286" s="13" t="n">
        <v>250</v>
      </c>
      <c r="H286" s="13" t="inlineStr">
        <is>
          <t>15109:4725878</t>
        </is>
      </c>
      <c r="I286" s="13" t="inlineStr">
        <is>
          <t>20340:4877695</t>
        </is>
      </c>
    </row>
    <row r="287">
      <c r="A287" s="13" t="inlineStr">
        <is>
          <t>Steve Novick</t>
        </is>
      </c>
      <c r="B287" s="13" t="inlineStr">
        <is>
          <t>P004</t>
        </is>
      </c>
      <c r="C287" s="13" t="inlineStr">
        <is>
          <t>C079</t>
        </is>
      </c>
      <c r="D287" s="13" t="inlineStr">
        <is>
          <t>Street address or PO box</t>
        </is>
      </c>
      <c r="E287" s="15" t="inlineStr">
        <is>
          <t>Rene For Portland; Rene for Portland</t>
        </is>
      </c>
      <c r="F287" s="13" t="n">
        <v>2024</v>
      </c>
      <c r="G287" s="13" t="n">
        <v>1000</v>
      </c>
      <c r="H287" s="13" t="inlineStr">
        <is>
          <t>15109:5732275; 15109:4747952</t>
        </is>
      </c>
      <c r="I287" s="13" t="inlineStr">
        <is>
          <t>21605:3904988; 21605:4376922; 21605:4717570; 21605:4877538</t>
        </is>
      </c>
    </row>
    <row r="288">
      <c r="A288" s="13" t="inlineStr">
        <is>
          <t>Steve Novick</t>
        </is>
      </c>
      <c r="B288" s="13" t="inlineStr">
        <is>
          <t>P004</t>
        </is>
      </c>
      <c r="C288" s="13" t="inlineStr">
        <is>
          <t>C172</t>
        </is>
      </c>
      <c r="D288" s="13" t="inlineStr">
        <is>
          <t>Street address or PO box</t>
        </is>
      </c>
      <c r="E288" s="15" t="inlineStr">
        <is>
          <t>Rene for Portland</t>
        </is>
      </c>
      <c r="F288" s="13" t="n">
        <v>2023</v>
      </c>
      <c r="G288" s="13" t="n">
        <v>250</v>
      </c>
      <c r="H288" s="13" t="inlineStr">
        <is>
          <t>15109:4961140; 15109:4772876</t>
        </is>
      </c>
      <c r="I288" s="13" t="inlineStr">
        <is>
          <t>21605:4717571</t>
        </is>
      </c>
    </row>
    <row r="289">
      <c r="A289" s="13" t="inlineStr">
        <is>
          <t>Steve Novick</t>
        </is>
      </c>
      <c r="B289" s="13" t="inlineStr">
        <is>
          <t>P005</t>
        </is>
      </c>
      <c r="C289" s="13" t="inlineStr">
        <is>
          <t>C308</t>
        </is>
      </c>
      <c r="D289" s="13" t="inlineStr">
        <is>
          <t>Street address or PO box</t>
        </is>
      </c>
      <c r="E289" s="15" t="inlineStr">
        <is>
          <t>Vote Vasquez</t>
        </is>
      </c>
      <c r="F289" s="13" t="n">
        <v>2024</v>
      </c>
      <c r="G289" s="13" t="n">
        <v>500</v>
      </c>
      <c r="H289" s="13" t="inlineStr">
        <is>
          <t>15109:5717508; 15109:4747976</t>
        </is>
      </c>
      <c r="I289" s="13" t="inlineStr">
        <is>
          <t>23012:4908855</t>
        </is>
      </c>
    </row>
    <row r="290">
      <c r="A290" s="13" t="inlineStr">
        <is>
          <t>Steve Novick</t>
        </is>
      </c>
      <c r="B290" s="13" t="inlineStr">
        <is>
          <t>P006</t>
        </is>
      </c>
      <c r="C290" s="13" t="inlineStr">
        <is>
          <t>C048</t>
        </is>
      </c>
      <c r="D290" s="13" t="inlineStr">
        <is>
          <t>Street address or PO box</t>
        </is>
      </c>
      <c r="E290" s="15" t="inlineStr">
        <is>
          <t>Friends of Sam Adams</t>
        </is>
      </c>
      <c r="F290" s="13" t="n">
        <v>2024</v>
      </c>
      <c r="G290" s="13" t="n">
        <v>250</v>
      </c>
      <c r="H290" s="13" t="inlineStr">
        <is>
          <t>15109:4747982</t>
        </is>
      </c>
      <c r="I290" s="13" t="inlineStr">
        <is>
          <t>20340:4797885</t>
        </is>
      </c>
    </row>
    <row r="291">
      <c r="A291" s="13" t="inlineStr">
        <is>
          <t>Steve Novick</t>
        </is>
      </c>
      <c r="B291" s="13" t="inlineStr">
        <is>
          <t>P007</t>
        </is>
      </c>
      <c r="C291" s="13" t="inlineStr">
        <is>
          <t>C089</t>
        </is>
      </c>
      <c r="D291" s="13" t="inlineStr">
        <is>
          <t>Street address or PO box</t>
        </is>
      </c>
      <c r="E291" s="15" t="inlineStr">
        <is>
          <t>Rene For Portland</t>
        </is>
      </c>
      <c r="F291" s="13" t="n">
        <v>2022</v>
      </c>
      <c r="G291" s="13" t="n">
        <v>250</v>
      </c>
      <c r="H291" s="13" t="inlineStr">
        <is>
          <t>15109:4772839</t>
        </is>
      </c>
      <c r="I291" s="13" t="inlineStr">
        <is>
          <t>21605:4022116</t>
        </is>
      </c>
    </row>
    <row r="292">
      <c r="A292" s="13" t="inlineStr">
        <is>
          <t>Steve Novick</t>
        </is>
      </c>
      <c r="B292" s="13" t="inlineStr">
        <is>
          <t>P008</t>
        </is>
      </c>
      <c r="C292" s="13" t="inlineStr">
        <is>
          <t>C303</t>
        </is>
      </c>
      <c r="D292" s="13" t="inlineStr">
        <is>
          <t>Street address or PO box</t>
        </is>
      </c>
      <c r="E292" s="15" t="inlineStr">
        <is>
          <t>Vote Vasquez</t>
        </is>
      </c>
      <c r="F292" s="13" t="n">
        <v>2024</v>
      </c>
      <c r="G292" s="13" t="n">
        <v>500</v>
      </c>
      <c r="H292" s="13" t="inlineStr">
        <is>
          <t>15109:4865056; 15109:4772840</t>
        </is>
      </c>
      <c r="I292" s="13" t="inlineStr">
        <is>
          <t>23012:4856762</t>
        </is>
      </c>
    </row>
    <row r="293">
      <c r="A293" s="13" t="inlineStr">
        <is>
          <t>Steve Novick</t>
        </is>
      </c>
      <c r="B293" s="13" t="inlineStr">
        <is>
          <t>P009</t>
        </is>
      </c>
      <c r="C293" s="13" t="inlineStr">
        <is>
          <t>C233</t>
        </is>
      </c>
      <c r="D293" s="13" t="inlineStr">
        <is>
          <t>Street address or PO box</t>
        </is>
      </c>
      <c r="E293" s="15" t="inlineStr">
        <is>
          <t>Friends of Vadim</t>
        </is>
      </c>
      <c r="F293" s="13" t="n">
        <v>2022</v>
      </c>
      <c r="G293" s="13" t="n">
        <v>250</v>
      </c>
      <c r="H293" s="13" t="inlineStr">
        <is>
          <t>15109:5793190; 15109:4772884</t>
        </is>
      </c>
      <c r="I293" s="13" t="inlineStr">
        <is>
          <t>21632:4100043</t>
        </is>
      </c>
    </row>
    <row r="294">
      <c r="A294" s="13" t="inlineStr">
        <is>
          <t>Steve Novick</t>
        </is>
      </c>
      <c r="B294" s="13" t="inlineStr">
        <is>
          <t>P010</t>
        </is>
      </c>
      <c r="C294" s="13" t="inlineStr">
        <is>
          <t>C080</t>
        </is>
      </c>
      <c r="D294" s="13" t="inlineStr">
        <is>
          <t>Street address or PO box</t>
        </is>
      </c>
      <c r="E294" s="15" t="inlineStr">
        <is>
          <t>Friends of Vadim; Rene For Portland; Rene for Portland</t>
        </is>
      </c>
      <c r="F294" s="13" t="n">
        <v>2024</v>
      </c>
      <c r="G294" s="13" t="n">
        <v>2000</v>
      </c>
      <c r="H294" s="13" t="inlineStr">
        <is>
          <t>15109:4813748</t>
        </is>
      </c>
      <c r="I294" s="13" t="inlineStr">
        <is>
          <t>21605:3911325; 21632:4117137; 21605:4310169; 21605:4446790; 21632:4778171; 21605:4824159; 21605:5067551</t>
        </is>
      </c>
    </row>
    <row r="295">
      <c r="A295" s="13" t="inlineStr">
        <is>
          <t>Steve Novick</t>
        </is>
      </c>
      <c r="B295" s="13" t="inlineStr">
        <is>
          <t>P011</t>
        </is>
      </c>
      <c r="C295" s="13" t="inlineStr">
        <is>
          <t>C059</t>
        </is>
      </c>
      <c r="D295" s="13" t="inlineStr">
        <is>
          <t>Street address or PO box</t>
        </is>
      </c>
      <c r="E295" s="15" t="inlineStr">
        <is>
          <t>Friends of Sam Adams</t>
        </is>
      </c>
      <c r="F295" s="13" t="n">
        <v>2024</v>
      </c>
      <c r="G295" s="13" t="n">
        <v>250</v>
      </c>
      <c r="H295" s="13" t="inlineStr">
        <is>
          <t>15109:5760083; 15109:5093482; 15109:4865096</t>
        </is>
      </c>
      <c r="I295" s="13" t="inlineStr">
        <is>
          <t>20340:4877671</t>
        </is>
      </c>
    </row>
    <row r="296">
      <c r="A296" s="13" t="inlineStr">
        <is>
          <t>Steve Novick</t>
        </is>
      </c>
      <c r="B296" s="13" t="inlineStr">
        <is>
          <t>P012</t>
        </is>
      </c>
      <c r="C296" s="13" t="inlineStr">
        <is>
          <t>C030</t>
        </is>
      </c>
      <c r="D296" s="13" t="inlineStr">
        <is>
          <t>Street address or PO box</t>
        </is>
      </c>
      <c r="E296" s="15" t="inlineStr">
        <is>
          <t>Friends of Sam Adams</t>
        </is>
      </c>
      <c r="F296" s="13" t="n">
        <v>2024</v>
      </c>
      <c r="G296" s="13" t="n">
        <v>750</v>
      </c>
      <c r="H296" s="13" t="inlineStr">
        <is>
          <t>15109:5534845; 15109:4922484</t>
        </is>
      </c>
      <c r="I296" s="13" t="inlineStr">
        <is>
          <t>20340:3362285; 20340:4877681</t>
        </is>
      </c>
    </row>
    <row r="297">
      <c r="A297" s="13" t="inlineStr">
        <is>
          <t>Steve Novick</t>
        </is>
      </c>
      <c r="B297" s="13" t="inlineStr">
        <is>
          <t>P013</t>
        </is>
      </c>
      <c r="C297" s="13" t="inlineStr">
        <is>
          <t>C028</t>
        </is>
      </c>
      <c r="D297" s="13" t="inlineStr">
        <is>
          <t>Street address or PO box</t>
        </is>
      </c>
      <c r="E297" s="15" t="inlineStr">
        <is>
          <t>Friends of Sam Adams; Vote Vasquez</t>
        </is>
      </c>
      <c r="F297" s="13" t="n">
        <v>2023</v>
      </c>
      <c r="G297" s="13" t="n">
        <v>2000</v>
      </c>
      <c r="H297" s="13" t="inlineStr">
        <is>
          <t>15109:5830457; 15109:4961223</t>
        </is>
      </c>
      <c r="I297" s="13" t="inlineStr">
        <is>
          <t>20340:3362163; 20340:3390913; 23012:4633196</t>
        </is>
      </c>
    </row>
    <row r="298">
      <c r="A298" s="13" t="inlineStr">
        <is>
          <t>Steve Novick</t>
        </is>
      </c>
      <c r="B298" s="13" t="inlineStr">
        <is>
          <t>P014</t>
        </is>
      </c>
      <c r="C298" s="13" t="inlineStr">
        <is>
          <t>C014</t>
        </is>
      </c>
      <c r="D298" s="13" t="inlineStr">
        <is>
          <t>Street address or PO box</t>
        </is>
      </c>
      <c r="E298" s="15" t="inlineStr">
        <is>
          <t>Friends of Pam Treece</t>
        </is>
      </c>
      <c r="F298" s="13" t="n">
        <v>2025</v>
      </c>
      <c r="G298" s="13" t="n">
        <v>500</v>
      </c>
      <c r="H298" s="13" t="inlineStr">
        <is>
          <t>15109:4988897</t>
        </is>
      </c>
      <c r="I298" s="13" t="inlineStr">
        <is>
          <t>18397:5387377</t>
        </is>
      </c>
    </row>
    <row r="299">
      <c r="A299" s="13" t="inlineStr">
        <is>
          <t>Steve Novick</t>
        </is>
      </c>
      <c r="B299" s="13" t="inlineStr">
        <is>
          <t>P015</t>
        </is>
      </c>
      <c r="C299" s="13" t="inlineStr">
        <is>
          <t>C010</t>
        </is>
      </c>
      <c r="D299" s="13" t="inlineStr">
        <is>
          <t>Street address or PO box</t>
        </is>
      </c>
      <c r="E299" s="15" t="inlineStr">
        <is>
          <t>Friends of Pam Treece; Friends of Sam Adams</t>
        </is>
      </c>
      <c r="F299" s="13" t="n">
        <v>2026</v>
      </c>
      <c r="G299" s="13" t="n">
        <v>1000</v>
      </c>
      <c r="H299" s="13" t="inlineStr">
        <is>
          <t>15109:5793207; 15109:5534844</t>
        </is>
      </c>
      <c r="I299" s="13" t="inlineStr">
        <is>
          <t>18397:2770769; 20340:4866773; 20340:5017686; 18397:5650355</t>
        </is>
      </c>
    </row>
    <row r="300">
      <c r="A300" s="13" t="inlineStr">
        <is>
          <t>Steve Novick</t>
        </is>
      </c>
      <c r="B300" s="13" t="inlineStr">
        <is>
          <t>P015</t>
        </is>
      </c>
      <c r="C300" s="13" t="inlineStr">
        <is>
          <t>C041</t>
        </is>
      </c>
      <c r="D300" s="13" t="inlineStr">
        <is>
          <t>Street address or PO box</t>
        </is>
      </c>
      <c r="E300" s="15" t="inlineStr">
        <is>
          <t>Friends of Sam Adams</t>
        </is>
      </c>
      <c r="F300" s="13" t="n">
        <v>2020</v>
      </c>
      <c r="G300" s="13" t="n">
        <v>250</v>
      </c>
      <c r="H300" s="13" t="inlineStr">
        <is>
          <t>15109:5022146</t>
        </is>
      </c>
      <c r="I300" s="13" t="inlineStr">
        <is>
          <t>20340:3432721</t>
        </is>
      </c>
    </row>
    <row r="301">
      <c r="A301" s="13" t="inlineStr">
        <is>
          <t>Steve Novick</t>
        </is>
      </c>
      <c r="B301" s="13" t="inlineStr">
        <is>
          <t>P016</t>
        </is>
      </c>
      <c r="C301" s="13" t="inlineStr">
        <is>
          <t>C003</t>
        </is>
      </c>
      <c r="D301" s="13" t="inlineStr">
        <is>
          <t>Street address or PO box</t>
        </is>
      </c>
      <c r="E301" s="15" t="inlineStr">
        <is>
          <t>Friends of Pam Treece; Friends of Sam Adams; Friends of Vadim; Rene For Portland; Rene for Portland</t>
        </is>
      </c>
      <c r="F301" s="13" t="n">
        <v>2026</v>
      </c>
      <c r="G301" s="13" t="n">
        <v>3000</v>
      </c>
      <c r="H301" s="13" t="inlineStr">
        <is>
          <t>15109:5528670; 15109:5048207</t>
        </is>
      </c>
      <c r="I301" s="13" t="inlineStr">
        <is>
          <t>18397:2714932; 20340:3447890; 21632:3935289; 21632:3979739; 21605:4193373; 21632:4778206; 20340:4811670; 21605:4934433; 18397:5331987; 18397:5650357</t>
        </is>
      </c>
    </row>
    <row r="302">
      <c r="A302" s="13" t="inlineStr">
        <is>
          <t>Steve Novick</t>
        </is>
      </c>
      <c r="B302" s="13" t="inlineStr">
        <is>
          <t>P017</t>
        </is>
      </c>
      <c r="C302" s="13" t="inlineStr">
        <is>
          <t>C235</t>
        </is>
      </c>
      <c r="D302" s="13" t="inlineStr">
        <is>
          <t>Street address or PO box</t>
        </is>
      </c>
      <c r="E302" s="15" t="inlineStr">
        <is>
          <t>Friends of Vadim</t>
        </is>
      </c>
      <c r="F302" s="13" t="n">
        <v>2024</v>
      </c>
      <c r="G302" s="13" t="n">
        <v>1000</v>
      </c>
      <c r="H302" s="13" t="inlineStr">
        <is>
          <t>15109:5048214</t>
        </is>
      </c>
      <c r="I302" s="13" t="inlineStr">
        <is>
          <t>21632:4100105; 21632:4778167</t>
        </is>
      </c>
    </row>
    <row r="303">
      <c r="A303" s="13" t="inlineStr">
        <is>
          <t>Steve Novick</t>
        </is>
      </c>
      <c r="B303" s="13" t="inlineStr">
        <is>
          <t>P018</t>
        </is>
      </c>
      <c r="C303" s="13" t="inlineStr">
        <is>
          <t>C002</t>
        </is>
      </c>
      <c r="D303" s="13" t="inlineStr">
        <is>
          <t>Street address or PO box</t>
        </is>
      </c>
      <c r="E303" s="15" t="inlineStr">
        <is>
          <t>Friends of Pam Treece; Friends of Vadim</t>
        </is>
      </c>
      <c r="F303" s="13" t="n">
        <v>2024</v>
      </c>
      <c r="G303" s="13" t="n">
        <v>2000</v>
      </c>
      <c r="H303" s="13" t="inlineStr">
        <is>
          <t>15109:5863461; 15109:5048230</t>
        </is>
      </c>
      <c r="I303" s="13" t="inlineStr">
        <is>
          <t>18397:2682525; 18397:2805211; 21632:4899451</t>
        </is>
      </c>
    </row>
    <row r="304">
      <c r="A304" s="13" t="inlineStr">
        <is>
          <t>Steve Novick</t>
        </is>
      </c>
      <c r="B304" s="13" t="inlineStr">
        <is>
          <t>P019</t>
        </is>
      </c>
      <c r="C304" s="13" t="inlineStr">
        <is>
          <t>C071</t>
        </is>
      </c>
      <c r="D304" s="13" t="inlineStr">
        <is>
          <t>Street address or PO box</t>
        </is>
      </c>
      <c r="E304" s="15" t="inlineStr">
        <is>
          <t>Friends of Sam Adams</t>
        </is>
      </c>
      <c r="F304" s="13" t="n">
        <v>2024</v>
      </c>
      <c r="G304" s="13" t="n">
        <v>250</v>
      </c>
      <c r="H304" s="13" t="inlineStr">
        <is>
          <t>15109:5048249</t>
        </is>
      </c>
      <c r="I304" s="13" t="inlineStr">
        <is>
          <t>20340:5054014</t>
        </is>
      </c>
    </row>
    <row r="305">
      <c r="A305" s="13" t="inlineStr">
        <is>
          <t>Steve Novick</t>
        </is>
      </c>
      <c r="B305" s="13" t="inlineStr">
        <is>
          <t>P020</t>
        </is>
      </c>
      <c r="C305" s="13" t="inlineStr">
        <is>
          <t>C293</t>
        </is>
      </c>
      <c r="D305" s="13" t="inlineStr">
        <is>
          <t>Street address or PO box</t>
        </is>
      </c>
      <c r="E305" s="15" t="inlineStr">
        <is>
          <t>Friends of Vadim; Rene for Portland; Vote Vasquez</t>
        </is>
      </c>
      <c r="F305" s="13" t="n">
        <v>2024</v>
      </c>
      <c r="G305" s="13" t="n">
        <v>2000</v>
      </c>
      <c r="H305" s="13" t="inlineStr">
        <is>
          <t>15109:5080599</t>
        </is>
      </c>
      <c r="I305" s="13" t="inlineStr">
        <is>
          <t>23012:4750793; 21605:4751472; 21605:4934363; 21632:4968453</t>
        </is>
      </c>
    </row>
    <row r="306">
      <c r="A306" s="13" t="inlineStr">
        <is>
          <t>Steve Novick</t>
        </is>
      </c>
      <c r="B306" s="13" t="inlineStr">
        <is>
          <t>P021</t>
        </is>
      </c>
      <c r="C306" s="13" t="inlineStr">
        <is>
          <t>C031</t>
        </is>
      </c>
      <c r="D306" s="13" t="inlineStr">
        <is>
          <t>Street address or PO box</t>
        </is>
      </c>
      <c r="E306" s="15" t="inlineStr">
        <is>
          <t>Friends of Sam Adams</t>
        </is>
      </c>
      <c r="F306" s="13" t="n">
        <v>2020</v>
      </c>
      <c r="G306" s="13" t="n">
        <v>250</v>
      </c>
      <c r="H306" s="13" t="inlineStr">
        <is>
          <t>15109:5793340; 15109:5093483</t>
        </is>
      </c>
      <c r="I306" s="13" t="inlineStr">
        <is>
          <t>20340:3362286</t>
        </is>
      </c>
    </row>
    <row r="307">
      <c r="A307" s="13" t="inlineStr">
        <is>
          <t>Steve Novick</t>
        </is>
      </c>
      <c r="B307" s="13" t="inlineStr">
        <is>
          <t>P022</t>
        </is>
      </c>
      <c r="C307" s="13" t="inlineStr">
        <is>
          <t>C047</t>
        </is>
      </c>
      <c r="D307" s="13" t="inlineStr">
        <is>
          <t>Street address or PO box</t>
        </is>
      </c>
      <c r="E307" s="15" t="inlineStr">
        <is>
          <t>Friends of Pam Treece; Friends of Sam Adams</t>
        </is>
      </c>
      <c r="F307" s="13" t="n">
        <v>2026</v>
      </c>
      <c r="G307" s="13" t="n">
        <v>1000</v>
      </c>
      <c r="H307" s="13" t="inlineStr">
        <is>
          <t>15109:5685065; 15109:5106915</t>
        </is>
      </c>
      <c r="I307" s="13" t="inlineStr">
        <is>
          <t>20340:4797852; 20340:5054000; 18397:5625570</t>
        </is>
      </c>
    </row>
    <row r="308">
      <c r="A308" s="13" t="inlineStr">
        <is>
          <t>Steve Novick</t>
        </is>
      </c>
      <c r="B308" s="13" t="inlineStr">
        <is>
          <t>P023</t>
        </is>
      </c>
      <c r="C308" s="13" t="inlineStr">
        <is>
          <t>C084</t>
        </is>
      </c>
      <c r="D308" s="13" t="inlineStr">
        <is>
          <t>Street address or PO box</t>
        </is>
      </c>
      <c r="E308" s="15" t="inlineStr">
        <is>
          <t>Friends of Vadim; Rene For Portland; Rene for Portland</t>
        </is>
      </c>
      <c r="F308" s="13" t="n">
        <v>2024</v>
      </c>
      <c r="G308" s="13" t="n">
        <v>2000</v>
      </c>
      <c r="H308" s="13" t="inlineStr">
        <is>
          <t>15109:5717483; 15109:5106930</t>
        </is>
      </c>
      <c r="I308" s="13" t="inlineStr">
        <is>
          <t>21605:3976952; 21605:4179507; 21605:4446929; 21605:4748792; 21632:4778143; 21605:5078067</t>
        </is>
      </c>
    </row>
    <row r="309">
      <c r="A309" s="13" t="inlineStr">
        <is>
          <t>Steve Novick</t>
        </is>
      </c>
      <c r="B309" s="13" t="inlineStr">
        <is>
          <t>P024</t>
        </is>
      </c>
      <c r="C309" s="13" t="inlineStr">
        <is>
          <t>C073</t>
        </is>
      </c>
      <c r="D309" s="13" t="inlineStr">
        <is>
          <t>Street address or PO box</t>
        </is>
      </c>
      <c r="E309" s="15" t="inlineStr">
        <is>
          <t>Friends of Sam Adams</t>
        </is>
      </c>
      <c r="F309" s="13" t="n">
        <v>2024</v>
      </c>
      <c r="G309" s="13" t="n">
        <v>250</v>
      </c>
      <c r="H309" s="13" t="inlineStr">
        <is>
          <t>15109:5760204; 15109:5139180</t>
        </is>
      </c>
      <c r="I309" s="13" t="inlineStr">
        <is>
          <t>20340:5139924</t>
        </is>
      </c>
    </row>
    <row r="310">
      <c r="A310" s="13" t="inlineStr">
        <is>
          <t>Steve Novick</t>
        </is>
      </c>
      <c r="B310" s="13" t="inlineStr">
        <is>
          <t>P025</t>
        </is>
      </c>
      <c r="C310" s="13" t="inlineStr">
        <is>
          <t>C193</t>
        </is>
      </c>
      <c r="D310" s="13" t="inlineStr">
        <is>
          <t>Street address or PO box</t>
        </is>
      </c>
      <c r="E310" s="15" t="inlineStr">
        <is>
          <t>Friends of Sam Adams; Friends of Vadim; Rene For Portland</t>
        </is>
      </c>
      <c r="F310" s="13" t="n">
        <v>2024</v>
      </c>
      <c r="G310" s="13" t="n">
        <v>2000</v>
      </c>
      <c r="H310" s="13" t="inlineStr">
        <is>
          <t>15109:5534843</t>
        </is>
      </c>
      <c r="I310" s="13" t="inlineStr">
        <is>
          <t>21632:3881705; 21605:4222565; 21632:4899452; 21632:5050816; 20340:5054050</t>
        </is>
      </c>
    </row>
    <row r="311">
      <c r="A311" s="13" t="inlineStr">
        <is>
          <t>Steve Novick</t>
        </is>
      </c>
      <c r="B311" s="13" t="inlineStr">
        <is>
          <t>P026</t>
        </is>
      </c>
      <c r="C311" s="13" t="inlineStr">
        <is>
          <t>C146</t>
        </is>
      </c>
      <c r="D311" s="13" t="inlineStr">
        <is>
          <t>Street address or PO box</t>
        </is>
      </c>
      <c r="E311" s="15" t="inlineStr">
        <is>
          <t>Rene For Portland</t>
        </is>
      </c>
      <c r="F311" s="13" t="n">
        <v>2022</v>
      </c>
      <c r="G311" s="13" t="n">
        <v>250</v>
      </c>
      <c r="H311" s="13" t="inlineStr">
        <is>
          <t>15109:5760065; 15109:5534846</t>
        </is>
      </c>
      <c r="I311" s="13" t="inlineStr">
        <is>
          <t>21605:4328756</t>
        </is>
      </c>
    </row>
    <row r="312">
      <c r="A312" s="13" t="inlineStr">
        <is>
          <t>Steve Novick</t>
        </is>
      </c>
      <c r="B312" s="13" t="inlineStr">
        <is>
          <t>P027</t>
        </is>
      </c>
      <c r="C312" s="13" t="inlineStr">
        <is>
          <t>C292</t>
        </is>
      </c>
      <c r="D312" s="13" t="inlineStr">
        <is>
          <t>Street address or PO box</t>
        </is>
      </c>
      <c r="E312" s="15" t="inlineStr">
        <is>
          <t>Vote Vasquez</t>
        </is>
      </c>
      <c r="F312" s="13" t="n">
        <v>2024</v>
      </c>
      <c r="G312" s="13" t="n">
        <v>250</v>
      </c>
      <c r="H312" s="13" t="inlineStr">
        <is>
          <t>15109:5657755</t>
        </is>
      </c>
      <c r="I312" s="13" t="inlineStr">
        <is>
          <t>23012:4743888</t>
        </is>
      </c>
    </row>
    <row r="313">
      <c r="A313" s="13" t="inlineStr">
        <is>
          <t>Steve Novick</t>
        </is>
      </c>
      <c r="B313" s="13" t="inlineStr">
        <is>
          <t>P028</t>
        </is>
      </c>
      <c r="C313" s="13" t="inlineStr">
        <is>
          <t>C237</t>
        </is>
      </c>
      <c r="D313" s="13" t="inlineStr">
        <is>
          <t>Street address or PO box</t>
        </is>
      </c>
      <c r="E313" s="15" t="inlineStr">
        <is>
          <t>Friends of Vadim</t>
        </is>
      </c>
      <c r="F313" s="13" t="n">
        <v>2022</v>
      </c>
      <c r="G313" s="13" t="n">
        <v>250</v>
      </c>
      <c r="H313" s="13" t="inlineStr">
        <is>
          <t>15109:5685041</t>
        </is>
      </c>
      <c r="I313" s="13" t="inlineStr">
        <is>
          <t>21632:4107529</t>
        </is>
      </c>
    </row>
    <row r="314">
      <c r="A314" s="13" t="inlineStr">
        <is>
          <t>Steve Novick</t>
        </is>
      </c>
      <c r="B314" s="13" t="inlineStr">
        <is>
          <t>P029</t>
        </is>
      </c>
      <c r="C314" s="13" t="inlineStr">
        <is>
          <t>C215</t>
        </is>
      </c>
      <c r="D314" s="13" t="inlineStr">
        <is>
          <t>Street address or PO box</t>
        </is>
      </c>
      <c r="E314" s="15" t="inlineStr">
        <is>
          <t>Friends of Vadim; Portland Accountability PAC</t>
        </is>
      </c>
      <c r="F314" s="13" t="n">
        <v>2023</v>
      </c>
      <c r="G314" s="13" t="n">
        <v>1000</v>
      </c>
      <c r="H314" s="13" t="inlineStr">
        <is>
          <t>15109:5685076</t>
        </is>
      </c>
      <c r="I314" s="13" t="inlineStr">
        <is>
          <t>21632:3935259; 21632:4004697; 22544:4562707</t>
        </is>
      </c>
    </row>
    <row r="315">
      <c r="A315" s="13" t="inlineStr">
        <is>
          <t>Steve Novick</t>
        </is>
      </c>
      <c r="B315" s="13" t="inlineStr">
        <is>
          <t>P030</t>
        </is>
      </c>
      <c r="C315" s="13" t="inlineStr">
        <is>
          <t>C212</t>
        </is>
      </c>
      <c r="D315" s="13" t="inlineStr">
        <is>
          <t>Street address or PO box</t>
        </is>
      </c>
      <c r="E315" s="15" t="inlineStr">
        <is>
          <t>Friends of Vadim; Rene For Portland; Rene for Portland</t>
        </is>
      </c>
      <c r="F315" s="13" t="n">
        <v>2024</v>
      </c>
      <c r="G315" s="13" t="n">
        <v>750</v>
      </c>
      <c r="H315" s="13" t="inlineStr">
        <is>
          <t>15109:5685081</t>
        </is>
      </c>
      <c r="I315" s="13" t="inlineStr">
        <is>
          <t>21632:3935231; 21605:4190900; 21605:4936323</t>
        </is>
      </c>
    </row>
    <row r="316">
      <c r="A316" s="13" t="inlineStr">
        <is>
          <t>Steve Novick</t>
        </is>
      </c>
      <c r="B316" s="13" t="inlineStr">
        <is>
          <t>P031</t>
        </is>
      </c>
      <c r="C316" s="13" t="inlineStr">
        <is>
          <t>C277</t>
        </is>
      </c>
      <c r="D316" s="13" t="inlineStr">
        <is>
          <t>Street address or PO box</t>
        </is>
      </c>
      <c r="E316" s="15" t="inlineStr">
        <is>
          <t>Portland Accountability PAC</t>
        </is>
      </c>
      <c r="F316" s="13" t="n">
        <v>2022</v>
      </c>
      <c r="G316" s="13" t="n">
        <v>1000</v>
      </c>
      <c r="H316" s="13" t="inlineStr">
        <is>
          <t>15109:5685093</t>
        </is>
      </c>
      <c r="I316" s="13" t="inlineStr">
        <is>
          <t>22544:4374768</t>
        </is>
      </c>
    </row>
    <row r="317">
      <c r="A317" s="13" t="inlineStr">
        <is>
          <t>Steve Novick</t>
        </is>
      </c>
      <c r="B317" s="13" t="inlineStr">
        <is>
          <t>P032</t>
        </is>
      </c>
      <c r="C317" s="13" t="inlineStr">
        <is>
          <t>C272</t>
        </is>
      </c>
      <c r="D317" s="13" t="inlineStr">
        <is>
          <t>Street address or PO box</t>
        </is>
      </c>
      <c r="E317" s="15" t="inlineStr">
        <is>
          <t>Portland Accountability PAC</t>
        </is>
      </c>
      <c r="F317" s="13" t="n">
        <v>2022</v>
      </c>
      <c r="G317" s="13" t="n">
        <v>500</v>
      </c>
      <c r="H317" s="13" t="inlineStr">
        <is>
          <t>15109:5685095</t>
        </is>
      </c>
      <c r="I317" s="13" t="inlineStr">
        <is>
          <t>22544:4353402</t>
        </is>
      </c>
    </row>
    <row r="318">
      <c r="A318" s="13" t="inlineStr">
        <is>
          <t>Steve Novick</t>
        </is>
      </c>
      <c r="B318" s="13" t="inlineStr">
        <is>
          <t>P033</t>
        </is>
      </c>
      <c r="C318" s="13" t="inlineStr">
        <is>
          <t>C070</t>
        </is>
      </c>
      <c r="D318" s="13" t="inlineStr">
        <is>
          <t>Street address or PO box</t>
        </is>
      </c>
      <c r="E318" s="15" t="inlineStr">
        <is>
          <t>Friends of Sam Adams</t>
        </is>
      </c>
      <c r="F318" s="13" t="n">
        <v>2024</v>
      </c>
      <c r="G318" s="13" t="n">
        <v>250</v>
      </c>
      <c r="H318" s="13" t="inlineStr">
        <is>
          <t>15109:5685096</t>
        </is>
      </c>
      <c r="I318" s="13" t="inlineStr">
        <is>
          <t>20340:5029359</t>
        </is>
      </c>
    </row>
    <row r="319">
      <c r="A319" s="13" t="inlineStr">
        <is>
          <t>Steve Novick</t>
        </is>
      </c>
      <c r="B319" s="13" t="inlineStr">
        <is>
          <t>P034</t>
        </is>
      </c>
      <c r="C319" s="13" t="inlineStr">
        <is>
          <t>C063</t>
        </is>
      </c>
      <c r="D319" s="13" t="inlineStr">
        <is>
          <t>Street address or PO box, ZIP + employer</t>
        </is>
      </c>
      <c r="E319" s="15" t="inlineStr">
        <is>
          <t>Friends of Sam Adams; Friends of Vadim</t>
        </is>
      </c>
      <c r="F319" s="13" t="n">
        <v>2024</v>
      </c>
      <c r="G319" s="13" t="n">
        <v>750</v>
      </c>
      <c r="H319" s="13" t="inlineStr">
        <is>
          <t>15109:5685097</t>
        </is>
      </c>
      <c r="I319" s="13" t="inlineStr">
        <is>
          <t>21632:3935283; 20340:4899769</t>
        </is>
      </c>
    </row>
    <row r="320">
      <c r="A320" s="13" t="inlineStr">
        <is>
          <t>Steve Novick</t>
        </is>
      </c>
      <c r="B320" s="13" t="inlineStr">
        <is>
          <t>P035</t>
        </is>
      </c>
      <c r="C320" s="13" t="inlineStr">
        <is>
          <t>C309</t>
        </is>
      </c>
      <c r="D320" s="13" t="inlineStr">
        <is>
          <t>Street address or PO box</t>
        </is>
      </c>
      <c r="E320" s="15" t="inlineStr">
        <is>
          <t>Vote Vasquez</t>
        </is>
      </c>
      <c r="F320" s="13" t="n">
        <v>2024</v>
      </c>
      <c r="G320" s="13" t="n">
        <v>250</v>
      </c>
      <c r="H320" s="13" t="inlineStr">
        <is>
          <t>15109:5685110</t>
        </is>
      </c>
      <c r="I320" s="13" t="inlineStr">
        <is>
          <t>23012:4913259</t>
        </is>
      </c>
    </row>
    <row r="321">
      <c r="A321" s="13" t="inlineStr">
        <is>
          <t>Steve Novick</t>
        </is>
      </c>
      <c r="B321" s="13" t="inlineStr">
        <is>
          <t>P036</t>
        </is>
      </c>
      <c r="C321" s="13" t="inlineStr">
        <is>
          <t>C023</t>
        </is>
      </c>
      <c r="D321" s="13" t="inlineStr">
        <is>
          <t>Street address or PO box</t>
        </is>
      </c>
      <c r="E321" s="15" t="inlineStr">
        <is>
          <t>Friends of Pam Treece</t>
        </is>
      </c>
      <c r="F321" s="13" t="n">
        <v>2026</v>
      </c>
      <c r="G321" s="13" t="n">
        <v>250</v>
      </c>
      <c r="H321" s="13" t="inlineStr">
        <is>
          <t>15109:5685114</t>
        </is>
      </c>
      <c r="I321" s="13" t="inlineStr">
        <is>
          <t>18397:5829005</t>
        </is>
      </c>
    </row>
    <row r="322">
      <c r="A322" s="13" t="inlineStr">
        <is>
          <t>Steve Novick</t>
        </is>
      </c>
      <c r="B322" s="13" t="inlineStr">
        <is>
          <t>P037</t>
        </is>
      </c>
      <c r="C322" s="13" t="inlineStr">
        <is>
          <t>C271</t>
        </is>
      </c>
      <c r="D322" s="13" t="inlineStr">
        <is>
          <t>Street address or PO box</t>
        </is>
      </c>
      <c r="E322" s="15" t="inlineStr">
        <is>
          <t>Portland Accountability PAC</t>
        </is>
      </c>
      <c r="F322" s="13" t="n">
        <v>2023</v>
      </c>
      <c r="G322" s="13" t="n">
        <v>15000</v>
      </c>
      <c r="H322" s="13" t="inlineStr">
        <is>
          <t>15109:5685116</t>
        </is>
      </c>
      <c r="I322" s="13" t="inlineStr">
        <is>
          <t>22544:4353399; 22544:4562711</t>
        </is>
      </c>
    </row>
    <row r="323">
      <c r="A323" s="13" t="inlineStr">
        <is>
          <t>Steve Novick</t>
        </is>
      </c>
      <c r="B323" s="13" t="inlineStr">
        <is>
          <t>P038</t>
        </is>
      </c>
      <c r="C323" s="13" t="inlineStr">
        <is>
          <t>C310</t>
        </is>
      </c>
      <c r="D323" s="13" t="inlineStr">
        <is>
          <t>Street address or PO box</t>
        </is>
      </c>
      <c r="E323" s="15" t="inlineStr">
        <is>
          <t>Vote Vasquez</t>
        </is>
      </c>
      <c r="F323" s="13" t="n">
        <v>2024</v>
      </c>
      <c r="G323" s="13" t="n">
        <v>500</v>
      </c>
      <c r="H323" s="13" t="inlineStr">
        <is>
          <t>15109:5717501</t>
        </is>
      </c>
      <c r="I323" s="13" t="inlineStr">
        <is>
          <t>23012:4913265</t>
        </is>
      </c>
    </row>
    <row r="324">
      <c r="A324" s="13" t="inlineStr">
        <is>
          <t>Steve Novick</t>
        </is>
      </c>
      <c r="B324" s="13" t="inlineStr">
        <is>
          <t>P039</t>
        </is>
      </c>
      <c r="C324" s="13" t="inlineStr">
        <is>
          <t>C205</t>
        </is>
      </c>
      <c r="D324" s="13" t="inlineStr">
        <is>
          <t>Street address or PO box</t>
        </is>
      </c>
      <c r="E324" s="15" t="inlineStr">
        <is>
          <t>Friends of Vadim</t>
        </is>
      </c>
      <c r="F324" s="13" t="n">
        <v>2021</v>
      </c>
      <c r="G324" s="13" t="n">
        <v>250</v>
      </c>
      <c r="H324" s="13" t="inlineStr">
        <is>
          <t>15109:5717572</t>
        </is>
      </c>
      <c r="I324" s="13" t="inlineStr">
        <is>
          <t>21632:3926295</t>
        </is>
      </c>
    </row>
    <row r="325">
      <c r="A325" s="13" t="inlineStr">
        <is>
          <t>Steve Novick</t>
        </is>
      </c>
      <c r="B325" s="13" t="inlineStr">
        <is>
          <t>P040</t>
        </is>
      </c>
      <c r="C325" s="13" t="inlineStr">
        <is>
          <t>C066</t>
        </is>
      </c>
      <c r="D325" s="13" t="inlineStr">
        <is>
          <t>Street address or PO box</t>
        </is>
      </c>
      <c r="E325" s="15" t="inlineStr">
        <is>
          <t>Friends of Sam Adams</t>
        </is>
      </c>
      <c r="F325" s="13" t="n">
        <v>2024</v>
      </c>
      <c r="G325" s="13" t="n">
        <v>250</v>
      </c>
      <c r="H325" s="13" t="inlineStr">
        <is>
          <t>15109:5732272</t>
        </is>
      </c>
      <c r="I325" s="13" t="inlineStr">
        <is>
          <t>20340:4990646</t>
        </is>
      </c>
    </row>
    <row r="326">
      <c r="A326" s="13" t="inlineStr">
        <is>
          <t>Steve Novick</t>
        </is>
      </c>
      <c r="B326" s="13" t="inlineStr">
        <is>
          <t>P041</t>
        </is>
      </c>
      <c r="C326" s="13" t="inlineStr">
        <is>
          <t>C202</t>
        </is>
      </c>
      <c r="D326" s="13" t="inlineStr">
        <is>
          <t>Street address or PO box</t>
        </is>
      </c>
      <c r="E326" s="15" t="inlineStr">
        <is>
          <t>Friends of Sam Adams; Friends of Vadim; Rene For Portland</t>
        </is>
      </c>
      <c r="F326" s="13" t="n">
        <v>2024</v>
      </c>
      <c r="G326" s="13" t="n">
        <v>2000</v>
      </c>
      <c r="H326" s="13" t="inlineStr">
        <is>
          <t>15109:5732274</t>
        </is>
      </c>
      <c r="I326" s="13" t="inlineStr">
        <is>
          <t>21632:3915644; 21605:4212669; 21632:4803656; 20340:4860435</t>
        </is>
      </c>
    </row>
    <row r="327">
      <c r="A327" s="13" t="inlineStr">
        <is>
          <t>Steve Novick</t>
        </is>
      </c>
      <c r="B327" s="13" t="inlineStr">
        <is>
          <t>P042</t>
        </is>
      </c>
      <c r="C327" s="13" t="inlineStr">
        <is>
          <t>C008</t>
        </is>
      </c>
      <c r="D327" s="13" t="inlineStr">
        <is>
          <t>Street address or PO box</t>
        </is>
      </c>
      <c r="E327" s="15" t="inlineStr">
        <is>
          <t>Friends of Pam Treece</t>
        </is>
      </c>
      <c r="F327" s="13" t="n">
        <v>2018</v>
      </c>
      <c r="G327" s="13" t="n">
        <v>250</v>
      </c>
      <c r="H327" s="13" t="inlineStr">
        <is>
          <t>15109:5732294</t>
        </is>
      </c>
      <c r="I327" s="13" t="inlineStr">
        <is>
          <t>18397:2760096</t>
        </is>
      </c>
    </row>
    <row r="328">
      <c r="A328" s="13" t="inlineStr">
        <is>
          <t>Steve Novick</t>
        </is>
      </c>
      <c r="B328" s="13" t="inlineStr">
        <is>
          <t>P043</t>
        </is>
      </c>
      <c r="C328" s="13" t="inlineStr">
        <is>
          <t>C054</t>
        </is>
      </c>
      <c r="D328" s="13" t="inlineStr">
        <is>
          <t>Street address or PO box</t>
        </is>
      </c>
      <c r="E328" s="15" t="inlineStr">
        <is>
          <t>Friends of Sam Adams</t>
        </is>
      </c>
      <c r="F328" s="13" t="n">
        <v>2024</v>
      </c>
      <c r="G328" s="13" t="n">
        <v>250</v>
      </c>
      <c r="H328" s="13" t="inlineStr">
        <is>
          <t>15109:5760084</t>
        </is>
      </c>
      <c r="I328" s="13" t="inlineStr">
        <is>
          <t>20340:4858167</t>
        </is>
      </c>
    </row>
    <row r="329">
      <c r="A329" s="13" t="inlineStr">
        <is>
          <t>Steve Novick</t>
        </is>
      </c>
      <c r="B329" s="13" t="inlineStr">
        <is>
          <t>P044</t>
        </is>
      </c>
      <c r="C329" s="13" t="inlineStr">
        <is>
          <t>C040</t>
        </is>
      </c>
      <c r="D329" s="13" t="inlineStr">
        <is>
          <t>Street address or PO box</t>
        </is>
      </c>
      <c r="E329" s="15" t="inlineStr">
        <is>
          <t>Friends of Sam Adams</t>
        </is>
      </c>
      <c r="F329" s="13" t="n">
        <v>2020</v>
      </c>
      <c r="G329" s="13" t="n">
        <v>250</v>
      </c>
      <c r="H329" s="13" t="inlineStr">
        <is>
          <t>15109:5760139</t>
        </is>
      </c>
      <c r="I329" s="13" t="inlineStr">
        <is>
          <t>20340:3409887; 20340:3448118</t>
        </is>
      </c>
    </row>
    <row r="330">
      <c r="A330" s="13" t="inlineStr">
        <is>
          <t>Steve Novick</t>
        </is>
      </c>
      <c r="B330" s="13" t="inlineStr">
        <is>
          <t>P045</t>
        </is>
      </c>
      <c r="C330" s="13" t="inlineStr">
        <is>
          <t>C039</t>
        </is>
      </c>
      <c r="D330" s="13" t="inlineStr">
        <is>
          <t>Street address or PO box</t>
        </is>
      </c>
      <c r="E330" s="15" t="inlineStr">
        <is>
          <t>Friends of Sam Adams; Vote Vasquez</t>
        </is>
      </c>
      <c r="F330" s="13" t="n">
        <v>2024</v>
      </c>
      <c r="G330" s="13" t="n">
        <v>1000</v>
      </c>
      <c r="H330" s="13" t="inlineStr">
        <is>
          <t>15109:5760202</t>
        </is>
      </c>
      <c r="I330" s="13" t="inlineStr">
        <is>
          <t>20340:3409884; 23012:4592230; 20340:4834981; 20340:4927741</t>
        </is>
      </c>
    </row>
    <row r="331">
      <c r="A331" s="13" t="inlineStr">
        <is>
          <t>Steve Novick</t>
        </is>
      </c>
      <c r="B331" s="13" t="inlineStr">
        <is>
          <t>P046</t>
        </is>
      </c>
      <c r="C331" s="13" t="inlineStr">
        <is>
          <t>C033</t>
        </is>
      </c>
      <c r="D331" s="13" t="inlineStr">
        <is>
          <t>Street address or PO box</t>
        </is>
      </c>
      <c r="E331" s="15" t="inlineStr">
        <is>
          <t>Friends of Sam Adams</t>
        </is>
      </c>
      <c r="F331" s="13" t="n">
        <v>2024</v>
      </c>
      <c r="G331" s="13" t="n">
        <v>500</v>
      </c>
      <c r="H331" s="13" t="inlineStr">
        <is>
          <t>15109:5793154</t>
        </is>
      </c>
      <c r="I331" s="13" t="inlineStr">
        <is>
          <t>20340:3375829; 20340:4811701</t>
        </is>
      </c>
    </row>
    <row r="332">
      <c r="A332" s="13" t="inlineStr">
        <is>
          <t>Steve Novick</t>
        </is>
      </c>
      <c r="B332" s="13" t="inlineStr">
        <is>
          <t>P047</t>
        </is>
      </c>
      <c r="C332" s="13" t="inlineStr">
        <is>
          <t>C204</t>
        </is>
      </c>
      <c r="D332" s="13" t="inlineStr">
        <is>
          <t>Street address or PO box</t>
        </is>
      </c>
      <c r="E332" s="15" t="inlineStr">
        <is>
          <t>Friends of Vadim</t>
        </is>
      </c>
      <c r="F332" s="13" t="n">
        <v>2021</v>
      </c>
      <c r="G332" s="13" t="n">
        <v>250</v>
      </c>
      <c r="H332" s="13" t="inlineStr">
        <is>
          <t>15109:5793193</t>
        </is>
      </c>
      <c r="I332" s="13" t="inlineStr">
        <is>
          <t>21632:3926291</t>
        </is>
      </c>
    </row>
    <row r="333">
      <c r="A333" s="13" t="inlineStr">
        <is>
          <t>Steve Novick</t>
        </is>
      </c>
      <c r="B333" s="13" t="inlineStr">
        <is>
          <t>P048</t>
        </is>
      </c>
      <c r="C333" s="13" t="inlineStr">
        <is>
          <t>C029</t>
        </is>
      </c>
      <c r="D333" s="13" t="inlineStr">
        <is>
          <t>Street address or PO box</t>
        </is>
      </c>
      <c r="E333" s="15" t="inlineStr">
        <is>
          <t>Friends of Sam Adams</t>
        </is>
      </c>
      <c r="F333" s="13" t="n">
        <v>2020</v>
      </c>
      <c r="G333" s="13" t="n">
        <v>250</v>
      </c>
      <c r="H333" s="13" t="inlineStr">
        <is>
          <t>15109:5793239</t>
        </is>
      </c>
      <c r="I333" s="13" t="inlineStr">
        <is>
          <t>20340:3362279</t>
        </is>
      </c>
    </row>
    <row r="334">
      <c r="A334" s="13" t="inlineStr">
        <is>
          <t>Steve Novick</t>
        </is>
      </c>
      <c r="B334" s="13" t="inlineStr">
        <is>
          <t>P049</t>
        </is>
      </c>
      <c r="C334" s="13" t="inlineStr">
        <is>
          <t>C128</t>
        </is>
      </c>
      <c r="D334" s="13" t="inlineStr">
        <is>
          <t>Street address or PO box</t>
        </is>
      </c>
      <c r="E334" s="15" t="inlineStr">
        <is>
          <t>Friends of Pam Treece; Rene For Portland</t>
        </is>
      </c>
      <c r="F334" s="13" t="n">
        <v>2026</v>
      </c>
      <c r="G334" s="13" t="n">
        <v>250</v>
      </c>
      <c r="H334" s="13" t="inlineStr">
        <is>
          <t>15109:5863415; 15109:5793330</t>
        </is>
      </c>
      <c r="I334" s="13" t="inlineStr">
        <is>
          <t>21605:4251540; 18397:5829000</t>
        </is>
      </c>
    </row>
    <row r="335">
      <c r="A335" s="13" t="inlineStr">
        <is>
          <t>Steve Novick</t>
        </is>
      </c>
      <c r="B335" s="13" t="inlineStr">
        <is>
          <t>P050</t>
        </is>
      </c>
      <c r="C335" s="13" t="inlineStr">
        <is>
          <t>C241</t>
        </is>
      </c>
      <c r="D335" s="13" t="inlineStr">
        <is>
          <t>Street address or PO box</t>
        </is>
      </c>
      <c r="E335" s="15" t="inlineStr">
        <is>
          <t>Friends of Vadim</t>
        </is>
      </c>
      <c r="F335" s="13" t="n">
        <v>2022</v>
      </c>
      <c r="G335" s="13" t="n">
        <v>500</v>
      </c>
      <c r="H335" s="13" t="inlineStr">
        <is>
          <t>15109:5793335</t>
        </is>
      </c>
      <c r="I335" s="13" t="inlineStr">
        <is>
          <t>21632:4117135</t>
        </is>
      </c>
    </row>
    <row r="336">
      <c r="A336" s="13" t="inlineStr">
        <is>
          <t>Steve Novick</t>
        </is>
      </c>
      <c r="B336" s="13" t="inlineStr">
        <is>
          <t>P051</t>
        </is>
      </c>
      <c r="C336" s="13" t="inlineStr">
        <is>
          <t>C227</t>
        </is>
      </c>
      <c r="D336" s="13" t="inlineStr">
        <is>
          <t>Street address or PO box</t>
        </is>
      </c>
      <c r="E336" s="15" t="inlineStr">
        <is>
          <t>Friends of Vadim; Rene For Portland</t>
        </is>
      </c>
      <c r="F336" s="13" t="n">
        <v>2022</v>
      </c>
      <c r="G336" s="13" t="n">
        <v>500</v>
      </c>
      <c r="H336" s="13" t="inlineStr">
        <is>
          <t>15109:5830261</t>
        </is>
      </c>
      <c r="I336" s="13" t="inlineStr">
        <is>
          <t>21632:4004678; 21605:4222777</t>
        </is>
      </c>
    </row>
    <row r="337">
      <c r="A337" s="13" t="inlineStr">
        <is>
          <t>Steve Novick</t>
        </is>
      </c>
      <c r="B337" s="13" t="inlineStr">
        <is>
          <t>P052</t>
        </is>
      </c>
      <c r="C337" s="13" t="inlineStr">
        <is>
          <t>C087</t>
        </is>
      </c>
      <c r="D337" s="13" t="inlineStr">
        <is>
          <t>Street address or PO box</t>
        </is>
      </c>
      <c r="E337" s="15" t="inlineStr">
        <is>
          <t>Rene For Portland</t>
        </is>
      </c>
      <c r="F337" s="13" t="n">
        <v>2022</v>
      </c>
      <c r="G337" s="13" t="n">
        <v>250</v>
      </c>
      <c r="H337" s="13" t="inlineStr">
        <is>
          <t>15109:5830353</t>
        </is>
      </c>
      <c r="I337" s="13" t="inlineStr">
        <is>
          <t>21605:4008762; 21605:4235734</t>
        </is>
      </c>
    </row>
    <row r="338">
      <c r="A338" s="13" t="inlineStr">
        <is>
          <t>Steve Novick</t>
        </is>
      </c>
      <c r="B338" s="13" t="inlineStr">
        <is>
          <t>P053</t>
        </is>
      </c>
      <c r="C338" s="13" t="inlineStr">
        <is>
          <t>C196</t>
        </is>
      </c>
      <c r="D338" s="13" t="inlineStr">
        <is>
          <t>Street address or PO box</t>
        </is>
      </c>
      <c r="E338" s="15" t="inlineStr">
        <is>
          <t>Friends of Vadim</t>
        </is>
      </c>
      <c r="F338" s="13" t="n">
        <v>2024</v>
      </c>
      <c r="G338" s="13" t="n">
        <v>500</v>
      </c>
      <c r="H338" s="13" t="inlineStr">
        <is>
          <t>15109:5830443</t>
        </is>
      </c>
      <c r="I338" s="13" t="inlineStr">
        <is>
          <t>21632:3885689; 21632:4818967; 21632:5050799</t>
        </is>
      </c>
    </row>
    <row r="339">
      <c r="A339" s="13" t="inlineStr">
        <is>
          <t>Steve Novick</t>
        </is>
      </c>
      <c r="B339" s="13" t="inlineStr">
        <is>
          <t>P054</t>
        </is>
      </c>
      <c r="C339" s="13" t="inlineStr">
        <is>
          <t>C244</t>
        </is>
      </c>
      <c r="D339" s="13" t="inlineStr">
        <is>
          <t>Street address or PO box</t>
        </is>
      </c>
      <c r="E339" s="15" t="inlineStr">
        <is>
          <t>Friends of Vadim; Rene For Portland</t>
        </is>
      </c>
      <c r="F339" s="13" t="n">
        <v>2024</v>
      </c>
      <c r="G339" s="13" t="n">
        <v>750</v>
      </c>
      <c r="H339" s="13" t="inlineStr">
        <is>
          <t>15109:5863402</t>
        </is>
      </c>
      <c r="I339" s="13" t="inlineStr">
        <is>
          <t>21632:4131070; 21605:4211440; 21632:4855373; 21632:4866951</t>
        </is>
      </c>
    </row>
    <row r="340">
      <c r="A340" s="13" t="inlineStr">
        <is>
          <t>Steve Novick</t>
        </is>
      </c>
      <c r="B340" s="13" t="inlineStr">
        <is>
          <t>P055</t>
        </is>
      </c>
      <c r="C340" s="13" t="inlineStr">
        <is>
          <t>C167</t>
        </is>
      </c>
      <c r="D340" s="13" t="inlineStr">
        <is>
          <t>Street address or PO box</t>
        </is>
      </c>
      <c r="E340" s="15" t="inlineStr">
        <is>
          <t>Friends of Sam Adams; Friends of Vadim; Rene for Portland</t>
        </is>
      </c>
      <c r="F340" s="13" t="n">
        <v>2024</v>
      </c>
      <c r="G340" s="13" t="n">
        <v>1000</v>
      </c>
      <c r="H340" s="13" t="inlineStr">
        <is>
          <t>15109:5863411</t>
        </is>
      </c>
      <c r="I340" s="13" t="inlineStr">
        <is>
          <t>21605:4717388; 21632:4818979; 20340:4860433</t>
        </is>
      </c>
    </row>
    <row r="341">
      <c r="A341" s="13" t="inlineStr">
        <is>
          <t>Kellie Torres</t>
        </is>
      </c>
      <c r="B341" s="13" t="inlineStr">
        <is>
          <t>H007</t>
        </is>
      </c>
      <c r="C341" s="13" t="inlineStr">
        <is>
          <t>C225</t>
        </is>
      </c>
      <c r="D341" s="13" t="inlineStr">
        <is>
          <t>Street address or PO box</t>
        </is>
      </c>
      <c r="E341" s="15" t="inlineStr">
        <is>
          <t>Friends of Vadim; Vote Vasquez</t>
        </is>
      </c>
      <c r="F341" s="13" t="n">
        <v>2026</v>
      </c>
      <c r="G341" s="13" t="n">
        <v>3000</v>
      </c>
      <c r="H341" s="13" t="inlineStr">
        <is>
          <t>24897:5810934</t>
        </is>
      </c>
      <c r="I341" s="13" t="inlineStr">
        <is>
          <t>21632:3979731; 21632:4818908; 23012:4885504; 21632:5050780; 23012:5756031</t>
        </is>
      </c>
    </row>
    <row r="342">
      <c r="A342" s="13" t="inlineStr">
        <is>
          <t>Kellie Torres</t>
        </is>
      </c>
      <c r="B342" s="13" t="inlineStr">
        <is>
          <t>H019</t>
        </is>
      </c>
      <c r="C342" s="13" t="inlineStr">
        <is>
          <t>C173</t>
        </is>
      </c>
      <c r="D342" s="13" t="inlineStr">
        <is>
          <t>Street address or PO box</t>
        </is>
      </c>
      <c r="E342" s="15" t="inlineStr">
        <is>
          <t>Rene for Portland</t>
        </is>
      </c>
      <c r="F342" s="13" t="n">
        <v>2023</v>
      </c>
      <c r="G342" s="13" t="n">
        <v>250</v>
      </c>
      <c r="H342" s="13" t="inlineStr">
        <is>
          <t>24897:5650886</t>
        </is>
      </c>
      <c r="I342" s="13" t="inlineStr">
        <is>
          <t>21605:4717577</t>
        </is>
      </c>
    </row>
    <row r="343">
      <c r="A343" s="13" t="inlineStr">
        <is>
          <t>Kellie Torres</t>
        </is>
      </c>
      <c r="B343" s="13" t="inlineStr">
        <is>
          <t>H102</t>
        </is>
      </c>
      <c r="C343" s="13" t="inlineStr">
        <is>
          <t>C124</t>
        </is>
      </c>
      <c r="D343" s="13" t="inlineStr">
        <is>
          <t>Street address or PO box</t>
        </is>
      </c>
      <c r="E343" s="15" t="inlineStr">
        <is>
          <t>Friends of Sam Adams; Rene For Portland; Rene for Portland</t>
        </is>
      </c>
      <c r="F343" s="13" t="n">
        <v>2024</v>
      </c>
      <c r="G343" s="13" t="n">
        <v>1000</v>
      </c>
      <c r="H343" s="13" t="inlineStr">
        <is>
          <t>24897:5760926</t>
        </is>
      </c>
      <c r="I343" s="13" t="inlineStr">
        <is>
          <t>21605:4247886; 21605:4717384; 20340:5017668</t>
        </is>
      </c>
    </row>
    <row r="344">
      <c r="A344" s="13" t="inlineStr">
        <is>
          <t>Kellie Torres</t>
        </is>
      </c>
      <c r="B344" s="13" t="inlineStr">
        <is>
          <t>H123</t>
        </is>
      </c>
      <c r="C344" s="13" t="inlineStr">
        <is>
          <t>C274</t>
        </is>
      </c>
      <c r="D344" s="13" t="inlineStr">
        <is>
          <t>Street address or PO box</t>
        </is>
      </c>
      <c r="E344" s="15" t="inlineStr">
        <is>
          <t>Friends of Vadim; Portland Accountability PAC; Vote Vasquez</t>
        </is>
      </c>
      <c r="F344" s="13" t="n">
        <v>2024</v>
      </c>
      <c r="G344" s="13" t="n">
        <v>2000</v>
      </c>
      <c r="H344" s="13" t="inlineStr">
        <is>
          <t>24897:5760999</t>
        </is>
      </c>
      <c r="I344" s="13" t="inlineStr">
        <is>
          <t>22544:4353412; 21632:4855356; 23012:4838518</t>
        </is>
      </c>
    </row>
    <row r="345">
      <c r="A345" s="13" t="inlineStr">
        <is>
          <t>Kellie Torres</t>
        </is>
      </c>
      <c r="B345" s="13" t="inlineStr">
        <is>
          <t>P016</t>
        </is>
      </c>
      <c r="C345" s="13" t="inlineStr">
        <is>
          <t>C003</t>
        </is>
      </c>
      <c r="D345" s="13" t="inlineStr">
        <is>
          <t>ZIP + employer</t>
        </is>
      </c>
      <c r="E345" s="15" t="inlineStr">
        <is>
          <t>Friends of Pam Treece</t>
        </is>
      </c>
      <c r="F345" s="13" t="n">
        <v>2026</v>
      </c>
      <c r="G345" s="13" t="n">
        <v>750</v>
      </c>
      <c r="H345" s="13" t="inlineStr">
        <is>
          <t>24897:5795605</t>
        </is>
      </c>
      <c r="I345" s="13" t="inlineStr">
        <is>
          <t>18397:5331987; 18397:5650357</t>
        </is>
      </c>
    </row>
    <row r="346">
      <c r="A346" s="13" t="inlineStr">
        <is>
          <t>Kellie Torres</t>
        </is>
      </c>
      <c r="B346" s="13" t="inlineStr">
        <is>
          <t>P023</t>
        </is>
      </c>
      <c r="C346" s="13" t="inlineStr">
        <is>
          <t>C084</t>
        </is>
      </c>
      <c r="D346" s="13" t="inlineStr">
        <is>
          <t>Street address or PO box</t>
        </is>
      </c>
      <c r="E346" s="15" t="inlineStr">
        <is>
          <t>Friends of Vadim; Rene For Portland; Rene for Portland</t>
        </is>
      </c>
      <c r="F346" s="13" t="n">
        <v>2024</v>
      </c>
      <c r="G346" s="13" t="n">
        <v>2000</v>
      </c>
      <c r="H346" s="13" t="inlineStr">
        <is>
          <t>24897:5693477</t>
        </is>
      </c>
      <c r="I346" s="13" t="inlineStr">
        <is>
          <t>21605:3976952; 21605:4179507; 21605:4446929; 21605:4748792; 21632:4778143; 21605:5078067</t>
        </is>
      </c>
    </row>
    <row r="347">
      <c r="A347" s="13" t="inlineStr">
        <is>
          <t>Kellie Torres</t>
        </is>
      </c>
      <c r="B347" s="13" t="inlineStr">
        <is>
          <t>P030</t>
        </is>
      </c>
      <c r="C347" s="13" t="inlineStr">
        <is>
          <t>C212</t>
        </is>
      </c>
      <c r="D347" s="13" t="inlineStr">
        <is>
          <t>Street address or PO box</t>
        </is>
      </c>
      <c r="E347" s="15" t="inlineStr">
        <is>
          <t>Friends of Vadim; Rene For Portland; Rene for Portland</t>
        </is>
      </c>
      <c r="F347" s="13" t="n">
        <v>2024</v>
      </c>
      <c r="G347" s="13" t="n">
        <v>750</v>
      </c>
      <c r="H347" s="13" t="inlineStr">
        <is>
          <t>24897:5760954</t>
        </is>
      </c>
      <c r="I347" s="13" t="inlineStr">
        <is>
          <t>21632:3935231; 21605:4190900; 21605:4936323</t>
        </is>
      </c>
    </row>
    <row r="348">
      <c r="A348" s="13" t="inlineStr">
        <is>
          <t>Kellie Torres</t>
        </is>
      </c>
      <c r="B348" s="13" t="inlineStr">
        <is>
          <t>P034</t>
        </is>
      </c>
      <c r="C348" s="13" t="inlineStr">
        <is>
          <t>C063</t>
        </is>
      </c>
      <c r="D348" s="13" t="inlineStr">
        <is>
          <t>Street address or PO box</t>
        </is>
      </c>
      <c r="E348" s="15" t="inlineStr">
        <is>
          <t>Friends of Sam Adams</t>
        </is>
      </c>
      <c r="F348" s="13" t="n">
        <v>2024</v>
      </c>
      <c r="G348" s="13" t="n">
        <v>500</v>
      </c>
      <c r="H348" s="13" t="inlineStr">
        <is>
          <t>24897:5780401</t>
        </is>
      </c>
      <c r="I348" s="13" t="inlineStr">
        <is>
          <t>20340:4899769</t>
        </is>
      </c>
    </row>
    <row r="349">
      <c r="A349" s="13" t="inlineStr">
        <is>
          <t>Kellie Torres</t>
        </is>
      </c>
      <c r="B349" s="13" t="inlineStr">
        <is>
          <t>P039</t>
        </is>
      </c>
      <c r="C349" s="13" t="inlineStr">
        <is>
          <t>C205</t>
        </is>
      </c>
      <c r="D349" s="13" t="inlineStr">
        <is>
          <t>Street address or PO box</t>
        </is>
      </c>
      <c r="E349" s="15" t="inlineStr">
        <is>
          <t>Friends of Vadim</t>
        </is>
      </c>
      <c r="F349" s="13" t="n">
        <v>2021</v>
      </c>
      <c r="G349" s="13" t="n">
        <v>250</v>
      </c>
      <c r="H349" s="13" t="inlineStr">
        <is>
          <t>24897:5733636</t>
        </is>
      </c>
      <c r="I349" s="13" t="inlineStr">
        <is>
          <t>21632:3926295</t>
        </is>
      </c>
    </row>
    <row r="350">
      <c r="A350" s="13" t="inlineStr">
        <is>
          <t>Kellie Torres</t>
        </is>
      </c>
      <c r="B350" s="13" t="inlineStr">
        <is>
          <t>P050</t>
        </is>
      </c>
      <c r="C350" s="13" t="inlineStr">
        <is>
          <t>C241</t>
        </is>
      </c>
      <c r="D350" s="13" t="inlineStr">
        <is>
          <t>Street address or PO box</t>
        </is>
      </c>
      <c r="E350" s="15" t="inlineStr">
        <is>
          <t>Friends of Vadim</t>
        </is>
      </c>
      <c r="F350" s="13" t="n">
        <v>2022</v>
      </c>
      <c r="G350" s="13" t="n">
        <v>500</v>
      </c>
      <c r="H350" s="13" t="inlineStr">
        <is>
          <t>24897:5795599</t>
        </is>
      </c>
      <c r="I350" s="13" t="inlineStr">
        <is>
          <t>21632:4117135</t>
        </is>
      </c>
    </row>
    <row r="351">
      <c r="A351" s="13" t="inlineStr">
        <is>
          <t>Kellie Torres</t>
        </is>
      </c>
      <c r="B351" s="13" t="inlineStr">
        <is>
          <t>P051</t>
        </is>
      </c>
      <c r="C351" s="13" t="inlineStr">
        <is>
          <t>C227</t>
        </is>
      </c>
      <c r="D351" s="13" t="inlineStr">
        <is>
          <t>Street address or PO box</t>
        </is>
      </c>
      <c r="E351" s="15" t="inlineStr">
        <is>
          <t>Friends of Vadim; Rene For Portland</t>
        </is>
      </c>
      <c r="F351" s="13" t="n">
        <v>2022</v>
      </c>
      <c r="G351" s="13" t="n">
        <v>500</v>
      </c>
      <c r="H351" s="13" t="inlineStr">
        <is>
          <t>24897:5768608</t>
        </is>
      </c>
      <c r="I351" s="13" t="inlineStr">
        <is>
          <t>21632:4004678; 21605:4222777</t>
        </is>
      </c>
    </row>
    <row r="352">
      <c r="A352" s="13" t="inlineStr">
        <is>
          <t>Kellie Torres</t>
        </is>
      </c>
      <c r="B352" s="13" t="inlineStr">
        <is>
          <t>P052</t>
        </is>
      </c>
      <c r="C352" s="13" t="inlineStr">
        <is>
          <t>C087</t>
        </is>
      </c>
      <c r="D352" s="13" t="inlineStr">
        <is>
          <t>Street address or PO box</t>
        </is>
      </c>
      <c r="E352" s="15" t="inlineStr">
        <is>
          <t>Rene For Portland</t>
        </is>
      </c>
      <c r="F352" s="13" t="n">
        <v>2022</v>
      </c>
      <c r="G352" s="13" t="n">
        <v>250</v>
      </c>
      <c r="H352" s="13" t="inlineStr">
        <is>
          <t>24897:5846665; 24897:5810899</t>
        </is>
      </c>
      <c r="I352" s="13" t="inlineStr">
        <is>
          <t>21605:4008762; 21605:4235734</t>
        </is>
      </c>
    </row>
    <row r="353">
      <c r="A353" s="13" t="inlineStr">
        <is>
          <t>Kellie Torres</t>
        </is>
      </c>
      <c r="B353" s="13" t="inlineStr">
        <is>
          <t>P054</t>
        </is>
      </c>
      <c r="C353" s="13" t="inlineStr">
        <is>
          <t>C244</t>
        </is>
      </c>
      <c r="D353" s="13" t="inlineStr">
        <is>
          <t>Street address or PO box</t>
        </is>
      </c>
      <c r="E353" s="15" t="inlineStr">
        <is>
          <t>Friends of Vadim; Rene For Portland</t>
        </is>
      </c>
      <c r="F353" s="13" t="n">
        <v>2024</v>
      </c>
      <c r="G353" s="13" t="n">
        <v>750</v>
      </c>
      <c r="H353" s="13" t="inlineStr">
        <is>
          <t>24897:5751736; 24897:5621739</t>
        </is>
      </c>
      <c r="I353" s="13" t="inlineStr">
        <is>
          <t>21632:4131070; 21605:4211440; 21632:4855373; 21632:4866951</t>
        </is>
      </c>
    </row>
    <row r="354">
      <c r="A354" s="13" t="inlineStr">
        <is>
          <t>Kellie Torres</t>
        </is>
      </c>
      <c r="B354" s="13" t="inlineStr">
        <is>
          <t>P055</t>
        </is>
      </c>
      <c r="C354" s="13" t="inlineStr">
        <is>
          <t>C167</t>
        </is>
      </c>
      <c r="D354" s="13" t="inlineStr">
        <is>
          <t>ZIP + employer</t>
        </is>
      </c>
      <c r="E354" s="15" t="inlineStr">
        <is>
          <t>Friends of Sam Adams; Friends of Vadim; Rene for Portland</t>
        </is>
      </c>
      <c r="F354" s="13" t="n">
        <v>2024</v>
      </c>
      <c r="G354" s="13" t="n">
        <v>1000</v>
      </c>
      <c r="H354" s="13" t="inlineStr">
        <is>
          <t>24897:5677837</t>
        </is>
      </c>
      <c r="I354" s="13" t="inlineStr">
        <is>
          <t>21605:4717388; 21632:4818979; 20340:4860433</t>
        </is>
      </c>
    </row>
    <row r="355">
      <c r="A355" s="13" t="inlineStr">
        <is>
          <t>Kellie Torres</t>
        </is>
      </c>
      <c r="B355" s="13" t="inlineStr">
        <is>
          <t>P056</t>
        </is>
      </c>
      <c r="C355" s="13" t="inlineStr">
        <is>
          <t>C027</t>
        </is>
      </c>
      <c r="D355" s="13" t="inlineStr">
        <is>
          <t>Street address or PO box, ZIP + employer</t>
        </is>
      </c>
      <c r="E355" s="15" t="inlineStr">
        <is>
          <t>Friends of Sam Adams; Rene for Portland; Vote Vasquez</t>
        </is>
      </c>
      <c r="F355" s="13" t="n">
        <v>2024</v>
      </c>
      <c r="G355" s="13" t="n">
        <v>750</v>
      </c>
      <c r="H355" s="13" t="inlineStr">
        <is>
          <t>24897:5733635</t>
        </is>
      </c>
      <c r="I355" s="13" t="inlineStr">
        <is>
          <t>20340:3361958; 23012:4760163; 20340:4797838; 20340:4877666; 23012:4891771; 20340:4910124; 21605:4934407; 20340:5053996</t>
        </is>
      </c>
    </row>
    <row r="356">
      <c r="A356" s="13" t="inlineStr">
        <is>
          <t>Kellie Torres</t>
        </is>
      </c>
      <c r="B356" s="13" t="inlineStr">
        <is>
          <t>P079</t>
        </is>
      </c>
      <c r="C356" s="13" t="inlineStr">
        <is>
          <t>C049</t>
        </is>
      </c>
      <c r="D356" s="13" t="inlineStr">
        <is>
          <t>Street address or PO box</t>
        </is>
      </c>
      <c r="E356" s="15" t="inlineStr">
        <is>
          <t>Friends of Sam Adams</t>
        </is>
      </c>
      <c r="F356" s="13" t="n">
        <v>2024</v>
      </c>
      <c r="G356" s="13" t="n">
        <v>250</v>
      </c>
      <c r="H356" s="13" t="inlineStr">
        <is>
          <t>24897:5846638; 24897:5661427</t>
        </is>
      </c>
      <c r="I356" s="13" t="inlineStr">
        <is>
          <t>20340:4797903</t>
        </is>
      </c>
    </row>
    <row r="357">
      <c r="A357" s="13" t="inlineStr">
        <is>
          <t>Kellie Torres</t>
        </is>
      </c>
      <c r="B357" s="13" t="inlineStr">
        <is>
          <t>P080</t>
        </is>
      </c>
      <c r="C357" s="13" t="inlineStr">
        <is>
          <t>C091</t>
        </is>
      </c>
      <c r="D357" s="13" t="inlineStr">
        <is>
          <t>Street address or PO box</t>
        </is>
      </c>
      <c r="E357" s="15" t="inlineStr">
        <is>
          <t>Friends of Sam Adams; Rene For Portland; Vote Vasquez</t>
        </is>
      </c>
      <c r="F357" s="13" t="n">
        <v>2024</v>
      </c>
      <c r="G357" s="13" t="n">
        <v>2000</v>
      </c>
      <c r="H357" s="13" t="inlineStr">
        <is>
          <t>24897:5768631</t>
        </is>
      </c>
      <c r="I357" s="13" t="inlineStr">
        <is>
          <t>21605:4085190; 23012:4871696; 23012:4885468; 20340:4954334</t>
        </is>
      </c>
    </row>
    <row r="358">
      <c r="A358" s="13" t="inlineStr">
        <is>
          <t>Kellie Torres</t>
        </is>
      </c>
      <c r="B358" s="13" t="inlineStr">
        <is>
          <t>P092</t>
        </is>
      </c>
      <c r="C358" s="13" t="inlineStr">
        <is>
          <t>C155</t>
        </is>
      </c>
      <c r="D358" s="13" t="inlineStr">
        <is>
          <t>Street address or PO box</t>
        </is>
      </c>
      <c r="E358" s="15" t="inlineStr">
        <is>
          <t>Friends of Sam Adams; Friends of Vadim; Portland Accountability PAC; Rene For Portland; Rene for Portland; Vote Vasquez</t>
        </is>
      </c>
      <c r="F358" s="13" t="n">
        <v>2024</v>
      </c>
      <c r="G358" s="13" t="n">
        <v>4000</v>
      </c>
      <c r="H358" s="13" t="inlineStr">
        <is>
          <t>24897:5831608</t>
        </is>
      </c>
      <c r="I358" s="13" t="inlineStr">
        <is>
          <t>21605:4348575; 22544:4376954; 21605:4446786; 21605:4740731; 23012:4743886; 23012:4825947; 20340:5017680; 21632:5068200</t>
        </is>
      </c>
    </row>
    <row r="359">
      <c r="A359" s="13" t="inlineStr">
        <is>
          <t>Kellie Torres</t>
        </is>
      </c>
      <c r="B359" s="13" t="inlineStr">
        <is>
          <t>P097</t>
        </is>
      </c>
      <c r="C359" s="13" t="inlineStr">
        <is>
          <t>C176</t>
        </is>
      </c>
      <c r="D359" s="13" t="inlineStr">
        <is>
          <t>Street address or PO box</t>
        </is>
      </c>
      <c r="E359" s="15" t="inlineStr">
        <is>
          <t>Rene for Portland; Vote Vasquez</t>
        </is>
      </c>
      <c r="F359" s="13" t="n">
        <v>2024</v>
      </c>
      <c r="G359" s="13" t="n">
        <v>7000</v>
      </c>
      <c r="H359" s="13" t="inlineStr">
        <is>
          <t>24897:5846622</t>
        </is>
      </c>
      <c r="I359" s="13" t="inlineStr">
        <is>
          <t>21605:4740726; 23012:4773673; 23012:4869292; 21605:5067539; 21605:5090041</t>
        </is>
      </c>
    </row>
    <row r="360">
      <c r="A360" s="13" t="inlineStr">
        <is>
          <t>Kellie Torres</t>
        </is>
      </c>
      <c r="B360" s="13" t="inlineStr">
        <is>
          <t>P098</t>
        </is>
      </c>
      <c r="C360" s="13" t="inlineStr">
        <is>
          <t>C221</t>
        </is>
      </c>
      <c r="D360" s="13" t="inlineStr">
        <is>
          <t>Street address or PO box</t>
        </is>
      </c>
      <c r="E360" s="15" t="inlineStr">
        <is>
          <t>Friends of Vadim; Vote Vasquez</t>
        </is>
      </c>
      <c r="F360" s="13" t="n">
        <v>2024</v>
      </c>
      <c r="G360" s="13" t="n">
        <v>7000</v>
      </c>
      <c r="H360" s="13" t="inlineStr">
        <is>
          <t>24897:5768606</t>
        </is>
      </c>
      <c r="I360" s="13" t="inlineStr">
        <is>
          <t>21632:3966922; 21632:4778122; 23012:4838503; 21632:5093151</t>
        </is>
      </c>
    </row>
    <row r="361">
      <c r="A361" s="13" t="inlineStr">
        <is>
          <t>Kellie Torres</t>
        </is>
      </c>
      <c r="B361" s="13" t="inlineStr">
        <is>
          <t>P100</t>
        </is>
      </c>
      <c r="C361" s="13" t="inlineStr">
        <is>
          <t>C150</t>
        </is>
      </c>
      <c r="D361" s="13" t="inlineStr">
        <is>
          <t>Street address or PO box</t>
        </is>
      </c>
      <c r="E361" s="15" t="inlineStr">
        <is>
          <t>Rene For Portland</t>
        </is>
      </c>
      <c r="F361" s="13" t="n">
        <v>2022</v>
      </c>
      <c r="G361" s="13" t="n">
        <v>250</v>
      </c>
      <c r="H361" s="13" t="inlineStr">
        <is>
          <t>24897:5799853</t>
        </is>
      </c>
      <c r="I361" s="13" t="inlineStr">
        <is>
          <t>21605:4337067; 21605:4446889</t>
        </is>
      </c>
    </row>
    <row r="362">
      <c r="A362" s="13" t="inlineStr">
        <is>
          <t>Kellie Torres</t>
        </is>
      </c>
      <c r="B362" s="13" t="inlineStr">
        <is>
          <t>P102</t>
        </is>
      </c>
      <c r="C362" s="13" t="inlineStr">
        <is>
          <t>C117</t>
        </is>
      </c>
      <c r="D362" s="13" t="inlineStr">
        <is>
          <t>Street address or PO box</t>
        </is>
      </c>
      <c r="E362" s="15" t="inlineStr">
        <is>
          <t>Friends of Sam Adams; Rene For Portland</t>
        </is>
      </c>
      <c r="F362" s="13" t="n">
        <v>2024</v>
      </c>
      <c r="G362" s="13" t="n">
        <v>250</v>
      </c>
      <c r="H362" s="13" t="inlineStr">
        <is>
          <t>24897:5621364</t>
        </is>
      </c>
      <c r="I362" s="13" t="inlineStr">
        <is>
          <t>21605:4218977; 20340:4981797</t>
        </is>
      </c>
    </row>
    <row r="363">
      <c r="A363" s="13" t="inlineStr">
        <is>
          <t>Kellie Torres</t>
        </is>
      </c>
      <c r="B363" s="13" t="inlineStr">
        <is>
          <t>P103</t>
        </is>
      </c>
      <c r="C363" s="13" t="inlineStr">
        <is>
          <t>C085</t>
        </is>
      </c>
      <c r="D363" s="13" t="inlineStr">
        <is>
          <t>Street address or PO box</t>
        </is>
      </c>
      <c r="E363" s="15" t="inlineStr">
        <is>
          <t>Friends of Vadim; Portland Accountability PAC; Rene For Portland; Vote Vasquez</t>
        </is>
      </c>
      <c r="F363" s="13" t="n">
        <v>2024</v>
      </c>
      <c r="G363" s="13" t="n">
        <v>3000</v>
      </c>
      <c r="H363" s="13" t="inlineStr">
        <is>
          <t>24897:5702009</t>
        </is>
      </c>
      <c r="I363" s="13" t="inlineStr">
        <is>
          <t>21605:3976956; 22544:4353383; 21605:4368545; 23012:4691280; 21632:4803645</t>
        </is>
      </c>
    </row>
    <row r="364">
      <c r="A364" s="13" t="inlineStr">
        <is>
          <t>Kellie Torres</t>
        </is>
      </c>
      <c r="B364" s="13" t="inlineStr">
        <is>
          <t>P105</t>
        </is>
      </c>
      <c r="C364" s="13" t="inlineStr">
        <is>
          <t>C213</t>
        </is>
      </c>
      <c r="D364" s="13" t="inlineStr">
        <is>
          <t>Street address or PO box, ZIP + employer</t>
        </is>
      </c>
      <c r="E364" s="15" t="inlineStr">
        <is>
          <t>Friends of Pam Treece; Friends of Vadim</t>
        </is>
      </c>
      <c r="F364" s="13" t="n">
        <v>2022</v>
      </c>
      <c r="G364" s="13" t="n">
        <v>1000</v>
      </c>
      <c r="H364" s="13" t="inlineStr">
        <is>
          <t>24897:5760657</t>
        </is>
      </c>
      <c r="I364" s="13" t="inlineStr">
        <is>
          <t>21632:3935234; 18397:4003181</t>
        </is>
      </c>
    </row>
    <row r="365">
      <c r="A365" s="13" t="inlineStr">
        <is>
          <t>Kellie Torres</t>
        </is>
      </c>
      <c r="B365" s="13" t="inlineStr">
        <is>
          <t>P106</t>
        </is>
      </c>
      <c r="C365" s="13" t="inlineStr">
        <is>
          <t>C252</t>
        </is>
      </c>
      <c r="D365" s="13" t="inlineStr">
        <is>
          <t>Street address or PO box</t>
        </is>
      </c>
      <c r="E365" s="15" t="inlineStr">
        <is>
          <t>Friends of Vadim</t>
        </is>
      </c>
      <c r="F365" s="13" t="n">
        <v>2024</v>
      </c>
      <c r="G365" s="13" t="n">
        <v>250</v>
      </c>
      <c r="H365" s="13" t="inlineStr">
        <is>
          <t>24897:5799865</t>
        </is>
      </c>
      <c r="I365" s="13" t="inlineStr">
        <is>
          <t>21632:4803646</t>
        </is>
      </c>
    </row>
    <row r="366">
      <c r="A366" s="13" t="inlineStr">
        <is>
          <t>Kellie Torres</t>
        </is>
      </c>
      <c r="B366" s="13" t="inlineStr">
        <is>
          <t>P107</t>
        </is>
      </c>
      <c r="C366" s="13" t="inlineStr">
        <is>
          <t>C228</t>
        </is>
      </c>
      <c r="D366" s="13" t="inlineStr">
        <is>
          <t>Street address or PO box</t>
        </is>
      </c>
      <c r="E366" s="15" t="inlineStr">
        <is>
          <t>Friends of Vadim</t>
        </is>
      </c>
      <c r="F366" s="13" t="n">
        <v>2022</v>
      </c>
      <c r="G366" s="13" t="n">
        <v>250</v>
      </c>
      <c r="H366" s="13" t="inlineStr">
        <is>
          <t>24897:5761000</t>
        </is>
      </c>
      <c r="I366" s="13" t="inlineStr">
        <is>
          <t>21632:4014593</t>
        </is>
      </c>
    </row>
    <row r="367">
      <c r="A367" s="13" t="inlineStr">
        <is>
          <t>Kellie Torres</t>
        </is>
      </c>
      <c r="B367" s="13" t="inlineStr">
        <is>
          <t>P108</t>
        </is>
      </c>
      <c r="C367" s="13" t="inlineStr">
        <is>
          <t>C296</t>
        </is>
      </c>
      <c r="D367" s="13" t="inlineStr">
        <is>
          <t>Street address or PO box</t>
        </is>
      </c>
      <c r="E367" s="15" t="inlineStr">
        <is>
          <t>Friends of Vadim; Vote Vasquez</t>
        </is>
      </c>
      <c r="F367" s="13" t="n">
        <v>2024</v>
      </c>
      <c r="G367" s="13" t="n">
        <v>500</v>
      </c>
      <c r="H367" s="13" t="inlineStr">
        <is>
          <t>24897:5846626</t>
        </is>
      </c>
      <c r="I367" s="13" t="inlineStr">
        <is>
          <t>23012:4773706; 21632:4818955; 21632:4866931</t>
        </is>
      </c>
    </row>
    <row r="368">
      <c r="A368" s="13" t="inlineStr">
        <is>
          <t>Kellie Torres</t>
        </is>
      </c>
      <c r="B368" s="13" t="inlineStr">
        <is>
          <t>P110</t>
        </is>
      </c>
      <c r="C368" s="13" t="inlineStr">
        <is>
          <t>C005</t>
        </is>
      </c>
      <c r="D368" s="13" t="inlineStr">
        <is>
          <t>Street address or PO box</t>
        </is>
      </c>
      <c r="E368" s="15" t="inlineStr">
        <is>
          <t>Friends of Pam Treece; Rene For Portland</t>
        </is>
      </c>
      <c r="F368" s="13" t="n">
        <v>2022</v>
      </c>
      <c r="G368" s="13" t="n">
        <v>750</v>
      </c>
      <c r="H368" s="13" t="inlineStr">
        <is>
          <t>24897:5846621</t>
        </is>
      </c>
      <c r="I368" s="13" t="inlineStr">
        <is>
          <t>18397:2742120; 21605:4212650</t>
        </is>
      </c>
    </row>
    <row r="369">
      <c r="A369" s="13" t="inlineStr">
        <is>
          <t>Kellie Torres</t>
        </is>
      </c>
      <c r="B369" s="13" t="inlineStr">
        <is>
          <t>P110</t>
        </is>
      </c>
      <c r="C369" s="13" t="inlineStr">
        <is>
          <t>C011</t>
        </is>
      </c>
      <c r="D369" s="13" t="inlineStr">
        <is>
          <t>Street address or PO box</t>
        </is>
      </c>
      <c r="E369" s="15" t="inlineStr">
        <is>
          <t>Friends of Pam Treece</t>
        </is>
      </c>
      <c r="F369" s="13" t="n">
        <v>2025</v>
      </c>
      <c r="G369" s="13" t="n">
        <v>500</v>
      </c>
      <c r="H369" s="13" t="inlineStr">
        <is>
          <t>24897:5846636</t>
        </is>
      </c>
      <c r="I369" s="13" t="inlineStr">
        <is>
          <t>18397:5327498</t>
        </is>
      </c>
    </row>
    <row r="370">
      <c r="A370" s="13" t="inlineStr">
        <is>
          <t>Kellie Torres</t>
        </is>
      </c>
      <c r="B370" s="13" t="inlineStr">
        <is>
          <t>P112</t>
        </is>
      </c>
      <c r="C370" s="13" t="inlineStr">
        <is>
          <t>C259</t>
        </is>
      </c>
      <c r="D370" s="13" t="inlineStr">
        <is>
          <t>Street address or PO box</t>
        </is>
      </c>
      <c r="E370" s="15" t="inlineStr">
        <is>
          <t>Friends of Vadim</t>
        </is>
      </c>
      <c r="F370" s="13" t="n">
        <v>2024</v>
      </c>
      <c r="G370" s="13" t="n">
        <v>250</v>
      </c>
      <c r="H370" s="13" t="inlineStr">
        <is>
          <t>24897:5846663; 24897:5760836</t>
        </is>
      </c>
      <c r="I370" s="13" t="inlineStr">
        <is>
          <t>21632:4885380</t>
        </is>
      </c>
    </row>
    <row r="371">
      <c r="A371" s="13" t="inlineStr">
        <is>
          <t>Kellie Torres</t>
        </is>
      </c>
      <c r="B371" s="13" t="inlineStr">
        <is>
          <t>P112</t>
        </is>
      </c>
      <c r="C371" s="13" t="inlineStr">
        <is>
          <t>C260</t>
        </is>
      </c>
      <c r="D371" s="13" t="inlineStr">
        <is>
          <t>Street address or PO box</t>
        </is>
      </c>
      <c r="E371" s="15" t="inlineStr">
        <is>
          <t>Friends of Vadim</t>
        </is>
      </c>
      <c r="F371" s="13" t="n">
        <v>2024</v>
      </c>
      <c r="G371" s="13" t="n">
        <v>250</v>
      </c>
      <c r="H371" s="13" t="inlineStr">
        <is>
          <t>24897:5846662; 24897:5760835</t>
        </is>
      </c>
      <c r="I371" s="13" t="inlineStr">
        <is>
          <t>21632:4885382</t>
        </is>
      </c>
    </row>
    <row r="372">
      <c r="A372" s="13" t="inlineStr">
        <is>
          <t>Kellie Torres</t>
        </is>
      </c>
      <c r="B372" s="13" t="inlineStr">
        <is>
          <t>P114</t>
        </is>
      </c>
      <c r="C372" s="13" t="inlineStr">
        <is>
          <t>C284</t>
        </is>
      </c>
      <c r="D372" s="13" t="inlineStr">
        <is>
          <t>Street address or PO box</t>
        </is>
      </c>
      <c r="E372" s="15" t="inlineStr">
        <is>
          <t>Vote Vasquez</t>
        </is>
      </c>
      <c r="F372" s="13" t="n">
        <v>2023</v>
      </c>
      <c r="G372" s="13" t="n">
        <v>1000</v>
      </c>
      <c r="H372" s="13" t="inlineStr">
        <is>
          <t>24897:5846643</t>
        </is>
      </c>
      <c r="I372" s="13" t="inlineStr">
        <is>
          <t>23012:4682709</t>
        </is>
      </c>
    </row>
    <row r="373">
      <c r="A373" s="13" t="inlineStr">
        <is>
          <t>Kellie Torres</t>
        </is>
      </c>
      <c r="B373" s="13" t="inlineStr">
        <is>
          <t>P117</t>
        </is>
      </c>
      <c r="C373" s="13" t="inlineStr">
        <is>
          <t>C261</t>
        </is>
      </c>
      <c r="D373" s="13" t="inlineStr">
        <is>
          <t>Street address or PO box</t>
        </is>
      </c>
      <c r="E373" s="15" t="inlineStr">
        <is>
          <t>Friends of Vadim</t>
        </is>
      </c>
      <c r="F373" s="13" t="n">
        <v>2024</v>
      </c>
      <c r="G373" s="13" t="n">
        <v>250</v>
      </c>
      <c r="H373" s="13" t="inlineStr">
        <is>
          <t>24897:5846628</t>
        </is>
      </c>
      <c r="I373" s="13" t="inlineStr">
        <is>
          <t>21632:4885393</t>
        </is>
      </c>
    </row>
    <row r="374">
      <c r="A374" s="13" t="inlineStr">
        <is>
          <t>Kellie Torres</t>
        </is>
      </c>
      <c r="B374" s="13" t="inlineStr">
        <is>
          <t>P118</t>
        </is>
      </c>
      <c r="C374" s="13" t="inlineStr">
        <is>
          <t>C256</t>
        </is>
      </c>
      <c r="D374" s="13" t="inlineStr">
        <is>
          <t>Street address or PO box</t>
        </is>
      </c>
      <c r="E374" s="15" t="inlineStr">
        <is>
          <t>Friends of Vadim</t>
        </is>
      </c>
      <c r="F374" s="13" t="n">
        <v>2024</v>
      </c>
      <c r="G374" s="13" t="n">
        <v>500</v>
      </c>
      <c r="H374" s="13" t="inlineStr">
        <is>
          <t>24897:5718815</t>
        </is>
      </c>
      <c r="I374" s="13" t="inlineStr">
        <is>
          <t>21632:4868075</t>
        </is>
      </c>
    </row>
    <row r="375">
      <c r="A375" s="13" t="inlineStr">
        <is>
          <t>Kellie Torres</t>
        </is>
      </c>
      <c r="B375" s="13" t="inlineStr">
        <is>
          <t>P118</t>
        </is>
      </c>
      <c r="C375" s="13" t="inlineStr">
        <is>
          <t>C294</t>
        </is>
      </c>
      <c r="D375" s="13" t="inlineStr">
        <is>
          <t>Street address or PO box</t>
        </is>
      </c>
      <c r="E375" s="15" t="inlineStr">
        <is>
          <t>Vote Vasquez</t>
        </is>
      </c>
      <c r="F375" s="13" t="n">
        <v>2024</v>
      </c>
      <c r="G375" s="13" t="n">
        <v>500</v>
      </c>
      <c r="H375" s="13" t="inlineStr">
        <is>
          <t>24897:5846652</t>
        </is>
      </c>
      <c r="I375" s="13" t="inlineStr">
        <is>
          <t>23012:4750800</t>
        </is>
      </c>
    </row>
    <row r="376">
      <c r="A376" s="13" t="inlineStr">
        <is>
          <t>Kellie Torres</t>
        </is>
      </c>
      <c r="B376" s="13" t="inlineStr">
        <is>
          <t>P121</t>
        </is>
      </c>
      <c r="C376" s="13" t="inlineStr">
        <is>
          <t>C154</t>
        </is>
      </c>
      <c r="D376" s="13" t="inlineStr">
        <is>
          <t>Street address or PO box</t>
        </is>
      </c>
      <c r="E376" s="15" t="inlineStr">
        <is>
          <t>Friends of Pam Treece; Friends of Vadim; Rene For Portland; Vote Vasquez</t>
        </is>
      </c>
      <c r="F376" s="13" t="n">
        <v>2026</v>
      </c>
      <c r="G376" s="13" t="n">
        <v>1000</v>
      </c>
      <c r="H376" s="13" t="inlineStr">
        <is>
          <t>24897:5850096</t>
        </is>
      </c>
      <c r="I376" s="13" t="inlineStr">
        <is>
          <t>21605:4348558; 23012:4638926; 21632:4913166; 18397:5537687</t>
        </is>
      </c>
    </row>
    <row r="377">
      <c r="A377" s="13" t="inlineStr">
        <is>
          <t>Kellie Torres</t>
        </is>
      </c>
      <c r="B377" s="13" t="inlineStr">
        <is>
          <t>P122</t>
        </is>
      </c>
      <c r="C377" s="13" t="inlineStr">
        <is>
          <t>C179</t>
        </is>
      </c>
      <c r="D377" s="13" t="inlineStr">
        <is>
          <t>Street address or PO box</t>
        </is>
      </c>
      <c r="E377" s="15" t="inlineStr">
        <is>
          <t>Rene for Portland</t>
        </is>
      </c>
      <c r="F377" s="13" t="n">
        <v>2024</v>
      </c>
      <c r="G377" s="13" t="n">
        <v>250</v>
      </c>
      <c r="H377" s="13" t="inlineStr">
        <is>
          <t>24897:5850095</t>
        </is>
      </c>
      <c r="I377" s="13" t="inlineStr">
        <is>
          <t>21605:4941173</t>
        </is>
      </c>
    </row>
    <row r="378">
      <c r="A378" s="13" t="inlineStr">
        <is>
          <t>Kellie Torres</t>
        </is>
      </c>
      <c r="B378" s="13" t="inlineStr">
        <is>
          <t>P123</t>
        </is>
      </c>
      <c r="C378" s="13" t="inlineStr">
        <is>
          <t>C289</t>
        </is>
      </c>
      <c r="D378" s="13" t="inlineStr">
        <is>
          <t>Street address or PO box</t>
        </is>
      </c>
      <c r="E378" s="15" t="inlineStr">
        <is>
          <t>Vote Vasquez</t>
        </is>
      </c>
      <c r="F378" s="13" t="n">
        <v>2023</v>
      </c>
      <c r="G378" s="13" t="n">
        <v>2000</v>
      </c>
      <c r="H378" s="13" t="inlineStr">
        <is>
          <t>24897:5873381</t>
        </is>
      </c>
      <c r="I378" s="13" t="inlineStr">
        <is>
          <t>23012:4690925</t>
        </is>
      </c>
    </row>
    <row r="379">
      <c r="A379" s="13" t="inlineStr">
        <is>
          <t>Kellie Torres</t>
        </is>
      </c>
      <c r="B379" s="13" t="inlineStr">
        <is>
          <t>P124</t>
        </is>
      </c>
      <c r="C379" s="13" t="inlineStr">
        <is>
          <t>C273</t>
        </is>
      </c>
      <c r="D379" s="13" t="inlineStr">
        <is>
          <t>ZIP + employer</t>
        </is>
      </c>
      <c r="E379" s="15" t="inlineStr">
        <is>
          <t>Portland Accountability PAC</t>
        </is>
      </c>
      <c r="F379" s="13" t="n">
        <v>2022</v>
      </c>
      <c r="G379" s="13" t="n">
        <v>500</v>
      </c>
      <c r="H379" s="13" t="inlineStr">
        <is>
          <t>24897:5760991</t>
        </is>
      </c>
      <c r="I379" s="13" t="inlineStr">
        <is>
          <t>22544:4353407</t>
        </is>
      </c>
    </row>
    <row r="380">
      <c r="A380" s="13" t="inlineStr">
        <is>
          <t>Kellie Torres</t>
        </is>
      </c>
      <c r="B380" s="13" t="inlineStr">
        <is>
          <t>P128</t>
        </is>
      </c>
      <c r="C380" s="13" t="inlineStr">
        <is>
          <t>C236</t>
        </is>
      </c>
      <c r="D380" s="13" t="inlineStr">
        <is>
          <t>Street address or PO box</t>
        </is>
      </c>
      <c r="E380" s="15" t="inlineStr">
        <is>
          <t>Friends of Pam Treece; Friends of Sam Adams; Friends of Vadim; Rene For Portland; Vote Vasquez</t>
        </is>
      </c>
      <c r="F380" s="13" t="n">
        <v>2026</v>
      </c>
      <c r="G380" s="13" t="n">
        <v>1000</v>
      </c>
      <c r="H380" s="13" t="inlineStr">
        <is>
          <t>24897:5873435</t>
        </is>
      </c>
      <c r="I380" s="13" t="inlineStr">
        <is>
          <t>21632:4100110; 21605:4296448; 23012:4865300; 20340:5054041; 18397:5650349</t>
        </is>
      </c>
    </row>
    <row r="381">
      <c r="A381" s="13" t="inlineStr">
        <is>
          <t>Kellie Torres</t>
        </is>
      </c>
      <c r="B381" s="13" t="inlineStr">
        <is>
          <t>P131</t>
        </is>
      </c>
      <c r="C381" s="13" t="inlineStr">
        <is>
          <t>C234</t>
        </is>
      </c>
      <c r="D381" s="13" t="inlineStr">
        <is>
          <t>Street address or PO box</t>
        </is>
      </c>
      <c r="E381" s="15" t="inlineStr">
        <is>
          <t>Friends of Sam Adams; Friends of Vadim</t>
        </is>
      </c>
      <c r="F381" s="13" t="n">
        <v>2024</v>
      </c>
      <c r="G381" s="13" t="n">
        <v>500</v>
      </c>
      <c r="H381" s="13" t="inlineStr">
        <is>
          <t>24897:5780399</t>
        </is>
      </c>
      <c r="I381" s="13" t="inlineStr">
        <is>
          <t>21632:4100079; 20340:4858176</t>
        </is>
      </c>
    </row>
    <row r="382">
      <c r="A382" s="13" t="inlineStr">
        <is>
          <t>Kellie Torres</t>
        </is>
      </c>
      <c r="B382" s="13" t="inlineStr">
        <is>
          <t>P133</t>
        </is>
      </c>
      <c r="C382" s="13" t="inlineStr">
        <is>
          <t>C254</t>
        </is>
      </c>
      <c r="D382" s="13" t="inlineStr">
        <is>
          <t>Street address or PO box</t>
        </is>
      </c>
      <c r="E382" s="15" t="inlineStr">
        <is>
          <t>Friends of Pam Treece; Friends of Vadim</t>
        </is>
      </c>
      <c r="F382" s="13" t="n">
        <v>2026</v>
      </c>
      <c r="G382" s="13" t="n">
        <v>750</v>
      </c>
      <c r="H382" s="13" t="inlineStr">
        <is>
          <t>24897:5661433</t>
        </is>
      </c>
      <c r="I382" s="13" t="inlineStr">
        <is>
          <t>21632:4855333; 18397:5625561</t>
        </is>
      </c>
    </row>
    <row r="383">
      <c r="A383" s="13" t="inlineStr">
        <is>
          <t>Kellie Torres</t>
        </is>
      </c>
      <c r="B383" s="13" t="inlineStr">
        <is>
          <t>P179</t>
        </is>
      </c>
      <c r="C383" s="13" t="inlineStr">
        <is>
          <t>C243</t>
        </is>
      </c>
      <c r="D383" s="13" t="inlineStr">
        <is>
          <t>Street address or PO box</t>
        </is>
      </c>
      <c r="E383" s="15" t="inlineStr">
        <is>
          <t>Friends of Vadim; Vote Vasquez</t>
        </is>
      </c>
      <c r="F383" s="13" t="n">
        <v>2023</v>
      </c>
      <c r="G383" s="13" t="n">
        <v>500</v>
      </c>
      <c r="H383" s="13" t="inlineStr">
        <is>
          <t>24897:5799812</t>
        </is>
      </c>
      <c r="I383" s="13" t="inlineStr">
        <is>
          <t>21632:4131057; 23012:4633224</t>
        </is>
      </c>
    </row>
    <row r="384">
      <c r="A384" s="13" t="inlineStr">
        <is>
          <t>Kellie Torres</t>
        </is>
      </c>
      <c r="B384" s="13" t="inlineStr">
        <is>
          <t>P182</t>
        </is>
      </c>
      <c r="C384" s="13" t="inlineStr">
        <is>
          <t>C199</t>
        </is>
      </c>
      <c r="D384" s="13" t="inlineStr">
        <is>
          <t>Street address or PO box</t>
        </is>
      </c>
      <c r="E384" s="15" t="inlineStr">
        <is>
          <t>Friends of Vadim; Rene For Portland</t>
        </is>
      </c>
      <c r="F384" s="13" t="n">
        <v>2022</v>
      </c>
      <c r="G384" s="13" t="n">
        <v>500</v>
      </c>
      <c r="H384" s="13" t="inlineStr">
        <is>
          <t>24897:5760961</t>
        </is>
      </c>
      <c r="I384" s="13" t="inlineStr">
        <is>
          <t>21632:3906322; 21605:4293193</t>
        </is>
      </c>
    </row>
    <row r="385">
      <c r="A385" s="13" t="inlineStr">
        <is>
          <t>Kellie Torres</t>
        </is>
      </c>
      <c r="B385" s="13" t="inlineStr">
        <is>
          <t>P218</t>
        </is>
      </c>
      <c r="C385" s="13" t="inlineStr">
        <is>
          <t>C142</t>
        </is>
      </c>
      <c r="D385" s="13" t="inlineStr">
        <is>
          <t>Street address or PO box</t>
        </is>
      </c>
      <c r="E385" s="15" t="inlineStr">
        <is>
          <t>Rene For Portland</t>
        </is>
      </c>
      <c r="F385" s="13" t="n">
        <v>2022</v>
      </c>
      <c r="G385" s="13" t="n">
        <v>250</v>
      </c>
      <c r="H385" s="13" t="inlineStr">
        <is>
          <t>24897:5621631</t>
        </is>
      </c>
      <c r="I385" s="13" t="inlineStr">
        <is>
          <t>21605:4316385</t>
        </is>
      </c>
    </row>
    <row r="386">
      <c r="A386" s="13" t="inlineStr">
        <is>
          <t>Kellie Torres</t>
        </is>
      </c>
      <c r="B386" s="13" t="inlineStr">
        <is>
          <t>P239</t>
        </is>
      </c>
      <c r="C386" s="13" t="inlineStr">
        <is>
          <t>C229</t>
        </is>
      </c>
      <c r="D386" s="13" t="inlineStr">
        <is>
          <t>Street address or PO box</t>
        </is>
      </c>
      <c r="E386" s="15" t="inlineStr">
        <is>
          <t>Friends of Sam Adams; Friends of Vadim; Rene For Portland; Rene for Portland; Vote Vasquez</t>
        </is>
      </c>
      <c r="F386" s="13" t="n">
        <v>2024</v>
      </c>
      <c r="G386" s="13" t="n">
        <v>3000</v>
      </c>
      <c r="H386" s="13" t="inlineStr">
        <is>
          <t>24897:5623660</t>
        </is>
      </c>
      <c r="I386" s="13" t="inlineStr">
        <is>
          <t>21632:4014604; 21605:4016648; 21605:4247865; 23012:4580750; 21605:4790160; 21632:4803637; 23012:4865326; 20340:5017669</t>
        </is>
      </c>
    </row>
    <row r="387">
      <c r="A387" s="13" t="inlineStr">
        <is>
          <t>Kellie Torres</t>
        </is>
      </c>
      <c r="B387" s="13" t="inlineStr">
        <is>
          <t>P244</t>
        </is>
      </c>
      <c r="C387" s="13" t="inlineStr">
        <is>
          <t>C147</t>
        </is>
      </c>
      <c r="D387" s="13" t="inlineStr">
        <is>
          <t>Street address or PO box</t>
        </is>
      </c>
      <c r="E387" s="15" t="inlineStr">
        <is>
          <t>Rene For Portland; Vote Vasquez</t>
        </is>
      </c>
      <c r="F387" s="13" t="n">
        <v>2023</v>
      </c>
      <c r="G387" s="13" t="n">
        <v>500</v>
      </c>
      <c r="H387" s="13" t="inlineStr">
        <is>
          <t>24897:5780409</t>
        </is>
      </c>
      <c r="I387" s="13" t="inlineStr">
        <is>
          <t>21605:4328834; 23012:4687588</t>
        </is>
      </c>
    </row>
    <row r="388">
      <c r="A388" s="13" t="inlineStr">
        <is>
          <t>Kellie Torres</t>
        </is>
      </c>
      <c r="B388" s="13" t="inlineStr">
        <is>
          <t>P249</t>
        </is>
      </c>
      <c r="C388" s="13" t="inlineStr">
        <is>
          <t>C144</t>
        </is>
      </c>
      <c r="D388" s="13" t="inlineStr">
        <is>
          <t>Street address or PO box</t>
        </is>
      </c>
      <c r="E388" s="15" t="inlineStr">
        <is>
          <t>Rene For Portland; Rene for Portland; Vote Vasquez</t>
        </is>
      </c>
      <c r="F388" s="13" t="n">
        <v>2024</v>
      </c>
      <c r="G388" s="13" t="n">
        <v>7000</v>
      </c>
      <c r="H388" s="13" t="inlineStr">
        <is>
          <t>24897:5760936</t>
        </is>
      </c>
      <c r="I388" s="13" t="inlineStr">
        <is>
          <t>21605:4317894; 23012:4607925; 21605:4740729; 23012:4750807</t>
        </is>
      </c>
    </row>
    <row r="389">
      <c r="A389" s="13" t="inlineStr">
        <is>
          <t>Kellie Torres</t>
        </is>
      </c>
      <c r="B389" s="13" t="inlineStr">
        <is>
          <t>P253</t>
        </is>
      </c>
      <c r="C389" s="13" t="inlineStr">
        <is>
          <t>C082</t>
        </is>
      </c>
      <c r="D389" s="13" t="inlineStr">
        <is>
          <t>Street address or PO box</t>
        </is>
      </c>
      <c r="E389" s="15" t="inlineStr">
        <is>
          <t>Friends of Vadim; Rene For Portland; Rene for Portland; Vote Vasquez</t>
        </is>
      </c>
      <c r="F389" s="13" t="n">
        <v>2024</v>
      </c>
      <c r="G389" s="13" t="n">
        <v>2000</v>
      </c>
      <c r="H389" s="13" t="inlineStr">
        <is>
          <t>24897:5850083</t>
        </is>
      </c>
      <c r="I389" s="13" t="inlineStr">
        <is>
          <t>21605:3931299; 21632:3935217; 21605:4328772; 21605:4877546; 23012:4856764; 23012:4908809</t>
        </is>
      </c>
    </row>
    <row r="390">
      <c r="A390" s="13" t="inlineStr">
        <is>
          <t>Kellie Torres</t>
        </is>
      </c>
      <c r="B390" s="13" t="inlineStr">
        <is>
          <t>P255</t>
        </is>
      </c>
      <c r="C390" s="13" t="inlineStr">
        <is>
          <t>C174</t>
        </is>
      </c>
      <c r="D390" s="13" t="inlineStr">
        <is>
          <t>Street address or PO box</t>
        </is>
      </c>
      <c r="E390" s="15" t="inlineStr">
        <is>
          <t>Friends of Vadim; Rene for Portland</t>
        </is>
      </c>
      <c r="F390" s="13" t="n">
        <v>2024</v>
      </c>
      <c r="G390" s="13" t="n">
        <v>500</v>
      </c>
      <c r="H390" s="13" t="inlineStr">
        <is>
          <t>24897:5619029</t>
        </is>
      </c>
      <c r="I390" s="13" t="inlineStr">
        <is>
          <t>21605:4717600; 21632:4866945</t>
        </is>
      </c>
    </row>
    <row r="391">
      <c r="A391" s="13" t="inlineStr">
        <is>
          <t>Kellie Torres</t>
        </is>
      </c>
      <c r="B391" s="13" t="inlineStr">
        <is>
          <t>P256</t>
        </is>
      </c>
      <c r="C391" s="13" t="inlineStr">
        <is>
          <t>C242</t>
        </is>
      </c>
      <c r="D391" s="13" t="inlineStr">
        <is>
          <t>Street address or PO box</t>
        </is>
      </c>
      <c r="E391" s="15" t="inlineStr">
        <is>
          <t>Friends of Vadim; Portland Accountability PAC</t>
        </is>
      </c>
      <c r="F391" s="13" t="n">
        <v>2022</v>
      </c>
      <c r="G391" s="13" t="n">
        <v>500</v>
      </c>
      <c r="H391" s="13" t="inlineStr">
        <is>
          <t>24897:5628086</t>
        </is>
      </c>
      <c r="I391" s="13" t="inlineStr">
        <is>
          <t>21632:4131046; 22544:4363464</t>
        </is>
      </c>
    </row>
    <row r="392">
      <c r="A392" s="13" t="inlineStr">
        <is>
          <t>Kellie Torres</t>
        </is>
      </c>
      <c r="B392" s="13" t="inlineStr">
        <is>
          <t>P257</t>
        </is>
      </c>
      <c r="C392" s="13" t="inlineStr">
        <is>
          <t>C171</t>
        </is>
      </c>
      <c r="D392" s="13" t="inlineStr">
        <is>
          <t>Street address or PO box</t>
        </is>
      </c>
      <c r="E392" s="15" t="inlineStr">
        <is>
          <t>Rene for Portland</t>
        </is>
      </c>
      <c r="F392" s="13" t="n">
        <v>2023</v>
      </c>
      <c r="G392" s="13" t="n">
        <v>250</v>
      </c>
      <c r="H392" s="13" t="inlineStr">
        <is>
          <t>24897:5693516</t>
        </is>
      </c>
      <c r="I392" s="13" t="inlineStr">
        <is>
          <t>21605:4717535</t>
        </is>
      </c>
    </row>
    <row r="393">
      <c r="A393" s="13" t="inlineStr">
        <is>
          <t>Kellie Torres</t>
        </is>
      </c>
      <c r="B393" s="13" t="inlineStr">
        <is>
          <t>P258</t>
        </is>
      </c>
      <c r="C393" s="13" t="inlineStr">
        <is>
          <t>C159</t>
        </is>
      </c>
      <c r="D393" s="13" t="inlineStr">
        <is>
          <t>Street address or PO box</t>
        </is>
      </c>
      <c r="E393" s="15" t="inlineStr">
        <is>
          <t>Rene For Portland; Rene for Portland</t>
        </is>
      </c>
      <c r="F393" s="13" t="n">
        <v>2023</v>
      </c>
      <c r="G393" s="13" t="n">
        <v>500</v>
      </c>
      <c r="H393" s="13" t="inlineStr">
        <is>
          <t>24897:5768616</t>
        </is>
      </c>
      <c r="I393" s="13" t="inlineStr">
        <is>
          <t>21605:4404055; 21605:4717494</t>
        </is>
      </c>
    </row>
    <row r="394">
      <c r="A394" s="13" t="inlineStr">
        <is>
          <t>Kellie Torres</t>
        </is>
      </c>
      <c r="B394" s="13" t="inlineStr">
        <is>
          <t>P259</t>
        </is>
      </c>
      <c r="C394" s="13" t="inlineStr">
        <is>
          <t>C246</t>
        </is>
      </c>
      <c r="D394" s="13" t="inlineStr">
        <is>
          <t>Street address or PO box</t>
        </is>
      </c>
      <c r="E394" s="15" t="inlineStr">
        <is>
          <t>Friends of Vadim; Rene For Portland</t>
        </is>
      </c>
      <c r="F394" s="13" t="n">
        <v>2022</v>
      </c>
      <c r="G394" s="13" t="n">
        <v>500</v>
      </c>
      <c r="H394" s="13" t="inlineStr">
        <is>
          <t>24897:5774897</t>
        </is>
      </c>
      <c r="I394" s="13" t="inlineStr">
        <is>
          <t>21632:4156262; 21605:4179532</t>
        </is>
      </c>
    </row>
    <row r="395">
      <c r="A395" s="13" t="inlineStr">
        <is>
          <t>Kellie Torres</t>
        </is>
      </c>
      <c r="B395" s="13" t="inlineStr">
        <is>
          <t>P260</t>
        </is>
      </c>
      <c r="C395" s="13" t="inlineStr">
        <is>
          <t>C109</t>
        </is>
      </c>
      <c r="D395" s="13" t="inlineStr">
        <is>
          <t>Street address or PO box</t>
        </is>
      </c>
      <c r="E395" s="15" t="inlineStr">
        <is>
          <t>Rene For Portland</t>
        </is>
      </c>
      <c r="F395" s="13" t="n">
        <v>2022</v>
      </c>
      <c r="G395" s="13" t="n">
        <v>250</v>
      </c>
      <c r="H395" s="13" t="inlineStr">
        <is>
          <t>24897:5774918</t>
        </is>
      </c>
      <c r="I395" s="13" t="inlineStr">
        <is>
          <t>21605:4193372; 21605:4296706</t>
        </is>
      </c>
    </row>
    <row r="396">
      <c r="A396" s="13" t="inlineStr">
        <is>
          <t>Kellie Torres</t>
        </is>
      </c>
      <c r="B396" s="13" t="inlineStr">
        <is>
          <t>P261</t>
        </is>
      </c>
      <c r="C396" s="13" t="inlineStr">
        <is>
          <t>C189</t>
        </is>
      </c>
      <c r="D396" s="13" t="inlineStr">
        <is>
          <t>Street address or PO box</t>
        </is>
      </c>
      <c r="E396" s="15" t="inlineStr">
        <is>
          <t>Friends of Sam Adams; Friends of Vadim; Rene For Portland; Rene for Portland; Vote Vasquez</t>
        </is>
      </c>
      <c r="F396" s="13" t="n">
        <v>2024</v>
      </c>
      <c r="G396" s="13" t="n">
        <v>3000</v>
      </c>
      <c r="H396" s="13" t="inlineStr">
        <is>
          <t>24897:5812171</t>
        </is>
      </c>
      <c r="I396" s="13" t="inlineStr">
        <is>
          <t>21632:3881670; 21605:4448377; 21605:4748793; 20340:4858163; 21632:4885392; 23012:4913249</t>
        </is>
      </c>
    </row>
    <row r="397">
      <c r="A397" s="13" t="inlineStr">
        <is>
          <t>Kellie Torres</t>
        </is>
      </c>
      <c r="B397" s="13" t="inlineStr">
        <is>
          <t>P262</t>
        </is>
      </c>
      <c r="C397" s="13" t="inlineStr">
        <is>
          <t>C064</t>
        </is>
      </c>
      <c r="D397" s="13" t="inlineStr">
        <is>
          <t>Street address or PO box</t>
        </is>
      </c>
      <c r="E397" s="15" t="inlineStr">
        <is>
          <t>Friends of Sam Adams</t>
        </is>
      </c>
      <c r="F397" s="13" t="n">
        <v>2024</v>
      </c>
      <c r="G397" s="13" t="n">
        <v>250</v>
      </c>
      <c r="H397" s="13" t="inlineStr">
        <is>
          <t>24897:5846637</t>
        </is>
      </c>
      <c r="I397" s="13" t="inlineStr">
        <is>
          <t>20340:4899770</t>
        </is>
      </c>
    </row>
    <row r="398">
      <c r="A398" s="13" t="inlineStr">
        <is>
          <t>Kellie Torres</t>
        </is>
      </c>
      <c r="B398" s="13" t="inlineStr">
        <is>
          <t>P263</t>
        </is>
      </c>
      <c r="C398" s="13" t="inlineStr">
        <is>
          <t>C151</t>
        </is>
      </c>
      <c r="D398" s="13" t="inlineStr">
        <is>
          <t>Street address or PO box</t>
        </is>
      </c>
      <c r="E398" s="15" t="inlineStr">
        <is>
          <t>Rene For Portland; Rene for Portland</t>
        </is>
      </c>
      <c r="F398" s="13" t="n">
        <v>2024</v>
      </c>
      <c r="G398" s="13" t="n">
        <v>500</v>
      </c>
      <c r="H398" s="13" t="inlineStr">
        <is>
          <t>24897:5873436</t>
        </is>
      </c>
      <c r="I398" s="13" t="inlineStr">
        <is>
          <t>21605:4337179; 21605:5001169</t>
        </is>
      </c>
    </row>
    <row r="399">
      <c r="A399" s="13" t="inlineStr">
        <is>
          <t>Kellie Torres</t>
        </is>
      </c>
      <c r="B399" s="13" t="inlineStr">
        <is>
          <t>P264</t>
        </is>
      </c>
      <c r="C399" s="13" t="inlineStr">
        <is>
          <t>C113</t>
        </is>
      </c>
      <c r="D399" s="13" t="inlineStr">
        <is>
          <t>Street address or PO box</t>
        </is>
      </c>
      <c r="E399" s="15" t="inlineStr">
        <is>
          <t>Rene For Portland</t>
        </is>
      </c>
      <c r="F399" s="13" t="n">
        <v>2021</v>
      </c>
      <c r="G399" s="13" t="n">
        <v>250</v>
      </c>
      <c r="H399" s="13" t="inlineStr">
        <is>
          <t>24897:5873437</t>
        </is>
      </c>
      <c r="I399" s="13" t="inlineStr">
        <is>
          <t>21605:4212654</t>
        </is>
      </c>
    </row>
    <row r="400">
      <c r="A400" s="13" t="inlineStr">
        <is>
          <t>Kellie Torres</t>
        </is>
      </c>
      <c r="B400" s="13" t="inlineStr">
        <is>
          <t>P265</t>
        </is>
      </c>
      <c r="C400" s="13" t="inlineStr">
        <is>
          <t>C141</t>
        </is>
      </c>
      <c r="D400" s="13" t="inlineStr">
        <is>
          <t>Street address or PO box</t>
        </is>
      </c>
      <c r="E400" s="15" t="inlineStr">
        <is>
          <t>Rene For Portland</t>
        </is>
      </c>
      <c r="F400" s="13" t="n">
        <v>2022</v>
      </c>
      <c r="G400" s="13" t="n">
        <v>250</v>
      </c>
      <c r="H400" s="13" t="inlineStr">
        <is>
          <t>24897:5873446</t>
        </is>
      </c>
      <c r="I400" s="13" t="inlineStr">
        <is>
          <t>21605:4314705</t>
        </is>
      </c>
    </row>
    <row r="401">
      <c r="A401" s="13" t="inlineStr">
        <is>
          <t>Eric Zimmerman</t>
        </is>
      </c>
      <c r="B401" s="13" t="inlineStr">
        <is>
          <t>H019</t>
        </is>
      </c>
      <c r="C401" s="13" t="inlineStr">
        <is>
          <t>C173</t>
        </is>
      </c>
      <c r="D401" s="13" t="inlineStr">
        <is>
          <t>Street address or PO box</t>
        </is>
      </c>
      <c r="E401" s="15" t="inlineStr">
        <is>
          <t>Rene for Portland</t>
        </is>
      </c>
      <c r="F401" s="13" t="n">
        <v>2023</v>
      </c>
      <c r="G401" s="13" t="n">
        <v>250</v>
      </c>
      <c r="H401" s="13" t="inlineStr">
        <is>
          <t>17629:5005292</t>
        </is>
      </c>
      <c r="I401" s="13" t="inlineStr">
        <is>
          <t>21605:4717577</t>
        </is>
      </c>
    </row>
    <row r="402">
      <c r="A402" s="13" t="inlineStr">
        <is>
          <t>Eric Zimmerman</t>
        </is>
      </c>
      <c r="B402" s="13" t="inlineStr">
        <is>
          <t>H028</t>
        </is>
      </c>
      <c r="C402" s="13" t="inlineStr">
        <is>
          <t>C004</t>
        </is>
      </c>
      <c r="D402" s="13" t="inlineStr">
        <is>
          <t>Street address or PO box</t>
        </is>
      </c>
      <c r="E402" s="15" t="inlineStr">
        <is>
          <t>Friends of Pam Treece; Rene for Portland</t>
        </is>
      </c>
      <c r="F402" s="13" t="n">
        <v>2023</v>
      </c>
      <c r="G402" s="13" t="n">
        <v>1000</v>
      </c>
      <c r="H402" s="13" t="inlineStr">
        <is>
          <t>17629:5778135</t>
        </is>
      </c>
      <c r="I402" s="13" t="inlineStr">
        <is>
          <t>18397:2742112; 18397:3910067; 21605:4717572</t>
        </is>
      </c>
    </row>
    <row r="403">
      <c r="A403" s="13" t="inlineStr">
        <is>
          <t>Eric Zimmerman</t>
        </is>
      </c>
      <c r="B403" s="13" t="inlineStr">
        <is>
          <t>H032</t>
        </is>
      </c>
      <c r="C403" s="13" t="inlineStr">
        <is>
          <t>C255</t>
        </is>
      </c>
      <c r="D403" s="13" t="inlineStr">
        <is>
          <t>Street address or PO box</t>
        </is>
      </c>
      <c r="E403" s="15" t="inlineStr">
        <is>
          <t>Friends of Sam Adams; Friends of Vadim</t>
        </is>
      </c>
      <c r="F403" s="13" t="n">
        <v>2024</v>
      </c>
      <c r="G403" s="13" t="n">
        <v>1000</v>
      </c>
      <c r="H403" s="13" t="inlineStr">
        <is>
          <t>17629:5828918</t>
        </is>
      </c>
      <c r="I403" s="13" t="inlineStr">
        <is>
          <t>21632:4866937; 21632:4899434; 20340:5054033</t>
        </is>
      </c>
    </row>
    <row r="404">
      <c r="A404" s="13" t="inlineStr">
        <is>
          <t>Eric Zimmerman</t>
        </is>
      </c>
      <c r="B404" s="13" t="inlineStr">
        <is>
          <t>H055</t>
        </is>
      </c>
      <c r="C404" s="13" t="inlineStr">
        <is>
          <t>C125</t>
        </is>
      </c>
      <c r="D404" s="13" t="inlineStr">
        <is>
          <t>Street address or PO box</t>
        </is>
      </c>
      <c r="E404" s="15" t="inlineStr">
        <is>
          <t>Rene For Portland</t>
        </is>
      </c>
      <c r="F404" s="13" t="n">
        <v>2022</v>
      </c>
      <c r="G404" s="13" t="n">
        <v>250</v>
      </c>
      <c r="H404" s="13" t="inlineStr">
        <is>
          <t>17629:5778134; 17629:5005310</t>
        </is>
      </c>
      <c r="I404" s="13" t="inlineStr">
        <is>
          <t>21605:4248167</t>
        </is>
      </c>
    </row>
    <row r="405">
      <c r="A405" s="13" t="inlineStr">
        <is>
          <t>Eric Zimmerman</t>
        </is>
      </c>
      <c r="B405" s="13" t="inlineStr">
        <is>
          <t>H087</t>
        </is>
      </c>
      <c r="C405" s="13" t="inlineStr">
        <is>
          <t>C185</t>
        </is>
      </c>
      <c r="D405" s="13" t="inlineStr">
        <is>
          <t>Street address or PO box, ZIP + employer</t>
        </is>
      </c>
      <c r="E405" s="15" t="inlineStr">
        <is>
          <t>Friends of Pam Treece; Rene for Portland</t>
        </is>
      </c>
      <c r="F405" s="13" t="n">
        <v>2026</v>
      </c>
      <c r="G405" s="13" t="n">
        <v>500</v>
      </c>
      <c r="H405" s="13" t="inlineStr">
        <is>
          <t>17629:5852822</t>
        </is>
      </c>
      <c r="I405" s="13" t="inlineStr">
        <is>
          <t>21605:5042345; 18397:5803805</t>
        </is>
      </c>
    </row>
    <row r="406">
      <c r="A406" s="13" t="inlineStr">
        <is>
          <t>Eric Zimmerman</t>
        </is>
      </c>
      <c r="B406" s="13" t="inlineStr">
        <is>
          <t>P001</t>
        </is>
      </c>
      <c r="C406" s="13" t="inlineStr">
        <is>
          <t>C218</t>
        </is>
      </c>
      <c r="D406" s="13" t="inlineStr">
        <is>
          <t>Street address or PO box</t>
        </is>
      </c>
      <c r="E406" s="15" t="inlineStr">
        <is>
          <t>Friends of Sam Adams; Friends of Vadim; Portland Accountability PAC; Rene For Portland; Rene for Portland</t>
        </is>
      </c>
      <c r="F406" s="13" t="n">
        <v>2024</v>
      </c>
      <c r="G406" s="13" t="n">
        <v>13000</v>
      </c>
      <c r="H406" s="13" t="inlineStr">
        <is>
          <t>17629:5778126; 17629:5104664</t>
        </is>
      </c>
      <c r="I406" s="13" t="inlineStr">
        <is>
          <t>21632:3942402; 21605:4312451; 22544:4329715; 21605:4446798; 22544:4577120; 21605:4740724; 21632:4778204; 20340:4797897</t>
        </is>
      </c>
    </row>
    <row r="407">
      <c r="A407" s="13" t="inlineStr">
        <is>
          <t>Eric Zimmerman</t>
        </is>
      </c>
      <c r="B407" s="13" t="inlineStr">
        <is>
          <t>P005</t>
        </is>
      </c>
      <c r="C407" s="13" t="inlineStr">
        <is>
          <t>C308</t>
        </is>
      </c>
      <c r="D407" s="13" t="inlineStr">
        <is>
          <t>Street address or PO box</t>
        </is>
      </c>
      <c r="E407" s="15" t="inlineStr">
        <is>
          <t>Vote Vasquez</t>
        </is>
      </c>
      <c r="F407" s="13" t="n">
        <v>2024</v>
      </c>
      <c r="G407" s="13" t="n">
        <v>500</v>
      </c>
      <c r="H407" s="13" t="inlineStr">
        <is>
          <t>17629:5704628</t>
        </is>
      </c>
      <c r="I407" s="13" t="inlineStr">
        <is>
          <t>23012:4908855</t>
        </is>
      </c>
    </row>
    <row r="408">
      <c r="A408" s="13" t="inlineStr">
        <is>
          <t>Eric Zimmerman</t>
        </is>
      </c>
      <c r="B408" s="13" t="inlineStr">
        <is>
          <t>P016</t>
        </is>
      </c>
      <c r="C408" s="13" t="inlineStr">
        <is>
          <t>C003</t>
        </is>
      </c>
      <c r="D408" s="13" t="inlineStr">
        <is>
          <t>ZIP + employer</t>
        </is>
      </c>
      <c r="E408" s="15" t="inlineStr">
        <is>
          <t>Friends of Sam Adams; Friends of Vadim; Rene For Portland; Rene for Portland</t>
        </is>
      </c>
      <c r="F408" s="13" t="n">
        <v>2024</v>
      </c>
      <c r="G408" s="13" t="n">
        <v>2000</v>
      </c>
      <c r="H408" s="13" t="inlineStr">
        <is>
          <t>17629:5704564</t>
        </is>
      </c>
      <c r="I408" s="13" t="inlineStr">
        <is>
          <t>20340:3447890; 21632:3935289; 21632:3979739; 21605:4193373; 21632:4778206; 20340:4811670; 21605:4934433</t>
        </is>
      </c>
    </row>
    <row r="409">
      <c r="A409" s="13" t="inlineStr">
        <is>
          <t>Eric Zimmerman</t>
        </is>
      </c>
      <c r="B409" s="13" t="inlineStr">
        <is>
          <t>P023</t>
        </is>
      </c>
      <c r="C409" s="13" t="inlineStr">
        <is>
          <t>C084</t>
        </is>
      </c>
      <c r="D409" s="13" t="inlineStr">
        <is>
          <t>Street address or PO box</t>
        </is>
      </c>
      <c r="E409" s="15" t="inlineStr">
        <is>
          <t>Friends of Vadim; Rene For Portland; Rene for Portland</t>
        </is>
      </c>
      <c r="F409" s="13" t="n">
        <v>2024</v>
      </c>
      <c r="G409" s="13" t="n">
        <v>2000</v>
      </c>
      <c r="H409" s="13" t="inlineStr">
        <is>
          <t>17629:5704594; 17629:5127313</t>
        </is>
      </c>
      <c r="I409" s="13" t="inlineStr">
        <is>
          <t>21605:3976952; 21605:4179507; 21605:4446929; 21605:4748792; 21632:4778143; 21605:5078067</t>
        </is>
      </c>
    </row>
    <row r="410">
      <c r="A410" s="13" t="inlineStr">
        <is>
          <t>Eric Zimmerman</t>
        </is>
      </c>
      <c r="B410" s="13" t="inlineStr">
        <is>
          <t>P025</t>
        </is>
      </c>
      <c r="C410" s="13" t="inlineStr">
        <is>
          <t>C193</t>
        </is>
      </c>
      <c r="D410" s="13" t="inlineStr">
        <is>
          <t>Street address or PO box</t>
        </is>
      </c>
      <c r="E410" s="15" t="inlineStr">
        <is>
          <t>Friends of Sam Adams; Friends of Vadim; Rene For Portland</t>
        </is>
      </c>
      <c r="F410" s="13" t="n">
        <v>2024</v>
      </c>
      <c r="G410" s="13" t="n">
        <v>2000</v>
      </c>
      <c r="H410" s="13" t="inlineStr">
        <is>
          <t>17629:5813837</t>
        </is>
      </c>
      <c r="I410" s="13" t="inlineStr">
        <is>
          <t>21632:3881705; 21605:4222565; 21632:4899452; 21632:5050816; 20340:5054050</t>
        </is>
      </c>
    </row>
    <row r="411">
      <c r="A411" s="13" t="inlineStr">
        <is>
          <t>Eric Zimmerman</t>
        </is>
      </c>
      <c r="B411" s="13" t="inlineStr">
        <is>
          <t>P032</t>
        </is>
      </c>
      <c r="C411" s="13" t="inlineStr">
        <is>
          <t>C272</t>
        </is>
      </c>
      <c r="D411" s="13" t="inlineStr">
        <is>
          <t>Street address or PO box</t>
        </is>
      </c>
      <c r="E411" s="15" t="inlineStr">
        <is>
          <t>Portland Accountability PAC</t>
        </is>
      </c>
      <c r="F411" s="13" t="n">
        <v>2022</v>
      </c>
      <c r="G411" s="13" t="n">
        <v>500</v>
      </c>
      <c r="H411" s="13" t="inlineStr">
        <is>
          <t>17629:5778153</t>
        </is>
      </c>
      <c r="I411" s="13" t="inlineStr">
        <is>
          <t>22544:4353402</t>
        </is>
      </c>
    </row>
    <row r="412">
      <c r="A412" s="13" t="inlineStr">
        <is>
          <t>Eric Zimmerman</t>
        </is>
      </c>
      <c r="B412" s="13" t="inlineStr">
        <is>
          <t>P037</t>
        </is>
      </c>
      <c r="C412" s="13" t="inlineStr">
        <is>
          <t>C271</t>
        </is>
      </c>
      <c r="D412" s="13" t="inlineStr">
        <is>
          <t>Street address or PO box</t>
        </is>
      </c>
      <c r="E412" s="15" t="inlineStr">
        <is>
          <t>Portland Accountability PAC</t>
        </is>
      </c>
      <c r="F412" s="13" t="n">
        <v>2023</v>
      </c>
      <c r="G412" s="13" t="n">
        <v>15000</v>
      </c>
      <c r="H412" s="13" t="inlineStr">
        <is>
          <t>17629:5778103; 17629:5704591</t>
        </is>
      </c>
      <c r="I412" s="13" t="inlineStr">
        <is>
          <t>22544:4353399; 22544:4562711</t>
        </is>
      </c>
    </row>
    <row r="413">
      <c r="A413" s="13" t="inlineStr">
        <is>
          <t>Eric Zimmerman</t>
        </is>
      </c>
      <c r="B413" s="13" t="inlineStr">
        <is>
          <t>P041</t>
        </is>
      </c>
      <c r="C413" s="13" t="inlineStr">
        <is>
          <t>C202</t>
        </is>
      </c>
      <c r="D413" s="13" t="inlineStr">
        <is>
          <t>Street address or PO box</t>
        </is>
      </c>
      <c r="E413" s="15" t="inlineStr">
        <is>
          <t>Friends of Sam Adams; Friends of Vadim; Rene For Portland</t>
        </is>
      </c>
      <c r="F413" s="13" t="n">
        <v>2024</v>
      </c>
      <c r="G413" s="13" t="n">
        <v>2000</v>
      </c>
      <c r="H413" s="13" t="inlineStr">
        <is>
          <t>17629:5778129; 17629:5017067</t>
        </is>
      </c>
      <c r="I413" s="13" t="inlineStr">
        <is>
          <t>21632:3915644; 21605:4212669; 21632:4803656; 20340:4860435</t>
        </is>
      </c>
    </row>
    <row r="414">
      <c r="A414" s="13" t="inlineStr">
        <is>
          <t>Eric Zimmerman</t>
        </is>
      </c>
      <c r="B414" s="13" t="inlineStr">
        <is>
          <t>P050</t>
        </is>
      </c>
      <c r="C414" s="13" t="inlineStr">
        <is>
          <t>C241</t>
        </is>
      </c>
      <c r="D414" s="13" t="inlineStr">
        <is>
          <t>Street address or PO box</t>
        </is>
      </c>
      <c r="E414" s="15" t="inlineStr">
        <is>
          <t>Friends of Vadim</t>
        </is>
      </c>
      <c r="F414" s="13" t="n">
        <v>2022</v>
      </c>
      <c r="G414" s="13" t="n">
        <v>500</v>
      </c>
      <c r="H414" s="13" t="inlineStr">
        <is>
          <t>17629:5813822</t>
        </is>
      </c>
      <c r="I414" s="13" t="inlineStr">
        <is>
          <t>21632:4117135</t>
        </is>
      </c>
    </row>
    <row r="415">
      <c r="A415" s="13" t="inlineStr">
        <is>
          <t>Eric Zimmerman</t>
        </is>
      </c>
      <c r="B415" s="13" t="inlineStr">
        <is>
          <t>P051</t>
        </is>
      </c>
      <c r="C415" s="13" t="inlineStr">
        <is>
          <t>C227</t>
        </is>
      </c>
      <c r="D415" s="13" t="inlineStr">
        <is>
          <t>Street address or PO box</t>
        </is>
      </c>
      <c r="E415" s="15" t="inlineStr">
        <is>
          <t>Friends of Vadim; Rene For Portland</t>
        </is>
      </c>
      <c r="F415" s="13" t="n">
        <v>2022</v>
      </c>
      <c r="G415" s="13" t="n">
        <v>500</v>
      </c>
      <c r="H415" s="13" t="inlineStr">
        <is>
          <t>17629:5813842</t>
        </is>
      </c>
      <c r="I415" s="13" t="inlineStr">
        <is>
          <t>21632:4004678; 21605:4222777</t>
        </is>
      </c>
    </row>
    <row r="416">
      <c r="A416" s="13" t="inlineStr">
        <is>
          <t>Eric Zimmerman</t>
        </is>
      </c>
      <c r="B416" s="13" t="inlineStr">
        <is>
          <t>P052</t>
        </is>
      </c>
      <c r="C416" s="13" t="inlineStr">
        <is>
          <t>C087</t>
        </is>
      </c>
      <c r="D416" s="13" t="inlineStr">
        <is>
          <t>Street address or PO box</t>
        </is>
      </c>
      <c r="E416" s="15" t="inlineStr">
        <is>
          <t>Rene For Portland</t>
        </is>
      </c>
      <c r="F416" s="13" t="n">
        <v>2022</v>
      </c>
      <c r="G416" s="13" t="n">
        <v>250</v>
      </c>
      <c r="H416" s="13" t="inlineStr">
        <is>
          <t>17629:5814004</t>
        </is>
      </c>
      <c r="I416" s="13" t="inlineStr">
        <is>
          <t>21605:4008762; 21605:4235734</t>
        </is>
      </c>
    </row>
    <row r="417">
      <c r="A417" s="13" t="inlineStr">
        <is>
          <t>Eric Zimmerman</t>
        </is>
      </c>
      <c r="B417" s="13" t="inlineStr">
        <is>
          <t>P053</t>
        </is>
      </c>
      <c r="C417" s="13" t="inlineStr">
        <is>
          <t>C196</t>
        </is>
      </c>
      <c r="D417" s="13" t="inlineStr">
        <is>
          <t>Street address or PO box</t>
        </is>
      </c>
      <c r="E417" s="15" t="inlineStr">
        <is>
          <t>Friends of Vadim</t>
        </is>
      </c>
      <c r="F417" s="13" t="n">
        <v>2024</v>
      </c>
      <c r="G417" s="13" t="n">
        <v>500</v>
      </c>
      <c r="H417" s="13" t="inlineStr">
        <is>
          <t>17629:5813904; 17629:5747567</t>
        </is>
      </c>
      <c r="I417" s="13" t="inlineStr">
        <is>
          <t>21632:3885689; 21632:4818967; 21632:5050799</t>
        </is>
      </c>
    </row>
    <row r="418">
      <c r="A418" s="13" t="inlineStr">
        <is>
          <t>Eric Zimmerman</t>
        </is>
      </c>
      <c r="B418" s="13" t="inlineStr">
        <is>
          <t>P054</t>
        </is>
      </c>
      <c r="C418" s="13" t="inlineStr">
        <is>
          <t>C244</t>
        </is>
      </c>
      <c r="D418" s="13" t="inlineStr">
        <is>
          <t>Street address or PO box</t>
        </is>
      </c>
      <c r="E418" s="15" t="inlineStr">
        <is>
          <t>Friends of Vadim; Rene For Portland</t>
        </is>
      </c>
      <c r="F418" s="13" t="n">
        <v>2024</v>
      </c>
      <c r="G418" s="13" t="n">
        <v>750</v>
      </c>
      <c r="H418" s="13" t="inlineStr">
        <is>
          <t>17629:5852839</t>
        </is>
      </c>
      <c r="I418" s="13" t="inlineStr">
        <is>
          <t>21632:4131070; 21605:4211440; 21632:4855373; 21632:4866951</t>
        </is>
      </c>
    </row>
    <row r="419">
      <c r="A419" s="13" t="inlineStr">
        <is>
          <t>Eric Zimmerman</t>
        </is>
      </c>
      <c r="B419" s="13" t="inlineStr">
        <is>
          <t>P055</t>
        </is>
      </c>
      <c r="C419" s="13" t="inlineStr">
        <is>
          <t>C167</t>
        </is>
      </c>
      <c r="D419" s="13" t="inlineStr">
        <is>
          <t>Street address or PO box</t>
        </is>
      </c>
      <c r="E419" s="15" t="inlineStr">
        <is>
          <t>Friends of Sam Adams; Friends of Vadim; Rene for Portland</t>
        </is>
      </c>
      <c r="F419" s="13" t="n">
        <v>2024</v>
      </c>
      <c r="G419" s="13" t="n">
        <v>1000</v>
      </c>
      <c r="H419" s="13" t="inlineStr">
        <is>
          <t>17629:5813890; 17629:5017068</t>
        </is>
      </c>
      <c r="I419" s="13" t="inlineStr">
        <is>
          <t>21605:4717388; 21632:4818979; 20340:4860433</t>
        </is>
      </c>
    </row>
    <row r="420">
      <c r="A420" s="13" t="inlineStr">
        <is>
          <t>Eric Zimmerman</t>
        </is>
      </c>
      <c r="B420" s="13" t="inlineStr">
        <is>
          <t>P056</t>
        </is>
      </c>
      <c r="C420" s="13" t="inlineStr">
        <is>
          <t>C027</t>
        </is>
      </c>
      <c r="D420" s="13" t="inlineStr">
        <is>
          <t>Street address or PO box</t>
        </is>
      </c>
      <c r="E420" s="15" t="inlineStr">
        <is>
          <t>Rene for Portland; Vote Vasquez</t>
        </is>
      </c>
      <c r="F420" s="13" t="n">
        <v>2024</v>
      </c>
      <c r="G420" s="13" t="n">
        <v>250</v>
      </c>
      <c r="H420" s="13" t="inlineStr">
        <is>
          <t>17629:5828950; 17629:5679873; 17629:4790220</t>
        </is>
      </c>
      <c r="I420" s="13" t="inlineStr">
        <is>
          <t>23012:4760163; 23012:4891771; 21605:4934407</t>
        </is>
      </c>
    </row>
    <row r="421">
      <c r="A421" s="13" t="inlineStr">
        <is>
          <t>Eric Zimmerman</t>
        </is>
      </c>
      <c r="B421" s="13" t="inlineStr">
        <is>
          <t>P057</t>
        </is>
      </c>
      <c r="C421" s="13" t="inlineStr">
        <is>
          <t>C130</t>
        </is>
      </c>
      <c r="D421" s="13" t="inlineStr">
        <is>
          <t>Street address or PO box</t>
        </is>
      </c>
      <c r="E421" s="15" t="inlineStr">
        <is>
          <t>Friends of Vadim; Rene For Portland; Rene for Portland; Vote Vasquez</t>
        </is>
      </c>
      <c r="F421" s="13" t="n">
        <v>2024</v>
      </c>
      <c r="G421" s="13" t="n">
        <v>1000</v>
      </c>
      <c r="H421" s="13" t="inlineStr">
        <is>
          <t>17629:4818674</t>
        </is>
      </c>
      <c r="I421" s="13" t="inlineStr">
        <is>
          <t>21605:4255307; 23012:4619200; 23012:4663848; 21605:4717511; 21632:4778128</t>
        </is>
      </c>
    </row>
    <row r="422">
      <c r="A422" s="13" t="inlineStr">
        <is>
          <t>Eric Zimmerman</t>
        </is>
      </c>
      <c r="B422" s="13" t="inlineStr">
        <is>
          <t>P058</t>
        </is>
      </c>
      <c r="C422" s="13" t="inlineStr">
        <is>
          <t>C302</t>
        </is>
      </c>
      <c r="D422" s="13" t="inlineStr">
        <is>
          <t>Street address or PO box</t>
        </is>
      </c>
      <c r="E422" s="15" t="inlineStr">
        <is>
          <t>Vote Vasquez</t>
        </is>
      </c>
      <c r="F422" s="13" t="n">
        <v>2024</v>
      </c>
      <c r="G422" s="13" t="n">
        <v>250</v>
      </c>
      <c r="H422" s="13" t="inlineStr">
        <is>
          <t>17629:4870568</t>
        </is>
      </c>
      <c r="I422" s="13" t="inlineStr">
        <is>
          <t>23012:4856740</t>
        </is>
      </c>
    </row>
    <row r="423">
      <c r="A423" s="13" t="inlineStr">
        <is>
          <t>Eric Zimmerman</t>
        </is>
      </c>
      <c r="B423" s="13" t="inlineStr">
        <is>
          <t>P059</t>
        </is>
      </c>
      <c r="C423" s="13" t="inlineStr">
        <is>
          <t>C088</t>
        </is>
      </c>
      <c r="D423" s="13" t="inlineStr">
        <is>
          <t>Street address or PO box</t>
        </is>
      </c>
      <c r="E423" s="15" t="inlineStr">
        <is>
          <t>Rene For Portland</t>
        </is>
      </c>
      <c r="F423" s="13" t="n">
        <v>2022</v>
      </c>
      <c r="G423" s="13" t="n">
        <v>250</v>
      </c>
      <c r="H423" s="13" t="inlineStr">
        <is>
          <t>17629:4923851</t>
        </is>
      </c>
      <c r="I423" s="13" t="inlineStr">
        <is>
          <t>21605:4021261</t>
        </is>
      </c>
    </row>
    <row r="424">
      <c r="A424" s="13" t="inlineStr">
        <is>
          <t>Eric Zimmerman</t>
        </is>
      </c>
      <c r="B424" s="13" t="inlineStr">
        <is>
          <t>P060</t>
        </is>
      </c>
      <c r="C424" s="13" t="inlineStr">
        <is>
          <t>C181</t>
        </is>
      </c>
      <c r="D424" s="13" t="inlineStr">
        <is>
          <t>Street address or PO box</t>
        </is>
      </c>
      <c r="E424" s="15" t="inlineStr">
        <is>
          <t>Rene for Portland</t>
        </is>
      </c>
      <c r="F424" s="13" t="n">
        <v>2024</v>
      </c>
      <c r="G424" s="13" t="n">
        <v>250</v>
      </c>
      <c r="H424" s="13" t="inlineStr">
        <is>
          <t>17629:4949345</t>
        </is>
      </c>
      <c r="I424" s="13" t="inlineStr">
        <is>
          <t>21605:4943044</t>
        </is>
      </c>
    </row>
    <row r="425">
      <c r="A425" s="13" t="inlineStr">
        <is>
          <t>Eric Zimmerman</t>
        </is>
      </c>
      <c r="B425" s="13" t="inlineStr">
        <is>
          <t>P061</t>
        </is>
      </c>
      <c r="C425" s="13" t="inlineStr">
        <is>
          <t>C045</t>
        </is>
      </c>
      <c r="D425" s="13" t="inlineStr">
        <is>
          <t>Street address or PO box</t>
        </is>
      </c>
      <c r="E425" s="15" t="inlineStr">
        <is>
          <t>Friends of Sam Adams</t>
        </is>
      </c>
      <c r="F425" s="13" t="n">
        <v>2024</v>
      </c>
      <c r="G425" s="13" t="n">
        <v>250</v>
      </c>
      <c r="H425" s="13" t="inlineStr">
        <is>
          <t>17629:5834507; 17629:4968573</t>
        </is>
      </c>
      <c r="I425" s="13" t="inlineStr">
        <is>
          <t>20340:3447932; 20340:4869111</t>
        </is>
      </c>
    </row>
    <row r="426">
      <c r="A426" s="13" t="inlineStr">
        <is>
          <t>Eric Zimmerman</t>
        </is>
      </c>
      <c r="B426" s="13" t="inlineStr">
        <is>
          <t>P062</t>
        </is>
      </c>
      <c r="C426" s="13" t="inlineStr">
        <is>
          <t>C044</t>
        </is>
      </c>
      <c r="D426" s="13" t="inlineStr">
        <is>
          <t>Street address or PO box</t>
        </is>
      </c>
      <c r="E426" s="15" t="inlineStr">
        <is>
          <t>Friends of Sam Adams</t>
        </is>
      </c>
      <c r="F426" s="13" t="n">
        <v>2020</v>
      </c>
      <c r="G426" s="13" t="n">
        <v>250</v>
      </c>
      <c r="H426" s="13" t="inlineStr">
        <is>
          <t>17629:4968576</t>
        </is>
      </c>
      <c r="I426" s="13" t="inlineStr">
        <is>
          <t>20340:3447878</t>
        </is>
      </c>
    </row>
    <row r="427">
      <c r="A427" s="13" t="inlineStr">
        <is>
          <t>Eric Zimmerman</t>
        </is>
      </c>
      <c r="B427" s="13" t="inlineStr">
        <is>
          <t>P063</t>
        </is>
      </c>
      <c r="C427" s="13" t="inlineStr">
        <is>
          <t>C106</t>
        </is>
      </c>
      <c r="D427" s="13" t="inlineStr">
        <is>
          <t>Street address or PO box</t>
        </is>
      </c>
      <c r="E427" s="15" t="inlineStr">
        <is>
          <t>Friends of Sam Adams; Friends of Vadim; Portland Accountability PAC; Rene For Portland; Rene for Portland</t>
        </is>
      </c>
      <c r="F427" s="13" t="n">
        <v>2024</v>
      </c>
      <c r="G427" s="13" t="n">
        <v>2000</v>
      </c>
      <c r="H427" s="13" t="inlineStr">
        <is>
          <t>17629:5778109; 17629:4968583</t>
        </is>
      </c>
      <c r="I427" s="13" t="inlineStr">
        <is>
          <t>21605:4193291; 22544:4374765; 21605:4740730; 21632:4818941; 20340:4834958</t>
        </is>
      </c>
    </row>
    <row r="428">
      <c r="A428" s="13" t="inlineStr">
        <is>
          <t>Eric Zimmerman</t>
        </is>
      </c>
      <c r="B428" s="13" t="inlineStr">
        <is>
          <t>P064</t>
        </is>
      </c>
      <c r="C428" s="13" t="inlineStr">
        <is>
          <t>C276</t>
        </is>
      </c>
      <c r="D428" s="13" t="inlineStr">
        <is>
          <t>Street address or PO box</t>
        </is>
      </c>
      <c r="E428" s="15" t="inlineStr">
        <is>
          <t>Friends of Sam Adams; Friends of Vadim; Portland Accountability PAC; Rene for Portland; Vote Vasquez</t>
        </is>
      </c>
      <c r="F428" s="13" t="n">
        <v>2024</v>
      </c>
      <c r="G428" s="13" t="n">
        <v>26000</v>
      </c>
      <c r="H428" s="13" t="inlineStr">
        <is>
          <t>17629:5679894; 17629:4968585</t>
        </is>
      </c>
      <c r="I428" s="13" t="inlineStr">
        <is>
          <t>22544:4364852; 23012:4687586; 21605:4721981; 21632:4778139; 20340:4811686; 23012:4885527</t>
        </is>
      </c>
    </row>
    <row r="429">
      <c r="A429" s="13" t="inlineStr">
        <is>
          <t>Eric Zimmerman</t>
        </is>
      </c>
      <c r="B429" s="13" t="inlineStr">
        <is>
          <t>P065</t>
        </is>
      </c>
      <c r="C429" s="13" t="inlineStr">
        <is>
          <t>C249</t>
        </is>
      </c>
      <c r="D429" s="13" t="inlineStr">
        <is>
          <t>Street address or PO box</t>
        </is>
      </c>
      <c r="E429" s="15" t="inlineStr">
        <is>
          <t>Friends of Vadim</t>
        </is>
      </c>
      <c r="F429" s="13" t="n">
        <v>2024</v>
      </c>
      <c r="G429" s="13" t="n">
        <v>500</v>
      </c>
      <c r="H429" s="13" t="inlineStr">
        <is>
          <t>17629:4968586</t>
        </is>
      </c>
      <c r="I429" s="13" t="inlineStr">
        <is>
          <t>21632:4778136</t>
        </is>
      </c>
    </row>
    <row r="430">
      <c r="A430" s="13" t="inlineStr">
        <is>
          <t>Eric Zimmerman</t>
        </is>
      </c>
      <c r="B430" s="13" t="inlineStr">
        <is>
          <t>P066</t>
        </is>
      </c>
      <c r="C430" s="13" t="inlineStr">
        <is>
          <t>C148</t>
        </is>
      </c>
      <c r="D430" s="13" t="inlineStr">
        <is>
          <t>Street address or PO box</t>
        </is>
      </c>
      <c r="E430" s="15" t="inlineStr">
        <is>
          <t>Rene For Portland; Rene for Portland</t>
        </is>
      </c>
      <c r="F430" s="13" t="n">
        <v>2024</v>
      </c>
      <c r="G430" s="13" t="n">
        <v>750</v>
      </c>
      <c r="H430" s="13" t="inlineStr">
        <is>
          <t>17629:5704590; 17629:4968604</t>
        </is>
      </c>
      <c r="I430" s="13" t="inlineStr">
        <is>
          <t>21605:4328876; 21605:4446853; 21605:4824151</t>
        </is>
      </c>
    </row>
    <row r="431">
      <c r="A431" s="13" t="inlineStr">
        <is>
          <t>Eric Zimmerman</t>
        </is>
      </c>
      <c r="B431" s="13" t="inlineStr">
        <is>
          <t>P067</t>
        </is>
      </c>
      <c r="C431" s="13" t="inlineStr">
        <is>
          <t>C026</t>
        </is>
      </c>
      <c r="D431" s="13" t="inlineStr">
        <is>
          <t>Street address or PO box</t>
        </is>
      </c>
      <c r="E431" s="15" t="inlineStr">
        <is>
          <t>Friends of Sam Adams</t>
        </is>
      </c>
      <c r="F431" s="13" t="n">
        <v>2024</v>
      </c>
      <c r="G431" s="13" t="n">
        <v>6000</v>
      </c>
      <c r="H431" s="13" t="inlineStr">
        <is>
          <t>17629:4993329</t>
        </is>
      </c>
      <c r="I431" s="13" t="inlineStr">
        <is>
          <t>20340:3361921; 20340:3361922; 20340:3375764; 20340:3442714; 20340:4797835</t>
        </is>
      </c>
    </row>
    <row r="432">
      <c r="A432" s="13" t="inlineStr">
        <is>
          <t>Eric Zimmerman</t>
        </is>
      </c>
      <c r="B432" s="13" t="inlineStr">
        <is>
          <t>P068</t>
        </is>
      </c>
      <c r="C432" s="13" t="inlineStr">
        <is>
          <t>C223</t>
        </is>
      </c>
      <c r="D432" s="13" t="inlineStr">
        <is>
          <t>Street address or PO box</t>
        </is>
      </c>
      <c r="E432" s="15" t="inlineStr">
        <is>
          <t>Friends of Vadim; Rene For Portland</t>
        </is>
      </c>
      <c r="F432" s="13" t="n">
        <v>2022</v>
      </c>
      <c r="G432" s="13" t="n">
        <v>250</v>
      </c>
      <c r="H432" s="13" t="inlineStr">
        <is>
          <t>17629:4993337; 17629:4993336</t>
        </is>
      </c>
      <c r="I432" s="13" t="inlineStr">
        <is>
          <t>21632:3966928; 21632:3966929; 21605:4237899</t>
        </is>
      </c>
    </row>
    <row r="433">
      <c r="A433" s="13" t="inlineStr">
        <is>
          <t>Eric Zimmerman</t>
        </is>
      </c>
      <c r="B433" s="13" t="inlineStr">
        <is>
          <t>P069</t>
        </is>
      </c>
      <c r="C433" s="13" t="inlineStr">
        <is>
          <t>C194</t>
        </is>
      </c>
      <c r="D433" s="13" t="inlineStr">
        <is>
          <t>Street address or PO box</t>
        </is>
      </c>
      <c r="E433" s="15" t="inlineStr">
        <is>
          <t>Friends of Vadim; Rene For Portland; Rene for Portland; Vote Vasquez</t>
        </is>
      </c>
      <c r="F433" s="13" t="n">
        <v>2024</v>
      </c>
      <c r="G433" s="13" t="n">
        <v>2000</v>
      </c>
      <c r="H433" s="13" t="inlineStr">
        <is>
          <t>17629:4993343</t>
        </is>
      </c>
      <c r="I433" s="13" t="inlineStr">
        <is>
          <t>21632:3881707; 21605:4133389; 21605:4230826; 23012:4823232; 21605:4877550; 23012:4913236; 21605:4936327; 21605:5090055; 21632:5107361</t>
        </is>
      </c>
    </row>
    <row r="434">
      <c r="A434" s="13" t="inlineStr">
        <is>
          <t>Eric Zimmerman</t>
        </is>
      </c>
      <c r="B434" s="13" t="inlineStr">
        <is>
          <t>P070</t>
        </is>
      </c>
      <c r="C434" s="13" t="inlineStr">
        <is>
          <t>C132</t>
        </is>
      </c>
      <c r="D434" s="13" t="inlineStr">
        <is>
          <t>Street address or PO box</t>
        </is>
      </c>
      <c r="E434" s="15" t="inlineStr">
        <is>
          <t>Rene For Portland</t>
        </is>
      </c>
      <c r="F434" s="13" t="n">
        <v>2022</v>
      </c>
      <c r="G434" s="13" t="n">
        <v>250</v>
      </c>
      <c r="H434" s="13" t="inlineStr">
        <is>
          <t>17629:5868408; 17629:4994603</t>
        </is>
      </c>
      <c r="I434" s="13" t="inlineStr">
        <is>
          <t>21605:4258920</t>
        </is>
      </c>
    </row>
    <row r="435">
      <c r="A435" s="13" t="inlineStr">
        <is>
          <t>Eric Zimmerman</t>
        </is>
      </c>
      <c r="B435" s="13" t="inlineStr">
        <is>
          <t>P070</t>
        </is>
      </c>
      <c r="C435" s="13" t="inlineStr">
        <is>
          <t>C192</t>
        </is>
      </c>
      <c r="D435" s="13" t="inlineStr">
        <is>
          <t>Street address or PO box</t>
        </is>
      </c>
      <c r="E435" s="15" t="inlineStr">
        <is>
          <t>Friends of Sam Adams; Friends of Vadim; Rene For Portland</t>
        </is>
      </c>
      <c r="F435" s="13" t="n">
        <v>2024</v>
      </c>
      <c r="G435" s="13" t="n">
        <v>1000</v>
      </c>
      <c r="H435" s="13" t="inlineStr">
        <is>
          <t>17629:5679865; 17629:4993429</t>
        </is>
      </c>
      <c r="I435" s="13" t="inlineStr">
        <is>
          <t>21632:3881696; 21605:4258919; 21632:4778183; 20340:4811694</t>
        </is>
      </c>
    </row>
    <row r="436">
      <c r="A436" s="13" t="inlineStr">
        <is>
          <t>Eric Zimmerman</t>
        </is>
      </c>
      <c r="B436" s="13" t="inlineStr">
        <is>
          <t>P071</t>
        </is>
      </c>
      <c r="C436" s="13" t="inlineStr">
        <is>
          <t>C153</t>
        </is>
      </c>
      <c r="D436" s="13" t="inlineStr">
        <is>
          <t>Street address or PO box</t>
        </is>
      </c>
      <c r="E436" s="15" t="inlineStr">
        <is>
          <t>Rene For Portland</t>
        </is>
      </c>
      <c r="F436" s="13" t="n">
        <v>2022</v>
      </c>
      <c r="G436" s="13" t="n">
        <v>250</v>
      </c>
      <c r="H436" s="13" t="inlineStr">
        <is>
          <t>17629:5852825; 17629:5000832</t>
        </is>
      </c>
      <c r="I436" s="13" t="inlineStr">
        <is>
          <t>21605:4343924</t>
        </is>
      </c>
    </row>
    <row r="437">
      <c r="A437" s="13" t="inlineStr">
        <is>
          <t>Eric Zimmerman</t>
        </is>
      </c>
      <c r="B437" s="13" t="inlineStr">
        <is>
          <t>P072</t>
        </is>
      </c>
      <c r="C437" s="13" t="inlineStr">
        <is>
          <t>C224</t>
        </is>
      </c>
      <c r="D437" s="13" t="inlineStr">
        <is>
          <t>Street address or PO box</t>
        </is>
      </c>
      <c r="E437" s="15" t="inlineStr">
        <is>
          <t>Friends of Sam Adams; Friends of Vadim; Rene For Portland; Rene for Portland</t>
        </is>
      </c>
      <c r="F437" s="13" t="n">
        <v>2024</v>
      </c>
      <c r="G437" s="13" t="n">
        <v>2000</v>
      </c>
      <c r="H437" s="13" t="inlineStr">
        <is>
          <t>17629:5834512; 17629:5005301</t>
        </is>
      </c>
      <c r="I437" s="13" t="inlineStr">
        <is>
          <t>21632:3966956; 21605:4328740; 20340:4822158; 21632:4818991; 21605:4824153</t>
        </is>
      </c>
    </row>
    <row r="438">
      <c r="A438" s="13" t="inlineStr">
        <is>
          <t>Eric Zimmerman</t>
        </is>
      </c>
      <c r="B438" s="13" t="inlineStr">
        <is>
          <t>P073</t>
        </is>
      </c>
      <c r="C438" s="13" t="inlineStr">
        <is>
          <t>C104</t>
        </is>
      </c>
      <c r="D438" s="13" t="inlineStr">
        <is>
          <t>Street address or PO box</t>
        </is>
      </c>
      <c r="E438" s="15" t="inlineStr">
        <is>
          <t>Rene For Portland; Rene for Portland</t>
        </is>
      </c>
      <c r="F438" s="13" t="n">
        <v>2024</v>
      </c>
      <c r="G438" s="13" t="n">
        <v>1000</v>
      </c>
      <c r="H438" s="13" t="inlineStr">
        <is>
          <t>17629:5005308</t>
        </is>
      </c>
      <c r="I438" s="13" t="inlineStr">
        <is>
          <t>21605:4179343; 21605:4202418; 21605:4446854; 21605:4824136</t>
        </is>
      </c>
    </row>
    <row r="439">
      <c r="A439" s="13" t="inlineStr">
        <is>
          <t>Eric Zimmerman</t>
        </is>
      </c>
      <c r="B439" s="13" t="inlineStr">
        <is>
          <t>P074</t>
        </is>
      </c>
      <c r="C439" s="13" t="inlineStr">
        <is>
          <t>C163</t>
        </is>
      </c>
      <c r="D439" s="13" t="inlineStr">
        <is>
          <t>Street address or PO box</t>
        </is>
      </c>
      <c r="E439" s="15" t="inlineStr">
        <is>
          <t>Rene For Portland</t>
        </is>
      </c>
      <c r="F439" s="13" t="n">
        <v>2022</v>
      </c>
      <c r="G439" s="13" t="n">
        <v>250</v>
      </c>
      <c r="H439" s="13" t="inlineStr">
        <is>
          <t>17629:5017061</t>
        </is>
      </c>
      <c r="I439" s="13" t="inlineStr">
        <is>
          <t>21605:4448376</t>
        </is>
      </c>
    </row>
    <row r="440">
      <c r="A440" s="13" t="inlineStr">
        <is>
          <t>Eric Zimmerman</t>
        </is>
      </c>
      <c r="B440" s="13" t="inlineStr">
        <is>
          <t>P075</t>
        </is>
      </c>
      <c r="C440" s="13" t="inlineStr">
        <is>
          <t>C060</t>
        </is>
      </c>
      <c r="D440" s="13" t="inlineStr">
        <is>
          <t>Street address or PO box</t>
        </is>
      </c>
      <c r="E440" s="15" t="inlineStr">
        <is>
          <t>Friends of Sam Adams</t>
        </is>
      </c>
      <c r="F440" s="13" t="n">
        <v>2024</v>
      </c>
      <c r="G440" s="13" t="n">
        <v>500</v>
      </c>
      <c r="H440" s="13" t="inlineStr">
        <is>
          <t>17629:5813891; 17629:5017066</t>
        </is>
      </c>
      <c r="I440" s="13" t="inlineStr">
        <is>
          <t>20340:4877682</t>
        </is>
      </c>
    </row>
    <row r="441">
      <c r="A441" s="13" t="inlineStr">
        <is>
          <t>Eric Zimmerman</t>
        </is>
      </c>
      <c r="B441" s="13" t="inlineStr">
        <is>
          <t>P076</t>
        </is>
      </c>
      <c r="C441" s="13" t="inlineStr">
        <is>
          <t>C138</t>
        </is>
      </c>
      <c r="D441" s="13" t="inlineStr">
        <is>
          <t>Street address or PO box</t>
        </is>
      </c>
      <c r="E441" s="15" t="inlineStr">
        <is>
          <t>Rene For Portland</t>
        </is>
      </c>
      <c r="F441" s="13" t="n">
        <v>2022</v>
      </c>
      <c r="G441" s="13" t="n">
        <v>250</v>
      </c>
      <c r="H441" s="13" t="inlineStr">
        <is>
          <t>17629:5051345</t>
        </is>
      </c>
      <c r="I441" s="13" t="inlineStr">
        <is>
          <t>21605:4296471; 21605:4446887</t>
        </is>
      </c>
    </row>
    <row r="442">
      <c r="A442" s="13" t="inlineStr">
        <is>
          <t>Eric Zimmerman</t>
        </is>
      </c>
      <c r="B442" s="13" t="inlineStr">
        <is>
          <t>P077</t>
        </is>
      </c>
      <c r="C442" s="13" t="inlineStr">
        <is>
          <t>C072</t>
        </is>
      </c>
      <c r="D442" s="13" t="inlineStr">
        <is>
          <t>Street address or PO box</t>
        </is>
      </c>
      <c r="E442" s="15" t="inlineStr">
        <is>
          <t>Friends of Pam Treece; Friends of Sam Adams</t>
        </is>
      </c>
      <c r="F442" s="13" t="n">
        <v>2026</v>
      </c>
      <c r="G442" s="13" t="n">
        <v>250</v>
      </c>
      <c r="H442" s="13" t="inlineStr">
        <is>
          <t>17629:5087768</t>
        </is>
      </c>
      <c r="I442" s="13" t="inlineStr">
        <is>
          <t>20340:5106989; 18397:5625567</t>
        </is>
      </c>
    </row>
    <row r="443">
      <c r="A443" s="13" t="inlineStr">
        <is>
          <t>Eric Zimmerman</t>
        </is>
      </c>
      <c r="B443" s="13" t="inlineStr">
        <is>
          <t>P078</t>
        </is>
      </c>
      <c r="C443" s="13" t="inlineStr">
        <is>
          <t>C182</t>
        </is>
      </c>
      <c r="D443" s="13" t="inlineStr">
        <is>
          <t>Street address or PO box</t>
        </is>
      </c>
      <c r="E443" s="15" t="inlineStr">
        <is>
          <t>Friends of Rene Gonzalez; Rene for Portland</t>
        </is>
      </c>
      <c r="F443" s="13" t="n">
        <v>2024</v>
      </c>
      <c r="G443" s="13" t="n">
        <v>250</v>
      </c>
      <c r="H443" s="13" t="inlineStr">
        <is>
          <t>17629:5127308</t>
        </is>
      </c>
      <c r="I443" s="13" t="inlineStr">
        <is>
          <t>21605:4951685; 21605:4993183; 21605:5003776; 21605:5042382; 21605:5042381; 21605:5102285; 21605:5115437; 21605:5148246; 21605:5186879</t>
        </is>
      </c>
    </row>
    <row r="444">
      <c r="A444" s="13" t="inlineStr">
        <is>
          <t>Eric Zimmerman</t>
        </is>
      </c>
      <c r="B444" s="13" t="inlineStr">
        <is>
          <t>P079</t>
        </is>
      </c>
      <c r="C444" s="13" t="inlineStr">
        <is>
          <t>C049</t>
        </is>
      </c>
      <c r="D444" s="13" t="inlineStr">
        <is>
          <t>Street address or PO box</t>
        </is>
      </c>
      <c r="E444" s="15" t="inlineStr">
        <is>
          <t>Friends of Sam Adams</t>
        </is>
      </c>
      <c r="F444" s="13" t="n">
        <v>2024</v>
      </c>
      <c r="G444" s="13" t="n">
        <v>250</v>
      </c>
      <c r="H444" s="13" t="inlineStr">
        <is>
          <t>17629:5651880; 17629:5562813; 17629:5127309</t>
        </is>
      </c>
      <c r="I444" s="13" t="inlineStr">
        <is>
          <t>20340:4797903</t>
        </is>
      </c>
    </row>
    <row r="445">
      <c r="A445" s="13" t="inlineStr">
        <is>
          <t>Eric Zimmerman</t>
        </is>
      </c>
      <c r="B445" s="13" t="inlineStr">
        <is>
          <t>P080</t>
        </is>
      </c>
      <c r="C445" s="13" t="inlineStr">
        <is>
          <t>C091</t>
        </is>
      </c>
      <c r="D445" s="13" t="inlineStr">
        <is>
          <t>ZIP + employer</t>
        </is>
      </c>
      <c r="E445" s="15" t="inlineStr">
        <is>
          <t>Vote Vasquez</t>
        </is>
      </c>
      <c r="F445" s="13" t="n">
        <v>2024</v>
      </c>
      <c r="G445" s="13" t="n">
        <v>1000</v>
      </c>
      <c r="H445" s="13" t="inlineStr">
        <is>
          <t>17629:5598547</t>
        </is>
      </c>
      <c r="I445" s="13" t="inlineStr">
        <is>
          <t>23012:4871696; 23012:4885468</t>
        </is>
      </c>
    </row>
    <row r="446">
      <c r="A446" s="13" t="inlineStr">
        <is>
          <t>Eric Zimmerman</t>
        </is>
      </c>
      <c r="B446" s="13" t="inlineStr">
        <is>
          <t>P081</t>
        </is>
      </c>
      <c r="C446" s="13" t="inlineStr">
        <is>
          <t>C015</t>
        </is>
      </c>
      <c r="D446" s="13" t="inlineStr">
        <is>
          <t>Street address or PO box</t>
        </is>
      </c>
      <c r="E446" s="15" t="inlineStr">
        <is>
          <t>Friends of Pam Treece</t>
        </is>
      </c>
      <c r="F446" s="13" t="n">
        <v>2025</v>
      </c>
      <c r="G446" s="13" t="n">
        <v>500</v>
      </c>
      <c r="H446" s="13" t="inlineStr">
        <is>
          <t>17629:5598566</t>
        </is>
      </c>
      <c r="I446" s="13" t="inlineStr">
        <is>
          <t>18397:5387397</t>
        </is>
      </c>
    </row>
    <row r="447">
      <c r="A447" s="13" t="inlineStr">
        <is>
          <t>Eric Zimmerman</t>
        </is>
      </c>
      <c r="B447" s="13" t="inlineStr">
        <is>
          <t>P082</t>
        </is>
      </c>
      <c r="C447" s="13" t="inlineStr">
        <is>
          <t>C197</t>
        </is>
      </c>
      <c r="D447" s="13" t="inlineStr">
        <is>
          <t>Street address or PO box</t>
        </is>
      </c>
      <c r="E447" s="15" t="inlineStr">
        <is>
          <t>Friends of Vadim</t>
        </is>
      </c>
      <c r="F447" s="13" t="n">
        <v>2021</v>
      </c>
      <c r="G447" s="13" t="n">
        <v>250</v>
      </c>
      <c r="H447" s="13" t="inlineStr">
        <is>
          <t>17629:5651885</t>
        </is>
      </c>
      <c r="I447" s="13" t="inlineStr">
        <is>
          <t>21632:3885830</t>
        </is>
      </c>
    </row>
    <row r="448">
      <c r="A448" s="13" t="inlineStr">
        <is>
          <t>Eric Zimmerman</t>
        </is>
      </c>
      <c r="B448" s="13" t="inlineStr">
        <is>
          <t>P083</t>
        </is>
      </c>
      <c r="C448" s="13" t="inlineStr">
        <is>
          <t>C083</t>
        </is>
      </c>
      <c r="D448" s="13" t="inlineStr">
        <is>
          <t>Street address or PO box</t>
        </is>
      </c>
      <c r="E448" s="15" t="inlineStr">
        <is>
          <t>Rene For Portland; Rene for Portland</t>
        </is>
      </c>
      <c r="F448" s="13" t="n">
        <v>2023</v>
      </c>
      <c r="G448" s="13" t="n">
        <v>750</v>
      </c>
      <c r="H448" s="13" t="inlineStr">
        <is>
          <t>17629:5828807; 17629:5651890</t>
        </is>
      </c>
      <c r="I448" s="13" t="inlineStr">
        <is>
          <t>21605:3963825; 21605:4193363; 21605:4717573</t>
        </is>
      </c>
    </row>
    <row r="449">
      <c r="A449" s="13" t="inlineStr">
        <is>
          <t>Eric Zimmerman</t>
        </is>
      </c>
      <c r="B449" s="13" t="inlineStr">
        <is>
          <t>P083</t>
        </is>
      </c>
      <c r="C449" s="13" t="inlineStr">
        <is>
          <t>C108</t>
        </is>
      </c>
      <c r="D449" s="13" t="inlineStr">
        <is>
          <t>Street address or PO box</t>
        </is>
      </c>
      <c r="E449" s="15" t="inlineStr">
        <is>
          <t>Rene For Portland</t>
        </is>
      </c>
      <c r="F449" s="13" t="n">
        <v>2022</v>
      </c>
      <c r="G449" s="13" t="n">
        <v>250</v>
      </c>
      <c r="H449" s="13" t="inlineStr">
        <is>
          <t>17629:5828796; 17629:5651889</t>
        </is>
      </c>
      <c r="I449" s="13" t="inlineStr">
        <is>
          <t>21605:4193368</t>
        </is>
      </c>
    </row>
    <row r="450">
      <c r="A450" s="13" t="inlineStr">
        <is>
          <t>Eric Zimmerman</t>
        </is>
      </c>
      <c r="B450" s="13" t="inlineStr">
        <is>
          <t>P084</t>
        </is>
      </c>
      <c r="C450" s="13" t="inlineStr">
        <is>
          <t>C095</t>
        </is>
      </c>
      <c r="D450" s="13" t="inlineStr">
        <is>
          <t>Street address or PO box</t>
        </is>
      </c>
      <c r="E450" s="15" t="inlineStr">
        <is>
          <t>Rene For Portland; Rene for Portland</t>
        </is>
      </c>
      <c r="F450" s="13" t="n">
        <v>2024</v>
      </c>
      <c r="G450" s="13" t="n">
        <v>500</v>
      </c>
      <c r="H450" s="13" t="inlineStr">
        <is>
          <t>17629:5651918</t>
        </is>
      </c>
      <c r="I450" s="13" t="inlineStr">
        <is>
          <t>21605:4100721; 21605:4310167; 21605:4936324</t>
        </is>
      </c>
    </row>
    <row r="451">
      <c r="A451" s="13" t="inlineStr">
        <is>
          <t>Eric Zimmerman</t>
        </is>
      </c>
      <c r="B451" s="13" t="inlineStr">
        <is>
          <t>P085</t>
        </is>
      </c>
      <c r="C451" s="13" t="inlineStr">
        <is>
          <t>C019</t>
        </is>
      </c>
      <c r="D451" s="13" t="inlineStr">
        <is>
          <t>Street address or PO box</t>
        </is>
      </c>
      <c r="E451" s="15" t="inlineStr">
        <is>
          <t>Friends of Pam Treece</t>
        </is>
      </c>
      <c r="F451" s="13" t="n">
        <v>2026</v>
      </c>
      <c r="G451" s="13" t="n">
        <v>250</v>
      </c>
      <c r="H451" s="13" t="inlineStr">
        <is>
          <t>17629:5679851</t>
        </is>
      </c>
      <c r="I451" s="13" t="inlineStr">
        <is>
          <t>18397:5586492</t>
        </is>
      </c>
    </row>
    <row r="452">
      <c r="A452" s="13" t="inlineStr">
        <is>
          <t>Eric Zimmerman</t>
        </is>
      </c>
      <c r="B452" s="13" t="inlineStr">
        <is>
          <t>P086</t>
        </is>
      </c>
      <c r="C452" s="13" t="inlineStr">
        <is>
          <t>C131</t>
        </is>
      </c>
      <c r="D452" s="13" t="inlineStr">
        <is>
          <t>Street address or PO box</t>
        </is>
      </c>
      <c r="E452" s="15" t="inlineStr">
        <is>
          <t>Friends of Sam Adams; Friends of Vadim; Rene For Portland</t>
        </is>
      </c>
      <c r="F452" s="13" t="n">
        <v>2024</v>
      </c>
      <c r="G452" s="13" t="n">
        <v>1000</v>
      </c>
      <c r="H452" s="13" t="inlineStr">
        <is>
          <t>17629:5679866</t>
        </is>
      </c>
      <c r="I452" s="13" t="inlineStr">
        <is>
          <t>21605:4255312; 21632:4855378; 20340:4858174</t>
        </is>
      </c>
    </row>
    <row r="453">
      <c r="A453" s="13" t="inlineStr">
        <is>
          <t>Eric Zimmerman</t>
        </is>
      </c>
      <c r="B453" s="13" t="inlineStr">
        <is>
          <t>P087</t>
        </is>
      </c>
      <c r="C453" s="13" t="inlineStr">
        <is>
          <t>C160</t>
        </is>
      </c>
      <c r="D453" s="13" t="inlineStr">
        <is>
          <t>Street address or PO box</t>
        </is>
      </c>
      <c r="E453" s="15" t="inlineStr">
        <is>
          <t>Rene For Portland</t>
        </is>
      </c>
      <c r="F453" s="13" t="n">
        <v>2022</v>
      </c>
      <c r="G453" s="13" t="n">
        <v>250</v>
      </c>
      <c r="H453" s="13" t="inlineStr">
        <is>
          <t>17629:5679869</t>
        </is>
      </c>
      <c r="I453" s="13" t="inlineStr">
        <is>
          <t>21605:4446832</t>
        </is>
      </c>
    </row>
    <row r="454">
      <c r="A454" s="13" t="inlineStr">
        <is>
          <t>Eric Zimmerman</t>
        </is>
      </c>
      <c r="B454" s="13" t="inlineStr">
        <is>
          <t>P088</t>
        </is>
      </c>
      <c r="C454" s="13" t="inlineStr">
        <is>
          <t>C207</t>
        </is>
      </c>
      <c r="D454" s="13" t="inlineStr">
        <is>
          <t>Street address or PO box</t>
        </is>
      </c>
      <c r="E454" s="15" t="inlineStr">
        <is>
          <t>Friends of Vadim</t>
        </is>
      </c>
      <c r="F454" s="13" t="n">
        <v>2021</v>
      </c>
      <c r="G454" s="13" t="n">
        <v>250</v>
      </c>
      <c r="H454" s="13" t="inlineStr">
        <is>
          <t>17629:5679886</t>
        </is>
      </c>
      <c r="I454" s="13" t="inlineStr">
        <is>
          <t>21632:3935163</t>
        </is>
      </c>
    </row>
    <row r="455">
      <c r="A455" s="13" t="inlineStr">
        <is>
          <t>Eric Zimmerman</t>
        </is>
      </c>
      <c r="B455" s="13" t="inlineStr">
        <is>
          <t>P089</t>
        </is>
      </c>
      <c r="C455" s="13" t="inlineStr">
        <is>
          <t>C266</t>
        </is>
      </c>
      <c r="D455" s="13" t="inlineStr">
        <is>
          <t>Street address or PO box</t>
        </is>
      </c>
      <c r="E455" s="15" t="inlineStr">
        <is>
          <t>Friends of Sam Adams; Friends of Vadim</t>
        </is>
      </c>
      <c r="F455" s="13" t="n">
        <v>2024</v>
      </c>
      <c r="G455" s="13" t="n">
        <v>500</v>
      </c>
      <c r="H455" s="13" t="inlineStr">
        <is>
          <t>17629:5704567; 17629:5704595</t>
        </is>
      </c>
      <c r="I455" s="13" t="inlineStr">
        <is>
          <t>21632:5012914; 20340:5029350</t>
        </is>
      </c>
    </row>
    <row r="456">
      <c r="A456" s="13" t="inlineStr">
        <is>
          <t>Eric Zimmerman</t>
        </is>
      </c>
      <c r="B456" s="13" t="inlineStr">
        <is>
          <t>P090</t>
        </is>
      </c>
      <c r="C456" s="13" t="inlineStr">
        <is>
          <t>C152</t>
        </is>
      </c>
      <c r="D456" s="13" t="inlineStr">
        <is>
          <t>Street address or PO box</t>
        </is>
      </c>
      <c r="E456" s="15" t="inlineStr">
        <is>
          <t>Rene For Portland; Rene for Portland</t>
        </is>
      </c>
      <c r="F456" s="13" t="n">
        <v>2023</v>
      </c>
      <c r="G456" s="13" t="n">
        <v>500</v>
      </c>
      <c r="H456" s="13" t="inlineStr">
        <is>
          <t>17629:5704568</t>
        </is>
      </c>
      <c r="I456" s="13" t="inlineStr">
        <is>
          <t>21605:4337183; 21605:4725594</t>
        </is>
      </c>
    </row>
    <row r="457">
      <c r="A457" s="13" t="inlineStr">
        <is>
          <t>Eric Zimmerman</t>
        </is>
      </c>
      <c r="B457" s="13" t="inlineStr">
        <is>
          <t>P091</t>
        </is>
      </c>
      <c r="C457" s="13" t="inlineStr">
        <is>
          <t>C096</t>
        </is>
      </c>
      <c r="D457" s="13" t="inlineStr">
        <is>
          <t>Street address or PO box</t>
        </is>
      </c>
      <c r="E457" s="15" t="inlineStr">
        <is>
          <t>Friends of Vadim; Rene For Portland</t>
        </is>
      </c>
      <c r="F457" s="13" t="n">
        <v>2024</v>
      </c>
      <c r="G457" s="13" t="n">
        <v>250</v>
      </c>
      <c r="H457" s="13" t="inlineStr">
        <is>
          <t>17629:5778082; 17629:5747541</t>
        </is>
      </c>
      <c r="I457" s="13" t="inlineStr">
        <is>
          <t>21605:4104208; 21605:4234933; 21605:4394221; 21632:5093154</t>
        </is>
      </c>
    </row>
    <row r="458">
      <c r="A458" s="13" t="inlineStr">
        <is>
          <t>Eric Zimmerman</t>
        </is>
      </c>
      <c r="B458" s="13" t="inlineStr">
        <is>
          <t>P092</t>
        </is>
      </c>
      <c r="C458" s="13" t="inlineStr">
        <is>
          <t>C155</t>
        </is>
      </c>
      <c r="D458" s="13" t="inlineStr">
        <is>
          <t>Street address or PO box</t>
        </is>
      </c>
      <c r="E458" s="15" t="inlineStr">
        <is>
          <t>Friends of Sam Adams; Friends of Vadim; Portland Accountability PAC; Rene For Portland; Rene for Portland; Vote Vasquez</t>
        </is>
      </c>
      <c r="F458" s="13" t="n">
        <v>2024</v>
      </c>
      <c r="G458" s="13" t="n">
        <v>4000</v>
      </c>
      <c r="H458" s="13" t="inlineStr">
        <is>
          <t>17629:5778074</t>
        </is>
      </c>
      <c r="I458" s="13" t="inlineStr">
        <is>
          <t>21605:4348575; 22544:4376954; 21605:4446786; 21605:4740731; 23012:4743886; 23012:4825947; 20340:5017680; 21632:5068200</t>
        </is>
      </c>
    </row>
    <row r="459">
      <c r="A459" s="13" t="inlineStr">
        <is>
          <t>Eric Zimmerman</t>
        </is>
      </c>
      <c r="B459" s="13" t="inlineStr">
        <is>
          <t>P093</t>
        </is>
      </c>
      <c r="C459" s="13" t="inlineStr">
        <is>
          <t>C118</t>
        </is>
      </c>
      <c r="D459" s="13" t="inlineStr">
        <is>
          <t>Street address or PO box</t>
        </is>
      </c>
      <c r="E459" s="15" t="inlineStr">
        <is>
          <t>Rene For Portland; Rene for Portland; Vote Vasquez</t>
        </is>
      </c>
      <c r="F459" s="13" t="n">
        <v>2024</v>
      </c>
      <c r="G459" s="13" t="n">
        <v>750</v>
      </c>
      <c r="H459" s="13" t="inlineStr">
        <is>
          <t>17629:5858322</t>
        </is>
      </c>
      <c r="I459" s="13" t="inlineStr">
        <is>
          <t>21605:4235732; 21605:4751484; 23012:4861140</t>
        </is>
      </c>
    </row>
    <row r="460">
      <c r="A460" s="13" t="inlineStr">
        <is>
          <t>Eric Zimmerman</t>
        </is>
      </c>
      <c r="B460" s="13" t="inlineStr">
        <is>
          <t>P093</t>
        </is>
      </c>
      <c r="C460" s="13" t="inlineStr">
        <is>
          <t>C134</t>
        </is>
      </c>
      <c r="D460" s="13" t="inlineStr">
        <is>
          <t>Street address or PO box</t>
        </is>
      </c>
      <c r="E460" s="15" t="inlineStr">
        <is>
          <t>Rene For Portland; Rene for Portland</t>
        </is>
      </c>
      <c r="F460" s="13" t="n">
        <v>2024</v>
      </c>
      <c r="G460" s="13" t="n">
        <v>500</v>
      </c>
      <c r="H460" s="13" t="inlineStr">
        <is>
          <t>17629:5778075</t>
        </is>
      </c>
      <c r="I460" s="13" t="inlineStr">
        <is>
          <t>21605:4280246; 21605:4751485</t>
        </is>
      </c>
    </row>
    <row r="461">
      <c r="A461" s="13" t="inlineStr">
        <is>
          <t>Eric Zimmerman</t>
        </is>
      </c>
      <c r="B461" s="13" t="inlineStr">
        <is>
          <t>P094</t>
        </is>
      </c>
      <c r="C461" s="13" t="inlineStr">
        <is>
          <t>C301</t>
        </is>
      </c>
      <c r="D461" s="13" t="inlineStr">
        <is>
          <t>Street address or PO box</t>
        </is>
      </c>
      <c r="E461" s="15" t="inlineStr">
        <is>
          <t>Vote Vasquez</t>
        </is>
      </c>
      <c r="F461" s="13" t="n">
        <v>2024</v>
      </c>
      <c r="G461" s="13" t="n">
        <v>500</v>
      </c>
      <c r="H461" s="13" t="inlineStr">
        <is>
          <t>17629:5778090</t>
        </is>
      </c>
      <c r="I461" s="13" t="inlineStr">
        <is>
          <t>23012:4856739</t>
        </is>
      </c>
    </row>
    <row r="462">
      <c r="A462" s="13" t="inlineStr">
        <is>
          <t>Eric Zimmerman</t>
        </is>
      </c>
      <c r="B462" s="13" t="inlineStr">
        <is>
          <t>P095</t>
        </is>
      </c>
      <c r="C462" s="13" t="inlineStr">
        <is>
          <t>C094</t>
        </is>
      </c>
      <c r="D462" s="13" t="inlineStr">
        <is>
          <t>Street address or PO box</t>
        </is>
      </c>
      <c r="E462" s="15" t="inlineStr">
        <is>
          <t>Rene For Portland; Rene for Portland</t>
        </is>
      </c>
      <c r="F462" s="13" t="n">
        <v>2024</v>
      </c>
      <c r="G462" s="13" t="n">
        <v>750</v>
      </c>
      <c r="H462" s="13" t="inlineStr">
        <is>
          <t>17629:5778118</t>
        </is>
      </c>
      <c r="I462" s="13" t="inlineStr">
        <is>
          <t>21605:4100477; 21605:4363036; 21605:4751489</t>
        </is>
      </c>
    </row>
    <row r="463">
      <c r="A463" s="13" t="inlineStr">
        <is>
          <t>Eric Zimmerman</t>
        </is>
      </c>
      <c r="B463" s="13" t="inlineStr">
        <is>
          <t>P096</t>
        </is>
      </c>
      <c r="C463" s="13" t="inlineStr">
        <is>
          <t>C036</t>
        </is>
      </c>
      <c r="D463" s="13" t="inlineStr">
        <is>
          <t>Street address or PO box</t>
        </is>
      </c>
      <c r="E463" s="15" t="inlineStr">
        <is>
          <t>Friends of Sam Adams; Friends of Vadim; Rene For Portland; Rene for Portland; Vote Vasquez</t>
        </is>
      </c>
      <c r="F463" s="13" t="n">
        <v>2026</v>
      </c>
      <c r="G463" s="13" t="n">
        <v>5000</v>
      </c>
      <c r="H463" s="13" t="inlineStr">
        <is>
          <t>17629:5778123</t>
        </is>
      </c>
      <c r="I463" s="13" t="inlineStr">
        <is>
          <t>20340:3409789; 21605:4345380; 23012:4687582; 21605:4717466; 21632:4789387; 21632:4885358; 21632:5012907; 20340:5017635; 23012:5801555</t>
        </is>
      </c>
    </row>
    <row r="464">
      <c r="A464" s="13" t="inlineStr">
        <is>
          <t>Eric Zimmerman</t>
        </is>
      </c>
      <c r="B464" s="13" t="inlineStr">
        <is>
          <t>P097</t>
        </is>
      </c>
      <c r="C464" s="13" t="inlineStr">
        <is>
          <t>C176</t>
        </is>
      </c>
      <c r="D464" s="13" t="inlineStr">
        <is>
          <t>Street address or PO box</t>
        </is>
      </c>
      <c r="E464" s="15" t="inlineStr">
        <is>
          <t>Rene for Portland; Vote Vasquez</t>
        </is>
      </c>
      <c r="F464" s="13" t="n">
        <v>2024</v>
      </c>
      <c r="G464" s="13" t="n">
        <v>7000</v>
      </c>
      <c r="H464" s="13" t="inlineStr">
        <is>
          <t>17629:5778132</t>
        </is>
      </c>
      <c r="I464" s="13" t="inlineStr">
        <is>
          <t>21605:4740726; 23012:4773673; 23012:4869292; 21605:5067539; 21605:5090041</t>
        </is>
      </c>
    </row>
    <row r="465">
      <c r="A465" s="13" t="inlineStr">
        <is>
          <t>Eric Zimmerman</t>
        </is>
      </c>
      <c r="B465" s="13" t="inlineStr">
        <is>
          <t>P098</t>
        </is>
      </c>
      <c r="C465" s="13" t="inlineStr">
        <is>
          <t>C222</t>
        </is>
      </c>
      <c r="D465" s="13" t="inlineStr">
        <is>
          <t>Street address or PO box</t>
        </is>
      </c>
      <c r="E465" s="15" t="inlineStr">
        <is>
          <t>Friends of Vadim; Vote Vasquez</t>
        </is>
      </c>
      <c r="F465" s="13" t="n">
        <v>2024</v>
      </c>
      <c r="G465" s="13" t="n">
        <v>7000</v>
      </c>
      <c r="H465" s="13" t="inlineStr">
        <is>
          <t>17629:5778136</t>
        </is>
      </c>
      <c r="I465" s="13" t="inlineStr">
        <is>
          <t>21632:3966922; 21632:4778122; 23012:4838503; 21632:5093151</t>
        </is>
      </c>
    </row>
    <row r="466">
      <c r="A466" s="13" t="inlineStr">
        <is>
          <t>Eric Zimmerman</t>
        </is>
      </c>
      <c r="B466" s="13" t="inlineStr">
        <is>
          <t>P099</t>
        </is>
      </c>
      <c r="C466" s="13" t="inlineStr">
        <is>
          <t>C269</t>
        </is>
      </c>
      <c r="D466" s="13" t="inlineStr">
        <is>
          <t>Street address or PO box</t>
        </is>
      </c>
      <c r="E466" s="15" t="inlineStr">
        <is>
          <t>Portland Accountability PAC</t>
        </is>
      </c>
      <c r="F466" s="13" t="n">
        <v>2022</v>
      </c>
      <c r="G466" s="13" t="n">
        <v>500</v>
      </c>
      <c r="H466" s="13" t="inlineStr">
        <is>
          <t>17629:5778137</t>
        </is>
      </c>
      <c r="I466" s="13" t="inlineStr">
        <is>
          <t>22544:4353378</t>
        </is>
      </c>
    </row>
    <row r="467">
      <c r="A467" s="13" t="inlineStr">
        <is>
          <t>Eric Zimmerman</t>
        </is>
      </c>
      <c r="B467" s="13" t="inlineStr">
        <is>
          <t>P100</t>
        </is>
      </c>
      <c r="C467" s="13" t="inlineStr">
        <is>
          <t>C150</t>
        </is>
      </c>
      <c r="D467" s="13" t="inlineStr">
        <is>
          <t>Street address or PO box</t>
        </is>
      </c>
      <c r="E467" s="15" t="inlineStr">
        <is>
          <t>Rene For Portland</t>
        </is>
      </c>
      <c r="F467" s="13" t="n">
        <v>2022</v>
      </c>
      <c r="G467" s="13" t="n">
        <v>250</v>
      </c>
      <c r="H467" s="13" t="inlineStr">
        <is>
          <t>17629:5778144</t>
        </is>
      </c>
      <c r="I467" s="13" t="inlineStr">
        <is>
          <t>21605:4337067; 21605:4446889</t>
        </is>
      </c>
    </row>
    <row r="468">
      <c r="A468" s="13" t="inlineStr">
        <is>
          <t>Eric Zimmerman</t>
        </is>
      </c>
      <c r="B468" s="13" t="inlineStr">
        <is>
          <t>P101</t>
        </is>
      </c>
      <c r="C468" s="13" t="inlineStr">
        <is>
          <t>C250</t>
        </is>
      </c>
      <c r="D468" s="13" t="inlineStr">
        <is>
          <t>Street address or PO box</t>
        </is>
      </c>
      <c r="E468" s="15" t="inlineStr">
        <is>
          <t>Friends of Vadim</t>
        </is>
      </c>
      <c r="F468" s="13" t="n">
        <v>2024</v>
      </c>
      <c r="G468" s="13" t="n">
        <v>250</v>
      </c>
      <c r="H468" s="13" t="inlineStr">
        <is>
          <t>17629:5778145</t>
        </is>
      </c>
      <c r="I468" s="13" t="inlineStr">
        <is>
          <t>21632:4789419</t>
        </is>
      </c>
    </row>
    <row r="469">
      <c r="A469" s="13" t="inlineStr">
        <is>
          <t>Eric Zimmerman</t>
        </is>
      </c>
      <c r="B469" s="13" t="inlineStr">
        <is>
          <t>P102</t>
        </is>
      </c>
      <c r="C469" s="13" t="inlineStr">
        <is>
          <t>C117</t>
        </is>
      </c>
      <c r="D469" s="13" t="inlineStr">
        <is>
          <t>Street address or PO box</t>
        </is>
      </c>
      <c r="E469" s="15" t="inlineStr">
        <is>
          <t>Friends of Sam Adams; Rene For Portland</t>
        </is>
      </c>
      <c r="F469" s="13" t="n">
        <v>2024</v>
      </c>
      <c r="G469" s="13" t="n">
        <v>250</v>
      </c>
      <c r="H469" s="13" t="inlineStr">
        <is>
          <t>17629:5778190</t>
        </is>
      </c>
      <c r="I469" s="13" t="inlineStr">
        <is>
          <t>21605:4218977; 20340:4981797</t>
        </is>
      </c>
    </row>
    <row r="470">
      <c r="A470" s="13" t="inlineStr">
        <is>
          <t>Eric Zimmerman</t>
        </is>
      </c>
      <c r="B470" s="13" t="inlineStr">
        <is>
          <t>P103</t>
        </is>
      </c>
      <c r="C470" s="13" t="inlineStr">
        <is>
          <t>C085</t>
        </is>
      </c>
      <c r="D470" s="13" t="inlineStr">
        <is>
          <t>Street address or PO box</t>
        </is>
      </c>
      <c r="E470" s="15" t="inlineStr">
        <is>
          <t>Friends of Vadim; Portland Accountability PAC; Rene For Portland; Vote Vasquez</t>
        </is>
      </c>
      <c r="F470" s="13" t="n">
        <v>2024</v>
      </c>
      <c r="G470" s="13" t="n">
        <v>3000</v>
      </c>
      <c r="H470" s="13" t="inlineStr">
        <is>
          <t>17629:5813806</t>
        </is>
      </c>
      <c r="I470" s="13" t="inlineStr">
        <is>
          <t>21605:3976956; 22544:4353383; 21605:4368545; 23012:4691280; 21632:4803645</t>
        </is>
      </c>
    </row>
    <row r="471">
      <c r="A471" s="13" t="inlineStr">
        <is>
          <t>Eric Zimmerman</t>
        </is>
      </c>
      <c r="B471" s="13" t="inlineStr">
        <is>
          <t>P104</t>
        </is>
      </c>
      <c r="C471" s="13" t="inlineStr">
        <is>
          <t>C074</t>
        </is>
      </c>
      <c r="D471" s="13" t="inlineStr">
        <is>
          <t>Street address or PO box</t>
        </is>
      </c>
      <c r="E471" s="15" t="inlineStr">
        <is>
          <t>Rene For Portland; Rene for Portland; Vote Vasquez</t>
        </is>
      </c>
      <c r="F471" s="13" t="n">
        <v>2024</v>
      </c>
      <c r="G471" s="13" t="n">
        <v>2000</v>
      </c>
      <c r="H471" s="13" t="inlineStr">
        <is>
          <t>17629:5813826</t>
        </is>
      </c>
      <c r="I471" s="13" t="inlineStr">
        <is>
          <t>21605:3876175; 21605:4276216; 23012:4592239; 21605:4725613; 23012:4790321</t>
        </is>
      </c>
    </row>
    <row r="472">
      <c r="A472" s="13" t="inlineStr">
        <is>
          <t>Eric Zimmerman</t>
        </is>
      </c>
      <c r="B472" s="13" t="inlineStr">
        <is>
          <t>P105</t>
        </is>
      </c>
      <c r="C472" s="13" t="inlineStr">
        <is>
          <t>C213</t>
        </is>
      </c>
      <c r="D472" s="13" t="inlineStr">
        <is>
          <t>Street address or PO box, ZIP + employer</t>
        </is>
      </c>
      <c r="E472" s="15" t="inlineStr">
        <is>
          <t>Friends of Pam Treece; Friends of Vadim</t>
        </is>
      </c>
      <c r="F472" s="13" t="n">
        <v>2022</v>
      </c>
      <c r="G472" s="13" t="n">
        <v>1000</v>
      </c>
      <c r="H472" s="13" t="inlineStr">
        <is>
          <t>17629:5813827</t>
        </is>
      </c>
      <c r="I472" s="13" t="inlineStr">
        <is>
          <t>21632:3935234; 18397:4003181</t>
        </is>
      </c>
    </row>
    <row r="473">
      <c r="A473" s="13" t="inlineStr">
        <is>
          <t>Eric Zimmerman</t>
        </is>
      </c>
      <c r="B473" s="13" t="inlineStr">
        <is>
          <t>P106</t>
        </is>
      </c>
      <c r="C473" s="13" t="inlineStr">
        <is>
          <t>C252</t>
        </is>
      </c>
      <c r="D473" s="13" t="inlineStr">
        <is>
          <t>Street address or PO box</t>
        </is>
      </c>
      <c r="E473" s="15" t="inlineStr">
        <is>
          <t>Friends of Vadim</t>
        </is>
      </c>
      <c r="F473" s="13" t="n">
        <v>2024</v>
      </c>
      <c r="G473" s="13" t="n">
        <v>250</v>
      </c>
      <c r="H473" s="13" t="inlineStr">
        <is>
          <t>17629:5813843</t>
        </is>
      </c>
      <c r="I473" s="13" t="inlineStr">
        <is>
          <t>21632:4803646</t>
        </is>
      </c>
    </row>
    <row r="474">
      <c r="A474" s="13" t="inlineStr">
        <is>
          <t>Eric Zimmerman</t>
        </is>
      </c>
      <c r="B474" s="13" t="inlineStr">
        <is>
          <t>P107</t>
        </is>
      </c>
      <c r="C474" s="13" t="inlineStr">
        <is>
          <t>C228</t>
        </is>
      </c>
      <c r="D474" s="13" t="inlineStr">
        <is>
          <t>Street address or PO box</t>
        </is>
      </c>
      <c r="E474" s="15" t="inlineStr">
        <is>
          <t>Friends of Vadim</t>
        </is>
      </c>
      <c r="F474" s="13" t="n">
        <v>2022</v>
      </c>
      <c r="G474" s="13" t="n">
        <v>250</v>
      </c>
      <c r="H474" s="13" t="inlineStr">
        <is>
          <t>17629:5813858</t>
        </is>
      </c>
      <c r="I474" s="13" t="inlineStr">
        <is>
          <t>21632:4014593</t>
        </is>
      </c>
    </row>
    <row r="475">
      <c r="A475" s="13" t="inlineStr">
        <is>
          <t>Eric Zimmerman</t>
        </is>
      </c>
      <c r="B475" s="13" t="inlineStr">
        <is>
          <t>P108</t>
        </is>
      </c>
      <c r="C475" s="13" t="inlineStr">
        <is>
          <t>C296</t>
        </is>
      </c>
      <c r="D475" s="13" t="inlineStr">
        <is>
          <t>Street address or PO box</t>
        </is>
      </c>
      <c r="E475" s="15" t="inlineStr">
        <is>
          <t>Friends of Vadim; Vote Vasquez</t>
        </is>
      </c>
      <c r="F475" s="13" t="n">
        <v>2024</v>
      </c>
      <c r="G475" s="13" t="n">
        <v>500</v>
      </c>
      <c r="H475" s="13" t="inlineStr">
        <is>
          <t>17629:5813908</t>
        </is>
      </c>
      <c r="I475" s="13" t="inlineStr">
        <is>
          <t>23012:4773706; 21632:4818955; 21632:4866931</t>
        </is>
      </c>
    </row>
    <row r="476">
      <c r="A476" s="13" t="inlineStr">
        <is>
          <t>Eric Zimmerman</t>
        </is>
      </c>
      <c r="B476" s="13" t="inlineStr">
        <is>
          <t>P109</t>
        </is>
      </c>
      <c r="C476" s="13" t="inlineStr">
        <is>
          <t>C198</t>
        </is>
      </c>
      <c r="D476" s="13" t="inlineStr">
        <is>
          <t>Street address or PO box</t>
        </is>
      </c>
      <c r="E476" s="15" t="inlineStr">
        <is>
          <t>Friends of Vadim</t>
        </is>
      </c>
      <c r="F476" s="13" t="n">
        <v>2021</v>
      </c>
      <c r="G476" s="13" t="n">
        <v>250</v>
      </c>
      <c r="H476" s="13" t="inlineStr">
        <is>
          <t>17629:5813915</t>
        </is>
      </c>
      <c r="I476" s="13" t="inlineStr">
        <is>
          <t>21632:3906281</t>
        </is>
      </c>
    </row>
    <row r="477">
      <c r="A477" s="13" t="inlineStr">
        <is>
          <t>Eric Zimmerman</t>
        </is>
      </c>
      <c r="B477" s="13" t="inlineStr">
        <is>
          <t>P109</t>
        </is>
      </c>
      <c r="C477" s="13" t="inlineStr">
        <is>
          <t>C288</t>
        </is>
      </c>
      <c r="D477" s="13" t="inlineStr">
        <is>
          <t>Street address or PO box</t>
        </is>
      </c>
      <c r="E477" s="15" t="inlineStr">
        <is>
          <t>Friends of Vadim; Vote Vasquez</t>
        </is>
      </c>
      <c r="F477" s="13" t="n">
        <v>2024</v>
      </c>
      <c r="G477" s="13" t="n">
        <v>1000</v>
      </c>
      <c r="H477" s="13" t="inlineStr">
        <is>
          <t>17629:5813914</t>
        </is>
      </c>
      <c r="I477" s="13" t="inlineStr">
        <is>
          <t>23012:4687596; 23012:4687597; 21632:4855388</t>
        </is>
      </c>
    </row>
    <row r="478">
      <c r="A478" s="13" t="inlineStr">
        <is>
          <t>Eric Zimmerman</t>
        </is>
      </c>
      <c r="B478" s="13" t="inlineStr">
        <is>
          <t>P110</t>
        </is>
      </c>
      <c r="C478" s="13" t="inlineStr">
        <is>
          <t>C011</t>
        </is>
      </c>
      <c r="D478" s="13" t="inlineStr">
        <is>
          <t>Street address or PO box</t>
        </is>
      </c>
      <c r="E478" s="15" t="inlineStr">
        <is>
          <t>Friends of Pam Treece</t>
        </is>
      </c>
      <c r="F478" s="13" t="n">
        <v>2025</v>
      </c>
      <c r="G478" s="13" t="n">
        <v>500</v>
      </c>
      <c r="H478" s="13" t="inlineStr">
        <is>
          <t>17629:5813980</t>
        </is>
      </c>
      <c r="I478" s="13" t="inlineStr">
        <is>
          <t>18397:5327498</t>
        </is>
      </c>
    </row>
    <row r="479">
      <c r="A479" s="13" t="inlineStr">
        <is>
          <t>Eric Zimmerman</t>
        </is>
      </c>
      <c r="B479" s="13" t="inlineStr">
        <is>
          <t>P110</t>
        </is>
      </c>
      <c r="C479" s="13" t="inlineStr">
        <is>
          <t>C290</t>
        </is>
      </c>
      <c r="D479" s="13" t="inlineStr">
        <is>
          <t>Street address or PO box</t>
        </is>
      </c>
      <c r="E479" s="15" t="inlineStr">
        <is>
          <t>Friends of Sam Adams; Friends of Vadim; Vote Vasquez</t>
        </is>
      </c>
      <c r="F479" s="13" t="n">
        <v>2024</v>
      </c>
      <c r="G479" s="13" t="n">
        <v>1000</v>
      </c>
      <c r="H479" s="13" t="inlineStr">
        <is>
          <t>17629:5813954</t>
        </is>
      </c>
      <c r="I479" s="13" t="inlineStr">
        <is>
          <t>23012:4691279; 20340:4817184; 21632:5050809</t>
        </is>
      </c>
    </row>
    <row r="480">
      <c r="A480" s="13" t="inlineStr">
        <is>
          <t>Eric Zimmerman</t>
        </is>
      </c>
      <c r="B480" s="13" t="inlineStr">
        <is>
          <t>P111</t>
        </is>
      </c>
      <c r="C480" s="13" t="inlineStr">
        <is>
          <t>C139</t>
        </is>
      </c>
      <c r="D480" s="13" t="inlineStr">
        <is>
          <t>Street address or PO box</t>
        </is>
      </c>
      <c r="E480" s="15" t="inlineStr">
        <is>
          <t>Rene For Portland</t>
        </is>
      </c>
      <c r="F480" s="13" t="n">
        <v>2022</v>
      </c>
      <c r="G480" s="13" t="n">
        <v>250</v>
      </c>
      <c r="H480" s="13" t="inlineStr">
        <is>
          <t>17629:5813975</t>
        </is>
      </c>
      <c r="I480" s="13" t="inlineStr">
        <is>
          <t>21605:4302341</t>
        </is>
      </c>
    </row>
    <row r="481">
      <c r="A481" s="13" t="inlineStr">
        <is>
          <t>Eric Zimmerman</t>
        </is>
      </c>
      <c r="B481" s="13" t="inlineStr">
        <is>
          <t>P112</t>
        </is>
      </c>
      <c r="C481" s="13" t="inlineStr">
        <is>
          <t>C259</t>
        </is>
      </c>
      <c r="D481" s="13" t="inlineStr">
        <is>
          <t>Street address or PO box</t>
        </is>
      </c>
      <c r="E481" s="15" t="inlineStr">
        <is>
          <t>Friends of Vadim</t>
        </is>
      </c>
      <c r="F481" s="13" t="n">
        <v>2024</v>
      </c>
      <c r="G481" s="13" t="n">
        <v>250</v>
      </c>
      <c r="H481" s="13" t="inlineStr">
        <is>
          <t>17629:5813976</t>
        </is>
      </c>
      <c r="I481" s="13" t="inlineStr">
        <is>
          <t>21632:4885380</t>
        </is>
      </c>
    </row>
    <row r="482">
      <c r="A482" s="13" t="inlineStr">
        <is>
          <t>Eric Zimmerman</t>
        </is>
      </c>
      <c r="B482" s="13" t="inlineStr">
        <is>
          <t>P112</t>
        </is>
      </c>
      <c r="C482" s="13" t="inlineStr">
        <is>
          <t>C260</t>
        </is>
      </c>
      <c r="D482" s="13" t="inlineStr">
        <is>
          <t>Street address or PO box</t>
        </is>
      </c>
      <c r="E482" s="15" t="inlineStr">
        <is>
          <t>Friends of Vadim</t>
        </is>
      </c>
      <c r="F482" s="13" t="n">
        <v>2024</v>
      </c>
      <c r="G482" s="13" t="n">
        <v>250</v>
      </c>
      <c r="H482" s="13" t="inlineStr">
        <is>
          <t>17629:5813977</t>
        </is>
      </c>
      <c r="I482" s="13" t="inlineStr">
        <is>
          <t>21632:4885382</t>
        </is>
      </c>
    </row>
    <row r="483">
      <c r="A483" s="13" t="inlineStr">
        <is>
          <t>Eric Zimmerman</t>
        </is>
      </c>
      <c r="B483" s="13" t="inlineStr">
        <is>
          <t>P113</t>
        </is>
      </c>
      <c r="C483" s="13" t="inlineStr">
        <is>
          <t>C137</t>
        </is>
      </c>
      <c r="D483" s="13" t="inlineStr">
        <is>
          <t>Street address or PO box</t>
        </is>
      </c>
      <c r="E483" s="15" t="inlineStr">
        <is>
          <t>Friends of Pam Treece; Rene For Portland</t>
        </is>
      </c>
      <c r="F483" s="13" t="n">
        <v>2026</v>
      </c>
      <c r="G483" s="13" t="n">
        <v>250</v>
      </c>
      <c r="H483" s="13" t="inlineStr">
        <is>
          <t>17629:5813984</t>
        </is>
      </c>
      <c r="I483" s="13" t="inlineStr">
        <is>
          <t>21605:4292527; 18397:5586463</t>
        </is>
      </c>
    </row>
    <row r="484">
      <c r="A484" s="13" t="inlineStr">
        <is>
          <t>Eric Zimmerman</t>
        </is>
      </c>
      <c r="B484" s="13" t="inlineStr">
        <is>
          <t>P114</t>
        </is>
      </c>
      <c r="C484" s="13" t="inlineStr">
        <is>
          <t>C284</t>
        </is>
      </c>
      <c r="D484" s="13" t="inlineStr">
        <is>
          <t>Street address or PO box</t>
        </is>
      </c>
      <c r="E484" s="15" t="inlineStr">
        <is>
          <t>Vote Vasquez</t>
        </is>
      </c>
      <c r="F484" s="13" t="n">
        <v>2023</v>
      </c>
      <c r="G484" s="13" t="n">
        <v>1000</v>
      </c>
      <c r="H484" s="13" t="inlineStr">
        <is>
          <t>17629:5813985</t>
        </is>
      </c>
      <c r="I484" s="13" t="inlineStr">
        <is>
          <t>23012:4682709</t>
        </is>
      </c>
    </row>
    <row r="485">
      <c r="A485" s="13" t="inlineStr">
        <is>
          <t>Eric Zimmerman</t>
        </is>
      </c>
      <c r="B485" s="13" t="inlineStr">
        <is>
          <t>P115</t>
        </is>
      </c>
      <c r="C485" s="13" t="inlineStr">
        <is>
          <t>C267</t>
        </is>
      </c>
      <c r="D485" s="13" t="inlineStr">
        <is>
          <t>Street address or PO box</t>
        </is>
      </c>
      <c r="E485" s="15" t="inlineStr">
        <is>
          <t>Friends of Vadim</t>
        </is>
      </c>
      <c r="F485" s="13" t="n">
        <v>2024</v>
      </c>
      <c r="G485" s="13" t="n">
        <v>250</v>
      </c>
      <c r="H485" s="13" t="inlineStr">
        <is>
          <t>17629:5813989</t>
        </is>
      </c>
      <c r="I485" s="13" t="inlineStr">
        <is>
          <t>21632:5093155; 21632:5100902</t>
        </is>
      </c>
    </row>
    <row r="486">
      <c r="A486" s="13" t="inlineStr">
        <is>
          <t>Eric Zimmerman</t>
        </is>
      </c>
      <c r="B486" s="13" t="inlineStr">
        <is>
          <t>P116</t>
        </is>
      </c>
      <c r="C486" s="13" t="inlineStr">
        <is>
          <t>C275</t>
        </is>
      </c>
      <c r="D486" s="13" t="inlineStr">
        <is>
          <t>Street address or PO box</t>
        </is>
      </c>
      <c r="E486" s="15" t="inlineStr">
        <is>
          <t>Friends of Pam Treece; Friends of Sam Adams; Friends of Vadim; Portland Accountability PAC; Vote Vasquez</t>
        </is>
      </c>
      <c r="F486" s="13" t="n">
        <v>2026</v>
      </c>
      <c r="G486" s="13" t="n">
        <v>156000</v>
      </c>
      <c r="H486" s="13" t="inlineStr">
        <is>
          <t>17629:5828804</t>
        </is>
      </c>
      <c r="I486" s="13" t="inlineStr">
        <is>
          <t>22544:4363457; 23012:4607928; 21632:4789406; 23012:4790327; 20340:4866778; 23012:4871708; 18397:5432713; 18397:5650343; 18397:5721122; 23012:5801553; 18397:5803786; 23012:5852104</t>
        </is>
      </c>
    </row>
    <row r="487">
      <c r="A487" s="13" t="inlineStr">
        <is>
          <t>Eric Zimmerman</t>
        </is>
      </c>
      <c r="B487" s="13" t="inlineStr">
        <is>
          <t>P117</t>
        </is>
      </c>
      <c r="C487" s="13" t="inlineStr">
        <is>
          <t>C261</t>
        </is>
      </c>
      <c r="D487" s="13" t="inlineStr">
        <is>
          <t>Street address or PO box</t>
        </is>
      </c>
      <c r="E487" s="15" t="inlineStr">
        <is>
          <t>Friends of Vadim</t>
        </is>
      </c>
      <c r="F487" s="13" t="n">
        <v>2024</v>
      </c>
      <c r="G487" s="13" t="n">
        <v>250</v>
      </c>
      <c r="H487" s="13" t="inlineStr">
        <is>
          <t>17629:5828825</t>
        </is>
      </c>
      <c r="I487" s="13" t="inlineStr">
        <is>
          <t>21632:4885393</t>
        </is>
      </c>
    </row>
    <row r="488">
      <c r="A488" s="13" t="inlineStr">
        <is>
          <t>Eric Zimmerman</t>
        </is>
      </c>
      <c r="B488" s="13" t="inlineStr">
        <is>
          <t>P118</t>
        </is>
      </c>
      <c r="C488" s="13" t="inlineStr">
        <is>
          <t>C256</t>
        </is>
      </c>
      <c r="D488" s="13" t="inlineStr">
        <is>
          <t>Street address or PO box</t>
        </is>
      </c>
      <c r="E488" s="15" t="inlineStr">
        <is>
          <t>Friends of Vadim</t>
        </is>
      </c>
      <c r="F488" s="13" t="n">
        <v>2024</v>
      </c>
      <c r="G488" s="13" t="n">
        <v>500</v>
      </c>
      <c r="H488" s="13" t="inlineStr">
        <is>
          <t>17629:5828866</t>
        </is>
      </c>
      <c r="I488" s="13" t="inlineStr">
        <is>
          <t>21632:4868075</t>
        </is>
      </c>
    </row>
    <row r="489">
      <c r="A489" s="13" t="inlineStr">
        <is>
          <t>Eric Zimmerman</t>
        </is>
      </c>
      <c r="B489" s="13" t="inlineStr">
        <is>
          <t>P118</t>
        </is>
      </c>
      <c r="C489" s="13" t="inlineStr">
        <is>
          <t>C295</t>
        </is>
      </c>
      <c r="D489" s="13" t="inlineStr">
        <is>
          <t>Street address or PO box</t>
        </is>
      </c>
      <c r="E489" s="15" t="inlineStr">
        <is>
          <t>Vote Vasquez</t>
        </is>
      </c>
      <c r="F489" s="13" t="n">
        <v>2024</v>
      </c>
      <c r="G489" s="13" t="n">
        <v>500</v>
      </c>
      <c r="H489" s="13" t="inlineStr">
        <is>
          <t>17629:5828864</t>
        </is>
      </c>
      <c r="I489" s="13" t="inlineStr">
        <is>
          <t>23012:4750800</t>
        </is>
      </c>
    </row>
    <row r="490">
      <c r="A490" s="13" t="inlineStr">
        <is>
          <t>Eric Zimmerman</t>
        </is>
      </c>
      <c r="B490" s="13" t="inlineStr">
        <is>
          <t>P119</t>
        </is>
      </c>
      <c r="C490" s="13" t="inlineStr">
        <is>
          <t>C248</t>
        </is>
      </c>
      <c r="D490" s="13" t="inlineStr">
        <is>
          <t>Street address or PO box</t>
        </is>
      </c>
      <c r="E490" s="15" t="inlineStr">
        <is>
          <t>Friends of Vadim</t>
        </is>
      </c>
      <c r="F490" s="13" t="n">
        <v>2024</v>
      </c>
      <c r="G490" s="13" t="n">
        <v>250</v>
      </c>
      <c r="H490" s="13" t="inlineStr">
        <is>
          <t>17629:5828910</t>
        </is>
      </c>
      <c r="I490" s="13" t="inlineStr">
        <is>
          <t>21632:4156276; 21632:4818977; 21632:5050819</t>
        </is>
      </c>
    </row>
    <row r="491">
      <c r="A491" s="13" t="inlineStr">
        <is>
          <t>Eric Zimmerman</t>
        </is>
      </c>
      <c r="B491" s="13" t="inlineStr">
        <is>
          <t>P120</t>
        </is>
      </c>
      <c r="C491" s="13" t="inlineStr">
        <is>
          <t>C050</t>
        </is>
      </c>
      <c r="D491" s="13" t="inlineStr">
        <is>
          <t>Street address or PO box</t>
        </is>
      </c>
      <c r="E491" s="15" t="inlineStr">
        <is>
          <t>Friends of Sam Adams</t>
        </is>
      </c>
      <c r="F491" s="13" t="n">
        <v>2024</v>
      </c>
      <c r="G491" s="13" t="n">
        <v>500</v>
      </c>
      <c r="H491" s="13" t="inlineStr">
        <is>
          <t>17629:5834503</t>
        </is>
      </c>
      <c r="I491" s="13" t="inlineStr">
        <is>
          <t>20340:4811657</t>
        </is>
      </c>
    </row>
    <row r="492">
      <c r="A492" s="13" t="inlineStr">
        <is>
          <t>Eric Zimmerman</t>
        </is>
      </c>
      <c r="B492" s="13" t="inlineStr">
        <is>
          <t>P121</t>
        </is>
      </c>
      <c r="C492" s="13" t="inlineStr">
        <is>
          <t>C154</t>
        </is>
      </c>
      <c r="D492" s="13" t="inlineStr">
        <is>
          <t>Street address or PO box</t>
        </is>
      </c>
      <c r="E492" s="15" t="inlineStr">
        <is>
          <t>Friends of Pam Treece; Friends of Vadim; Rene For Portland; Vote Vasquez</t>
        </is>
      </c>
      <c r="F492" s="13" t="n">
        <v>2026</v>
      </c>
      <c r="G492" s="13" t="n">
        <v>1000</v>
      </c>
      <c r="H492" s="13" t="inlineStr">
        <is>
          <t>17629:5834504</t>
        </is>
      </c>
      <c r="I492" s="13" t="inlineStr">
        <is>
          <t>21605:4348558; 23012:4638926; 21632:4913166; 18397:5537687</t>
        </is>
      </c>
    </row>
    <row r="493">
      <c r="A493" s="13" t="inlineStr">
        <is>
          <t>Eric Zimmerman</t>
        </is>
      </c>
      <c r="B493" s="13" t="inlineStr">
        <is>
          <t>P122</t>
        </is>
      </c>
      <c r="C493" s="13" t="inlineStr">
        <is>
          <t>C180</t>
        </is>
      </c>
      <c r="D493" s="13" t="inlineStr">
        <is>
          <t>Street address or PO box</t>
        </is>
      </c>
      <c r="E493" s="15" t="inlineStr">
        <is>
          <t>Rene for Portland</t>
        </is>
      </c>
      <c r="F493" s="13" t="n">
        <v>2024</v>
      </c>
      <c r="G493" s="13" t="n">
        <v>250</v>
      </c>
      <c r="H493" s="13" t="inlineStr">
        <is>
          <t>17629:5834505</t>
        </is>
      </c>
      <c r="I493" s="13" t="inlineStr">
        <is>
          <t>21605:4941173</t>
        </is>
      </c>
    </row>
    <row r="494">
      <c r="A494" s="13" t="inlineStr">
        <is>
          <t>Eric Zimmerman</t>
        </is>
      </c>
      <c r="B494" s="13" t="inlineStr">
        <is>
          <t>P123</t>
        </is>
      </c>
      <c r="C494" s="13" t="inlineStr">
        <is>
          <t>C289</t>
        </is>
      </c>
      <c r="D494" s="13" t="inlineStr">
        <is>
          <t>Street address or PO box</t>
        </is>
      </c>
      <c r="E494" s="15" t="inlineStr">
        <is>
          <t>Vote Vasquez</t>
        </is>
      </c>
      <c r="F494" s="13" t="n">
        <v>2023</v>
      </c>
      <c r="G494" s="13" t="n">
        <v>2000</v>
      </c>
      <c r="H494" s="13" t="inlineStr">
        <is>
          <t>17629:5852805</t>
        </is>
      </c>
      <c r="I494" s="13" t="inlineStr">
        <is>
          <t>23012:4690925</t>
        </is>
      </c>
    </row>
    <row r="495">
      <c r="A495" s="13" t="inlineStr">
        <is>
          <t>Eric Zimmerman</t>
        </is>
      </c>
      <c r="B495" s="13" t="inlineStr">
        <is>
          <t>P124</t>
        </is>
      </c>
      <c r="C495" s="13" t="inlineStr">
        <is>
          <t>C273</t>
        </is>
      </c>
      <c r="D495" s="13" t="inlineStr">
        <is>
          <t>ZIP + employer</t>
        </is>
      </c>
      <c r="E495" s="15" t="inlineStr">
        <is>
          <t>Portland Accountability PAC</t>
        </is>
      </c>
      <c r="F495" s="13" t="n">
        <v>2022</v>
      </c>
      <c r="G495" s="13" t="n">
        <v>500</v>
      </c>
      <c r="H495" s="13" t="inlineStr">
        <is>
          <t>17629:5852818</t>
        </is>
      </c>
      <c r="I495" s="13" t="inlineStr">
        <is>
          <t>22544:4353407</t>
        </is>
      </c>
    </row>
    <row r="496">
      <c r="A496" s="13" t="inlineStr">
        <is>
          <t>Eric Zimmerman</t>
        </is>
      </c>
      <c r="B496" s="13" t="inlineStr">
        <is>
          <t>P125</t>
        </is>
      </c>
      <c r="C496" s="13" t="inlineStr">
        <is>
          <t>C231</t>
        </is>
      </c>
      <c r="D496" s="13" t="inlineStr">
        <is>
          <t>Street address or PO box</t>
        </is>
      </c>
      <c r="E496" s="15" t="inlineStr">
        <is>
          <t>Friends of Vadim; Portland Accountability PAC; Rene For Portland</t>
        </is>
      </c>
      <c r="F496" s="13" t="n">
        <v>2022</v>
      </c>
      <c r="G496" s="13" t="n">
        <v>1000</v>
      </c>
      <c r="H496" s="13" t="inlineStr">
        <is>
          <t>17629:5852819</t>
        </is>
      </c>
      <c r="I496" s="13" t="inlineStr">
        <is>
          <t>21632:4014611; 21605:4363685; 22544:4396420</t>
        </is>
      </c>
    </row>
    <row r="497">
      <c r="A497" s="13" t="inlineStr">
        <is>
          <t>Eric Zimmerman</t>
        </is>
      </c>
      <c r="B497" s="13" t="inlineStr">
        <is>
          <t>P126</t>
        </is>
      </c>
      <c r="C497" s="13" t="inlineStr">
        <is>
          <t>C162</t>
        </is>
      </c>
      <c r="D497" s="13" t="inlineStr">
        <is>
          <t>Street address or PO box</t>
        </is>
      </c>
      <c r="E497" s="15" t="inlineStr">
        <is>
          <t>Rene For Portland</t>
        </is>
      </c>
      <c r="F497" s="13" t="n">
        <v>2022</v>
      </c>
      <c r="G497" s="13" t="n">
        <v>250</v>
      </c>
      <c r="H497" s="13" t="inlineStr">
        <is>
          <t>17629:5858318</t>
        </is>
      </c>
      <c r="I497" s="13" t="inlineStr">
        <is>
          <t>21605:4446856</t>
        </is>
      </c>
    </row>
    <row r="498">
      <c r="A498" s="13" t="inlineStr">
        <is>
          <t>Eric Zimmerman</t>
        </is>
      </c>
      <c r="B498" s="13" t="inlineStr">
        <is>
          <t>P127</t>
        </is>
      </c>
      <c r="C498" s="13" t="inlineStr">
        <is>
          <t>C057</t>
        </is>
      </c>
      <c r="D498" s="13" t="inlineStr">
        <is>
          <t>Street address or PO box</t>
        </is>
      </c>
      <c r="E498" s="15" t="inlineStr">
        <is>
          <t>Friends of Sam Adams</t>
        </is>
      </c>
      <c r="F498" s="13" t="n">
        <v>2024</v>
      </c>
      <c r="G498" s="13" t="n">
        <v>500</v>
      </c>
      <c r="H498" s="13" t="inlineStr">
        <is>
          <t>17629:5858320</t>
        </is>
      </c>
      <c r="I498" s="13" t="inlineStr">
        <is>
          <t>20340:4860432</t>
        </is>
      </c>
    </row>
    <row r="499">
      <c r="A499" s="13" t="inlineStr">
        <is>
          <t>Eric Zimmerman</t>
        </is>
      </c>
      <c r="B499" s="13" t="inlineStr">
        <is>
          <t>P128</t>
        </is>
      </c>
      <c r="C499" s="13" t="inlineStr">
        <is>
          <t>C236</t>
        </is>
      </c>
      <c r="D499" s="13" t="inlineStr">
        <is>
          <t>Street address or PO box</t>
        </is>
      </c>
      <c r="E499" s="15" t="inlineStr">
        <is>
          <t>Friends of Pam Treece; Friends of Sam Adams; Friends of Vadim; Rene For Portland; Vote Vasquez</t>
        </is>
      </c>
      <c r="F499" s="13" t="n">
        <v>2026</v>
      </c>
      <c r="G499" s="13" t="n">
        <v>1000</v>
      </c>
      <c r="H499" s="13" t="inlineStr">
        <is>
          <t>17629:5858337</t>
        </is>
      </c>
      <c r="I499" s="13" t="inlineStr">
        <is>
          <t>21632:4100110; 21605:4296448; 23012:4865300; 20340:5054041; 18397:5650349</t>
        </is>
      </c>
    </row>
    <row r="500">
      <c r="A500" s="13" t="inlineStr">
        <is>
          <t>Eric Zimmerman</t>
        </is>
      </c>
      <c r="B500" s="13" t="inlineStr">
        <is>
          <t>P129</t>
        </is>
      </c>
      <c r="C500" s="13" t="inlineStr">
        <is>
          <t>C024</t>
        </is>
      </c>
      <c r="D500" s="13" t="inlineStr">
        <is>
          <t>Street address or PO box</t>
        </is>
      </c>
      <c r="E500" s="15" t="inlineStr">
        <is>
          <t>Friends of Pam Treece</t>
        </is>
      </c>
      <c r="F500" s="13" t="n">
        <v>2026</v>
      </c>
      <c r="G500" s="13" t="n">
        <v>250</v>
      </c>
      <c r="H500" s="13" t="inlineStr">
        <is>
          <t>17629:5868412</t>
        </is>
      </c>
      <c r="I500" s="13" t="inlineStr">
        <is>
          <t>18397:5829006</t>
        </is>
      </c>
    </row>
    <row r="501">
      <c r="A501" s="13" t="inlineStr">
        <is>
          <t>Eric Zimmerman</t>
        </is>
      </c>
      <c r="B501" s="13" t="inlineStr">
        <is>
          <t>P130</t>
        </is>
      </c>
      <c r="C501" s="13" t="inlineStr">
        <is>
          <t>C135</t>
        </is>
      </c>
      <c r="D501" s="13" t="inlineStr">
        <is>
          <t>Street address or PO box</t>
        </is>
      </c>
      <c r="E501" s="15" t="inlineStr">
        <is>
          <t>Rene For Portland; Rene for Portland</t>
        </is>
      </c>
      <c r="F501" s="13" t="n">
        <v>2024</v>
      </c>
      <c r="G501" s="13" t="n">
        <v>250</v>
      </c>
      <c r="H501" s="13" t="inlineStr">
        <is>
          <t>17629:5868417</t>
        </is>
      </c>
      <c r="I501" s="13" t="inlineStr">
        <is>
          <t>21605:4280255; 21605:4934447</t>
        </is>
      </c>
    </row>
    <row r="502">
      <c r="A502" s="13" t="inlineStr">
        <is>
          <t>Eric Zimmerman</t>
        </is>
      </c>
      <c r="B502" s="13" t="inlineStr">
        <is>
          <t>P131</t>
        </is>
      </c>
      <c r="C502" s="13" t="inlineStr">
        <is>
          <t>C234</t>
        </is>
      </c>
      <c r="D502" s="13" t="inlineStr">
        <is>
          <t>Street address or PO box</t>
        </is>
      </c>
      <c r="E502" s="15" t="inlineStr">
        <is>
          <t>Friends of Sam Adams; Friends of Vadim</t>
        </is>
      </c>
      <c r="F502" s="13" t="n">
        <v>2024</v>
      </c>
      <c r="G502" s="13" t="n">
        <v>500</v>
      </c>
      <c r="H502" s="13" t="inlineStr">
        <is>
          <t>17629:5876484</t>
        </is>
      </c>
      <c r="I502" s="13" t="inlineStr">
        <is>
          <t>21632:4100079; 20340:4858176</t>
        </is>
      </c>
    </row>
    <row r="503">
      <c r="A503" s="13" t="inlineStr">
        <is>
          <t>Eric Zimmerman</t>
        </is>
      </c>
      <c r="B503" s="13" t="inlineStr">
        <is>
          <t>P132</t>
        </is>
      </c>
      <c r="C503" s="13" t="inlineStr">
        <is>
          <t>C020</t>
        </is>
      </c>
      <c r="D503" s="13" t="inlineStr">
        <is>
          <t>Street address or PO box</t>
        </is>
      </c>
      <c r="E503" s="15" t="inlineStr">
        <is>
          <t>Friends of Pam Treece</t>
        </is>
      </c>
      <c r="F503" s="13" t="n">
        <v>2026</v>
      </c>
      <c r="G503" s="13" t="n">
        <v>250</v>
      </c>
      <c r="H503" s="13" t="inlineStr">
        <is>
          <t>17629:5876487</t>
        </is>
      </c>
      <c r="I503" s="13" t="inlineStr">
        <is>
          <t>18397:5625580</t>
        </is>
      </c>
    </row>
    <row r="504">
      <c r="A504" s="13" t="inlineStr">
        <is>
          <t>Eric Zimmerman</t>
        </is>
      </c>
      <c r="B504" s="13" t="inlineStr">
        <is>
          <t>P133</t>
        </is>
      </c>
      <c r="C504" s="13" t="inlineStr">
        <is>
          <t>C254</t>
        </is>
      </c>
      <c r="D504" s="13" t="inlineStr">
        <is>
          <t>Street address or PO box</t>
        </is>
      </c>
      <c r="E504" s="15" t="inlineStr">
        <is>
          <t>Friends of Pam Treece; Friends of Vadim</t>
        </is>
      </c>
      <c r="F504" s="13" t="n">
        <v>2026</v>
      </c>
      <c r="G504" s="13" t="n">
        <v>750</v>
      </c>
      <c r="H504" s="13" t="inlineStr">
        <is>
          <t>17629:5887669</t>
        </is>
      </c>
      <c r="I504" s="13" t="inlineStr">
        <is>
          <t>21632:4855333; 18397:5625561</t>
        </is>
      </c>
    </row>
  </sheetData>
  <mergeCells count="1">
    <mergeCell ref="A1:H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1.xml><?xml version="1.0" encoding="utf-8"?>
<worksheet xmlns="http://schemas.openxmlformats.org/spreadsheetml/2006/main">
  <sheetPr>
    <tabColor rgb="008A8F99"/>
    <outlinePr summaryBelow="1" summaryRight="1"/>
    <pageSetUpPr/>
  </sheetPr>
  <dimension ref="A1:H78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40" customWidth="1" min="3" max="3"/>
    <col width="9" customWidth="1" min="4" max="4"/>
    <col width="11" customWidth="1" min="5" max="5"/>
    <col width="11" customWidth="1" min="6" max="6"/>
    <col width="12" customWidth="1" min="7" max="7"/>
    <col width="26" customWidth="1" min="8" max="8"/>
  </cols>
  <sheetData>
    <row r="1" ht="42" customHeight="1">
      <c r="A1" s="5" t="inlineStr">
        <is>
          <t>Every gift behind the Republican households: each household's gifts to the six candidates and its matched Republican gifts.</t>
        </is>
      </c>
    </row>
    <row r="2">
      <c r="A2" s="11" t="inlineStr">
        <is>
          <t>← Back to Start here</t>
        </is>
      </c>
    </row>
    <row r="4" ht="34" customHeight="1">
      <c r="A4" s="12" t="inlineStr">
        <is>
          <t>Household</t>
        </is>
      </c>
      <c r="B4" s="12" t="inlineStr">
        <is>
          <t>Which gift</t>
        </is>
      </c>
      <c r="C4" s="12" t="inlineStr">
        <is>
          <t>Committee</t>
        </is>
      </c>
      <c r="D4" s="12" t="inlineStr">
        <is>
          <t>Filer Id</t>
        </is>
      </c>
      <c r="E4" s="12" t="inlineStr">
        <is>
          <t>Tran Id</t>
        </is>
      </c>
      <c r="F4" s="12" t="inlineStr">
        <is>
          <t>Date</t>
        </is>
      </c>
      <c r="G4" s="12" t="inlineStr">
        <is>
          <t>Amount ($, rounded)</t>
        </is>
      </c>
      <c r="H4" s="12" t="inlineStr">
        <is>
          <t>How it matched</t>
        </is>
      </c>
    </row>
    <row r="5">
      <c r="A5" s="13" t="inlineStr">
        <is>
          <t>H001</t>
        </is>
      </c>
      <c r="B5" s="13" t="inlineStr">
        <is>
          <t>Gift to a slate candidate</t>
        </is>
      </c>
      <c r="C5" s="13" t="inlineStr">
        <is>
          <t>Novick for Portland</t>
        </is>
      </c>
      <c r="D5" s="13" t="inlineStr">
        <is>
          <t>15109</t>
        </is>
      </c>
      <c r="E5" s="13" t="inlineStr">
        <is>
          <t>5022280</t>
        </is>
      </c>
      <c r="F5" s="13" t="inlineStr">
        <is>
          <t>2024-09-04</t>
        </is>
      </c>
      <c r="G5" s="13" t="n">
        <v>250</v>
      </c>
      <c r="H5" s="13" t="inlineStr"/>
    </row>
    <row r="6">
      <c r="A6" s="13" t="inlineStr">
        <is>
          <t>H001</t>
        </is>
      </c>
      <c r="B6" s="13" t="inlineStr">
        <is>
          <t>Republican gift</t>
        </is>
      </c>
      <c r="C6" s="13" t="inlineStr">
        <is>
          <t>Friends of Allen Alley</t>
        </is>
      </c>
      <c r="D6" s="13" t="inlineStr">
        <is>
          <t>12878</t>
        </is>
      </c>
      <c r="E6" s="13" t="inlineStr">
        <is>
          <t>307941</t>
        </is>
      </c>
      <c r="F6" s="13" t="inlineStr">
        <is>
          <t>2008-04-30</t>
        </is>
      </c>
      <c r="G6" s="13" t="n">
        <v>2000</v>
      </c>
      <c r="H6" s="13" t="inlineStr">
        <is>
          <t>Street address or PO box</t>
        </is>
      </c>
    </row>
    <row r="7">
      <c r="A7" s="13" t="inlineStr">
        <is>
          <t>H001</t>
        </is>
      </c>
      <c r="B7" s="13" t="inlineStr">
        <is>
          <t>Republican gift</t>
        </is>
      </c>
      <c r="C7" s="13" t="inlineStr">
        <is>
          <t>Friends of Allen Alley</t>
        </is>
      </c>
      <c r="D7" s="13" t="inlineStr">
        <is>
          <t>12878</t>
        </is>
      </c>
      <c r="E7" s="13" t="inlineStr">
        <is>
          <t>554702</t>
        </is>
      </c>
      <c r="F7" s="13" t="inlineStr">
        <is>
          <t>2009-04-08</t>
        </is>
      </c>
      <c r="G7" s="13" t="n">
        <v>1000</v>
      </c>
      <c r="H7" s="13" t="inlineStr">
        <is>
          <t>Street address or PO box</t>
        </is>
      </c>
    </row>
    <row r="8">
      <c r="A8" s="13" t="inlineStr">
        <is>
          <t>H002</t>
        </is>
      </c>
      <c r="B8" s="13" t="inlineStr">
        <is>
          <t>Gift to a slate candidate</t>
        </is>
      </c>
      <c r="C8" s="13" t="inlineStr">
        <is>
          <t>Friends of Julia Brim-Edwards</t>
        </is>
      </c>
      <c r="D8" s="13" t="inlineStr">
        <is>
          <t>21206</t>
        </is>
      </c>
      <c r="E8" s="13" t="inlineStr">
        <is>
          <t>4530514</t>
        </is>
      </c>
      <c r="F8" s="13" t="inlineStr">
        <is>
          <t>2023-03-14</t>
        </is>
      </c>
      <c r="G8" s="13" t="n">
        <v>500</v>
      </c>
      <c r="H8" s="13" t="inlineStr"/>
    </row>
    <row r="9">
      <c r="A9" s="13" t="inlineStr">
        <is>
          <t>H002</t>
        </is>
      </c>
      <c r="B9" s="13" t="inlineStr">
        <is>
          <t>Gift to a slate candidate</t>
        </is>
      </c>
      <c r="C9" s="13" t="inlineStr">
        <is>
          <t>Friends of Julia Brim-Edwards</t>
        </is>
      </c>
      <c r="D9" s="13" t="inlineStr">
        <is>
          <t>21206</t>
        </is>
      </c>
      <c r="E9" s="13" t="inlineStr">
        <is>
          <t>4913049</t>
        </is>
      </c>
      <c r="F9" s="13" t="inlineStr">
        <is>
          <t>2024-05-14</t>
        </is>
      </c>
      <c r="G9" s="13" t="n">
        <v>500</v>
      </c>
      <c r="H9" s="13" t="inlineStr"/>
    </row>
    <row r="10">
      <c r="A10" s="13" t="inlineStr">
        <is>
          <t>H002</t>
        </is>
      </c>
      <c r="B10" s="13" t="inlineStr">
        <is>
          <t>Republican gift</t>
        </is>
      </c>
      <c r="C10" s="13" t="inlineStr">
        <is>
          <t>Friends of Allen Alley</t>
        </is>
      </c>
      <c r="D10" s="13" t="inlineStr">
        <is>
          <t>12878</t>
        </is>
      </c>
      <c r="E10" s="13" t="inlineStr">
        <is>
          <t>346009</t>
        </is>
      </c>
      <c r="F10" s="13" t="inlineStr">
        <is>
          <t>2008-06-10</t>
        </is>
      </c>
      <c r="G10" s="13" t="n">
        <v>5000</v>
      </c>
      <c r="H10" s="13" t="inlineStr">
        <is>
          <t>Street address or PO box</t>
        </is>
      </c>
    </row>
    <row r="11">
      <c r="A11" s="13" t="inlineStr">
        <is>
          <t>H002</t>
        </is>
      </c>
      <c r="B11" s="13" t="inlineStr">
        <is>
          <t>Republican gift</t>
        </is>
      </c>
      <c r="C11" s="13" t="inlineStr">
        <is>
          <t>Friends of Allen Alley</t>
        </is>
      </c>
      <c r="D11" s="13" t="inlineStr">
        <is>
          <t>12878</t>
        </is>
      </c>
      <c r="E11" s="13" t="inlineStr">
        <is>
          <t>561926</t>
        </is>
      </c>
      <c r="F11" s="13" t="inlineStr">
        <is>
          <t>2009-04-23</t>
        </is>
      </c>
      <c r="G11" s="13" t="n">
        <v>2000</v>
      </c>
      <c r="H11" s="13" t="inlineStr">
        <is>
          <t>Street address or PO box</t>
        </is>
      </c>
    </row>
    <row r="12">
      <c r="A12" s="13" t="inlineStr">
        <is>
          <t>H002</t>
        </is>
      </c>
      <c r="B12" s="13" t="inlineStr">
        <is>
          <t>Republican gift</t>
        </is>
      </c>
      <c r="C12" s="13" t="inlineStr">
        <is>
          <t>Friends of Chris Dudley</t>
        </is>
      </c>
      <c r="D12" s="13" t="inlineStr">
        <is>
          <t>13998</t>
        </is>
      </c>
      <c r="E12" s="13" t="inlineStr">
        <is>
          <t>737042</t>
        </is>
      </c>
      <c r="F12" s="13" t="inlineStr">
        <is>
          <t>2010-03-29</t>
        </is>
      </c>
      <c r="G12" s="13" t="n">
        <v>5000</v>
      </c>
      <c r="H12" s="13" t="inlineStr">
        <is>
          <t>Street address or PO box</t>
        </is>
      </c>
    </row>
    <row r="13">
      <c r="A13" s="13" t="inlineStr">
        <is>
          <t>H002</t>
        </is>
      </c>
      <c r="B13" s="13" t="inlineStr">
        <is>
          <t>Republican gift</t>
        </is>
      </c>
      <c r="C13" s="13" t="inlineStr">
        <is>
          <t>Friends of Chris Dudley</t>
        </is>
      </c>
      <c r="D13" s="13" t="inlineStr">
        <is>
          <t>13998</t>
        </is>
      </c>
      <c r="E13" s="13" t="inlineStr">
        <is>
          <t>780531</t>
        </is>
      </c>
      <c r="F13" s="13" t="inlineStr">
        <is>
          <t>2010-05-05</t>
        </is>
      </c>
      <c r="G13" s="13" t="n">
        <v>250</v>
      </c>
      <c r="H13" s="13" t="inlineStr">
        <is>
          <t>Street address or PO box</t>
        </is>
      </c>
    </row>
    <row r="14">
      <c r="A14" s="13" t="inlineStr">
        <is>
          <t>H002</t>
        </is>
      </c>
      <c r="B14" s="13" t="inlineStr">
        <is>
          <t>Republican gift</t>
        </is>
      </c>
      <c r="C14" s="13" t="inlineStr">
        <is>
          <t>Friends of Chris Dudley</t>
        </is>
      </c>
      <c r="D14" s="13" t="inlineStr">
        <is>
          <t>13998</t>
        </is>
      </c>
      <c r="E14" s="13" t="inlineStr">
        <is>
          <t>810187</t>
        </is>
      </c>
      <c r="F14" s="13" t="inlineStr">
        <is>
          <t>2010-06-10</t>
        </is>
      </c>
      <c r="G14" s="13" t="n">
        <v>5000</v>
      </c>
      <c r="H14" s="13" t="inlineStr">
        <is>
          <t>Street address or PO box</t>
        </is>
      </c>
    </row>
    <row r="15">
      <c r="A15" s="13" t="inlineStr">
        <is>
          <t>H002</t>
        </is>
      </c>
      <c r="B15" s="13" t="inlineStr">
        <is>
          <t>Republican gift</t>
        </is>
      </c>
      <c r="C15" s="13" t="inlineStr">
        <is>
          <t>Friends of Chris Dudley</t>
        </is>
      </c>
      <c r="D15" s="13" t="inlineStr">
        <is>
          <t>13998</t>
        </is>
      </c>
      <c r="E15" s="13" t="inlineStr">
        <is>
          <t>867527</t>
        </is>
      </c>
      <c r="F15" s="13" t="inlineStr">
        <is>
          <t>2010-08-27</t>
        </is>
      </c>
      <c r="G15" s="13" t="n">
        <v>500</v>
      </c>
      <c r="H15" s="13" t="inlineStr">
        <is>
          <t>Street address or PO box</t>
        </is>
      </c>
    </row>
    <row r="16">
      <c r="A16" s="13" t="inlineStr">
        <is>
          <t>H002</t>
        </is>
      </c>
      <c r="B16" s="13" t="inlineStr">
        <is>
          <t>Republican gift</t>
        </is>
      </c>
      <c r="C16" s="13" t="inlineStr">
        <is>
          <t>Friends of Chris Dudley</t>
        </is>
      </c>
      <c r="D16" s="13" t="inlineStr">
        <is>
          <t>13998</t>
        </is>
      </c>
      <c r="E16" s="13" t="inlineStr">
        <is>
          <t>889878</t>
        </is>
      </c>
      <c r="F16" s="13" t="inlineStr">
        <is>
          <t>2010-09-20</t>
        </is>
      </c>
      <c r="G16" s="13" t="n">
        <v>5000</v>
      </c>
      <c r="H16" s="13" t="inlineStr">
        <is>
          <t>Street address or PO box</t>
        </is>
      </c>
    </row>
    <row r="17">
      <c r="A17" s="13" t="inlineStr">
        <is>
          <t>H002</t>
        </is>
      </c>
      <c r="B17" s="13" t="inlineStr">
        <is>
          <t>Republican gift</t>
        </is>
      </c>
      <c r="C17" s="13" t="inlineStr">
        <is>
          <t>Citizens to Elect Dennis Richardson</t>
        </is>
      </c>
      <c r="D17" s="13" t="inlineStr">
        <is>
          <t>4155</t>
        </is>
      </c>
      <c r="E17" s="13" t="inlineStr">
        <is>
          <t>1691136</t>
        </is>
      </c>
      <c r="F17" s="13" t="inlineStr">
        <is>
          <t>2014-04-08</t>
        </is>
      </c>
      <c r="G17" s="13" t="n">
        <v>1000</v>
      </c>
      <c r="H17" s="13" t="inlineStr">
        <is>
          <t>Street address or PO box</t>
        </is>
      </c>
    </row>
    <row r="18">
      <c r="A18" s="13" t="inlineStr">
        <is>
          <t>H002</t>
        </is>
      </c>
      <c r="B18" s="13" t="inlineStr">
        <is>
          <t>Republican gift</t>
        </is>
      </c>
      <c r="C18" s="13" t="inlineStr">
        <is>
          <t>Friends of Allen Alley</t>
        </is>
      </c>
      <c r="D18" s="13" t="inlineStr">
        <is>
          <t>12878</t>
        </is>
      </c>
      <c r="E18" s="13" t="inlineStr">
        <is>
          <t>2214008</t>
        </is>
      </c>
      <c r="F18" s="13" t="inlineStr">
        <is>
          <t>2016-04-09</t>
        </is>
      </c>
      <c r="G18" s="13" t="n">
        <v>1000</v>
      </c>
      <c r="H18" s="13" t="inlineStr">
        <is>
          <t>Street address or PO box</t>
        </is>
      </c>
    </row>
    <row r="19">
      <c r="A19" s="13" t="inlineStr">
        <is>
          <t>H002</t>
        </is>
      </c>
      <c r="B19" s="13" t="inlineStr">
        <is>
          <t>Republican gift</t>
        </is>
      </c>
      <c r="C19" s="13" t="inlineStr">
        <is>
          <t>Friends of Allen Alley</t>
        </is>
      </c>
      <c r="D19" s="13" t="inlineStr">
        <is>
          <t>12878</t>
        </is>
      </c>
      <c r="E19" s="13" t="inlineStr">
        <is>
          <t>2255309</t>
        </is>
      </c>
      <c r="F19" s="13" t="inlineStr">
        <is>
          <t>2016-05-16</t>
        </is>
      </c>
      <c r="G19" s="13" t="n">
        <v>1000</v>
      </c>
      <c r="H19" s="13" t="inlineStr">
        <is>
          <t>Street address or PO box</t>
        </is>
      </c>
    </row>
    <row r="20">
      <c r="A20" s="13" t="inlineStr">
        <is>
          <t>H002</t>
        </is>
      </c>
      <c r="B20" s="13" t="inlineStr">
        <is>
          <t>Republican gift</t>
        </is>
      </c>
      <c r="C20" s="13" t="inlineStr">
        <is>
          <t>Bud Pierce for a Better Oregon</t>
        </is>
      </c>
      <c r="D20" s="13" t="inlineStr">
        <is>
          <t>17397</t>
        </is>
      </c>
      <c r="E20" s="13" t="inlineStr">
        <is>
          <t>2338132</t>
        </is>
      </c>
      <c r="F20" s="13" t="inlineStr">
        <is>
          <t>2016-09-06</t>
        </is>
      </c>
      <c r="G20" s="13" t="n">
        <v>1000</v>
      </c>
      <c r="H20" s="13" t="inlineStr">
        <is>
          <t>Street address or PO box</t>
        </is>
      </c>
    </row>
    <row r="21">
      <c r="A21" s="13" t="inlineStr">
        <is>
          <t>H002</t>
        </is>
      </c>
      <c r="B21" s="13" t="inlineStr">
        <is>
          <t>Republican gift</t>
        </is>
      </c>
      <c r="C21" s="13" t="inlineStr">
        <is>
          <t>Bud Pierce for a Better Oregon</t>
        </is>
      </c>
      <c r="D21" s="13" t="inlineStr">
        <is>
          <t>17397</t>
        </is>
      </c>
      <c r="E21" s="13" t="inlineStr">
        <is>
          <t>2400409</t>
        </is>
      </c>
      <c r="F21" s="13" t="inlineStr">
        <is>
          <t>2016-10-14</t>
        </is>
      </c>
      <c r="G21" s="13" t="n">
        <v>1000</v>
      </c>
      <c r="H21" s="13" t="inlineStr">
        <is>
          <t>Street address or PO box</t>
        </is>
      </c>
    </row>
    <row r="22">
      <c r="A22" s="13" t="inlineStr">
        <is>
          <t>H002</t>
        </is>
      </c>
      <c r="B22" s="13" t="inlineStr">
        <is>
          <t>Republican gift</t>
        </is>
      </c>
      <c r="C22" s="13" t="inlineStr">
        <is>
          <t>Knute for Governor</t>
        </is>
      </c>
      <c r="D22" s="13" t="inlineStr">
        <is>
          <t>15192</t>
        </is>
      </c>
      <c r="E22" s="13" t="inlineStr">
        <is>
          <t>2800100</t>
        </is>
      </c>
      <c r="F22" s="13" t="inlineStr">
        <is>
          <t>2018-04-06</t>
        </is>
      </c>
      <c r="G22" s="13" t="n">
        <v>3000</v>
      </c>
      <c r="H22" s="13" t="inlineStr">
        <is>
          <t>Street address or PO box</t>
        </is>
      </c>
    </row>
    <row r="23">
      <c r="A23" s="13" t="inlineStr">
        <is>
          <t>H002</t>
        </is>
      </c>
      <c r="B23" s="13" t="inlineStr">
        <is>
          <t>Republican gift</t>
        </is>
      </c>
      <c r="C23" s="13" t="inlineStr">
        <is>
          <t>Knute for Governor</t>
        </is>
      </c>
      <c r="D23" s="13" t="inlineStr">
        <is>
          <t>15192</t>
        </is>
      </c>
      <c r="E23" s="13" t="inlineStr">
        <is>
          <t>2903943</t>
        </is>
      </c>
      <c r="F23" s="13" t="inlineStr">
        <is>
          <t>2018-07-26</t>
        </is>
      </c>
      <c r="G23" s="13" t="n">
        <v>5000</v>
      </c>
      <c r="H23" s="13" t="inlineStr">
        <is>
          <t>Street address or PO box</t>
        </is>
      </c>
    </row>
    <row r="24">
      <c r="A24" s="13" t="inlineStr">
        <is>
          <t>H002</t>
        </is>
      </c>
      <c r="B24" s="13" t="inlineStr">
        <is>
          <t>Republican gift</t>
        </is>
      </c>
      <c r="C24" s="13" t="inlineStr">
        <is>
          <t>Knute for Governor</t>
        </is>
      </c>
      <c r="D24" s="13" t="inlineStr">
        <is>
          <t>15192</t>
        </is>
      </c>
      <c r="E24" s="13" t="inlineStr">
        <is>
          <t>3008676</t>
        </is>
      </c>
      <c r="F24" s="13" t="inlineStr">
        <is>
          <t>2018-10-01</t>
        </is>
      </c>
      <c r="G24" s="13" t="n">
        <v>5000</v>
      </c>
      <c r="H24" s="13" t="inlineStr">
        <is>
          <t>Street address or PO box</t>
        </is>
      </c>
    </row>
    <row r="25">
      <c r="A25" s="13" t="inlineStr">
        <is>
          <t>H002</t>
        </is>
      </c>
      <c r="B25" s="13" t="inlineStr">
        <is>
          <t>Republican gift</t>
        </is>
      </c>
      <c r="C25" s="13" t="inlineStr">
        <is>
          <t>Friends of Kim Thatcher</t>
        </is>
      </c>
      <c r="D25" s="13" t="inlineStr">
        <is>
          <t>4871</t>
        </is>
      </c>
      <c r="E25" s="13" t="inlineStr">
        <is>
          <t>3576688</t>
        </is>
      </c>
      <c r="F25" s="13" t="inlineStr">
        <is>
          <t>2020-09-15</t>
        </is>
      </c>
      <c r="G25" s="13" t="n">
        <v>500</v>
      </c>
      <c r="H25" s="13" t="inlineStr">
        <is>
          <t>Street address or PO box</t>
        </is>
      </c>
    </row>
    <row r="26">
      <c r="A26" s="13" t="inlineStr">
        <is>
          <t>H002</t>
        </is>
      </c>
      <c r="B26" s="13" t="inlineStr">
        <is>
          <t>Republican gift</t>
        </is>
      </c>
      <c r="C26" s="13" t="inlineStr">
        <is>
          <t>Friends of Christine Drazan</t>
        </is>
      </c>
      <c r="D26" s="13" t="inlineStr">
        <is>
          <t>19050</t>
        </is>
      </c>
      <c r="E26" s="13" t="inlineStr">
        <is>
          <t>5753126</t>
        </is>
      </c>
      <c r="F26" s="13" t="inlineStr">
        <is>
          <t>2026-08-05</t>
        </is>
      </c>
      <c r="G26" s="13" t="n">
        <v>6000</v>
      </c>
      <c r="H26" s="13" t="inlineStr">
        <is>
          <t>Street address or PO box</t>
        </is>
      </c>
    </row>
    <row r="27">
      <c r="A27" s="13" t="inlineStr">
        <is>
          <t>H002</t>
        </is>
      </c>
      <c r="B27" s="13" t="inlineStr">
        <is>
          <t>Republican gift</t>
        </is>
      </c>
      <c r="C27" s="13" t="inlineStr">
        <is>
          <t>Friends of Christine Drazan</t>
        </is>
      </c>
      <c r="D27" s="13" t="inlineStr">
        <is>
          <t>19050</t>
        </is>
      </c>
      <c r="E27" s="13" t="inlineStr">
        <is>
          <t>5771083</t>
        </is>
      </c>
      <c r="F27" s="13" t="inlineStr">
        <is>
          <t>2026-08-19</t>
        </is>
      </c>
      <c r="G27" s="13" t="n">
        <v>5000</v>
      </c>
      <c r="H27" s="13" t="inlineStr">
        <is>
          <t>Street address or PO box</t>
        </is>
      </c>
    </row>
    <row r="28">
      <c r="A28" s="13" t="inlineStr">
        <is>
          <t>H003</t>
        </is>
      </c>
      <c r="B28" s="13" t="inlineStr">
        <is>
          <t>Gift to a slate candidate</t>
        </is>
      </c>
      <c r="C28" s="13" t="inlineStr">
        <is>
          <t>Friends of Julia Brim-Edwards</t>
        </is>
      </c>
      <c r="D28" s="13" t="inlineStr">
        <is>
          <t>21206</t>
        </is>
      </c>
      <c r="E28" s="13" t="inlineStr">
        <is>
          <t>4536309</t>
        </is>
      </c>
      <c r="F28" s="13" t="inlineStr">
        <is>
          <t>2023-03-23</t>
        </is>
      </c>
      <c r="G28" s="13" t="n">
        <v>500</v>
      </c>
      <c r="H28" s="13" t="inlineStr"/>
    </row>
    <row r="29">
      <c r="A29" s="13" t="inlineStr">
        <is>
          <t>H003</t>
        </is>
      </c>
      <c r="B29" s="13" t="inlineStr">
        <is>
          <t>Gift to a slate candidate</t>
        </is>
      </c>
      <c r="C29" s="13" t="inlineStr">
        <is>
          <t>Friends of Olivia</t>
        </is>
      </c>
      <c r="D29" s="13" t="inlineStr">
        <is>
          <t>23199</t>
        </is>
      </c>
      <c r="E29" s="13" t="inlineStr">
        <is>
          <t>4712016</t>
        </is>
      </c>
      <c r="F29" s="13" t="inlineStr">
        <is>
          <t>2023-11-28</t>
        </is>
      </c>
      <c r="G29" s="13" t="n">
        <v>250</v>
      </c>
      <c r="H29" s="13" t="inlineStr"/>
    </row>
    <row r="30">
      <c r="A30" s="13" t="inlineStr">
        <is>
          <t>H003</t>
        </is>
      </c>
      <c r="B30" s="13" t="inlineStr">
        <is>
          <t>Gift to a slate candidate</t>
        </is>
      </c>
      <c r="C30" s="13" t="inlineStr">
        <is>
          <t>Friends of Julia Brim-Edwards</t>
        </is>
      </c>
      <c r="D30" s="13" t="inlineStr">
        <is>
          <t>21206</t>
        </is>
      </c>
      <c r="E30" s="13" t="inlineStr">
        <is>
          <t>4853079</t>
        </is>
      </c>
      <c r="F30" s="13" t="inlineStr">
        <is>
          <t>2024-03-26</t>
        </is>
      </c>
      <c r="G30" s="13" t="n">
        <v>500</v>
      </c>
      <c r="H30" s="13" t="inlineStr"/>
    </row>
    <row r="31">
      <c r="A31" s="13" t="inlineStr">
        <is>
          <t>H003</t>
        </is>
      </c>
      <c r="B31" s="13" t="inlineStr">
        <is>
          <t>Republican gift</t>
        </is>
      </c>
      <c r="C31" s="13" t="inlineStr">
        <is>
          <t>Friends of Allen Alley</t>
        </is>
      </c>
      <c r="D31" s="13" t="inlineStr">
        <is>
          <t>12878</t>
        </is>
      </c>
      <c r="E31" s="13" t="inlineStr">
        <is>
          <t>373393</t>
        </is>
      </c>
      <c r="F31" s="13" t="inlineStr">
        <is>
          <t>2008-08-14</t>
        </is>
      </c>
      <c r="G31" s="13" t="n">
        <v>250</v>
      </c>
      <c r="H31" s="13" t="inlineStr">
        <is>
          <t>Street address or PO box</t>
        </is>
      </c>
    </row>
    <row r="32">
      <c r="A32" s="13" t="inlineStr">
        <is>
          <t>H004</t>
        </is>
      </c>
      <c r="B32" s="13" t="inlineStr">
        <is>
          <t>Gift to a slate candidate</t>
        </is>
      </c>
      <c r="C32" s="13" t="inlineStr">
        <is>
          <t>Friends of Julia Brim-Edwards</t>
        </is>
      </c>
      <c r="D32" s="13" t="inlineStr">
        <is>
          <t>21206</t>
        </is>
      </c>
      <c r="E32" s="13" t="inlineStr">
        <is>
          <t>4572188</t>
        </is>
      </c>
      <c r="F32" s="13" t="inlineStr">
        <is>
          <t>2023-05-03</t>
        </is>
      </c>
      <c r="G32" s="13" t="n">
        <v>250</v>
      </c>
      <c r="H32" s="13" t="inlineStr"/>
    </row>
    <row r="33">
      <c r="A33" s="13" t="inlineStr">
        <is>
          <t>H004</t>
        </is>
      </c>
      <c r="B33" s="13" t="inlineStr">
        <is>
          <t>Gift to a slate candidate</t>
        </is>
      </c>
      <c r="C33" s="13" t="inlineStr">
        <is>
          <t>Friends of Julia Brim-Edwards</t>
        </is>
      </c>
      <c r="D33" s="13" t="inlineStr">
        <is>
          <t>21206</t>
        </is>
      </c>
      <c r="E33" s="13" t="inlineStr">
        <is>
          <t>5627329</t>
        </is>
      </c>
      <c r="F33" s="13" t="inlineStr">
        <is>
          <t>2026-04-13</t>
        </is>
      </c>
      <c r="G33" s="13" t="n">
        <v>500</v>
      </c>
      <c r="H33" s="13" t="inlineStr"/>
    </row>
    <row r="34">
      <c r="A34" s="13" t="inlineStr">
        <is>
          <t>H004</t>
        </is>
      </c>
      <c r="B34" s="13" t="inlineStr">
        <is>
          <t>Republican gift</t>
        </is>
      </c>
      <c r="C34" s="13" t="inlineStr">
        <is>
          <t>Friends of Allen Alley</t>
        </is>
      </c>
      <c r="D34" s="13" t="inlineStr">
        <is>
          <t>12878</t>
        </is>
      </c>
      <c r="E34" s="13" t="inlineStr">
        <is>
          <t>406431</t>
        </is>
      </c>
      <c r="F34" s="13" t="inlineStr">
        <is>
          <t>2008-09-10</t>
        </is>
      </c>
      <c r="G34" s="13" t="n">
        <v>500</v>
      </c>
      <c r="H34" s="13" t="inlineStr">
        <is>
          <t>Street address or PO box</t>
        </is>
      </c>
    </row>
    <row r="35">
      <c r="A35" s="13" t="inlineStr">
        <is>
          <t>H004</t>
        </is>
      </c>
      <c r="B35" s="13" t="inlineStr">
        <is>
          <t>Republican gift</t>
        </is>
      </c>
      <c r="C35" s="13" t="inlineStr">
        <is>
          <t>Friends of Allen Alley</t>
        </is>
      </c>
      <c r="D35" s="13" t="inlineStr">
        <is>
          <t>12878</t>
        </is>
      </c>
      <c r="E35" s="13" t="inlineStr">
        <is>
          <t>436939</t>
        </is>
      </c>
      <c r="F35" s="13" t="inlineStr">
        <is>
          <t>2008-09-30</t>
        </is>
      </c>
      <c r="G35" s="13" t="n">
        <v>500</v>
      </c>
      <c r="H35" s="13" t="inlineStr">
        <is>
          <t>Street address or PO box</t>
        </is>
      </c>
    </row>
    <row r="36">
      <c r="A36" s="13" t="inlineStr">
        <is>
          <t>H005</t>
        </is>
      </c>
      <c r="B36" s="13" t="inlineStr">
        <is>
          <t>Gift to a slate candidate</t>
        </is>
      </c>
      <c r="C36" s="13" t="inlineStr">
        <is>
          <t>Friends of Julia Brim-Edwards</t>
        </is>
      </c>
      <c r="D36" s="13" t="inlineStr">
        <is>
          <t>21206</t>
        </is>
      </c>
      <c r="E36" s="13" t="inlineStr">
        <is>
          <t>4551175</t>
        </is>
      </c>
      <c r="F36" s="13" t="inlineStr">
        <is>
          <t>2023-04-03</t>
        </is>
      </c>
      <c r="G36" s="13" t="n">
        <v>250</v>
      </c>
      <c r="H36" s="13" t="inlineStr"/>
    </row>
    <row r="37">
      <c r="A37" s="13" t="inlineStr">
        <is>
          <t>H005</t>
        </is>
      </c>
      <c r="B37" s="13" t="inlineStr">
        <is>
          <t>Gift to a slate candidate</t>
        </is>
      </c>
      <c r="C37" s="13" t="inlineStr">
        <is>
          <t>Friends of Olivia</t>
        </is>
      </c>
      <c r="D37" s="13" t="inlineStr">
        <is>
          <t>23199</t>
        </is>
      </c>
      <c r="E37" s="13" t="inlineStr">
        <is>
          <t>5085923</t>
        </is>
      </c>
      <c r="F37" s="13" t="inlineStr">
        <is>
          <t>2024-10-06</t>
        </is>
      </c>
      <c r="G37" s="13" t="n">
        <v>250</v>
      </c>
      <c r="H37" s="13" t="inlineStr"/>
    </row>
    <row r="38">
      <c r="A38" s="13" t="inlineStr">
        <is>
          <t>H005</t>
        </is>
      </c>
      <c r="B38" s="13" t="inlineStr">
        <is>
          <t>Gift to a slate candidate</t>
        </is>
      </c>
      <c r="C38" s="13" t="inlineStr">
        <is>
          <t>Friends of Olivia</t>
        </is>
      </c>
      <c r="D38" s="13" t="inlineStr">
        <is>
          <t>23199</t>
        </is>
      </c>
      <c r="E38" s="13" t="inlineStr">
        <is>
          <t>5633047</t>
        </is>
      </c>
      <c r="F38" s="13" t="inlineStr">
        <is>
          <t>2026-03-26</t>
        </is>
      </c>
      <c r="G38" s="13" t="n">
        <v>250</v>
      </c>
      <c r="H38" s="13" t="inlineStr"/>
    </row>
    <row r="39">
      <c r="A39" s="13" t="inlineStr">
        <is>
          <t>H005</t>
        </is>
      </c>
      <c r="B39" s="13" t="inlineStr">
        <is>
          <t>Gift to a slate candidate</t>
        </is>
      </c>
      <c r="C39" s="13" t="inlineStr">
        <is>
          <t>Friends of Julia Brim-Edwards</t>
        </is>
      </c>
      <c r="D39" s="13" t="inlineStr">
        <is>
          <t>21206</t>
        </is>
      </c>
      <c r="E39" s="13" t="inlineStr">
        <is>
          <t>5747271</t>
        </is>
      </c>
      <c r="F39" s="13" t="inlineStr">
        <is>
          <t>2026-07-08</t>
        </is>
      </c>
      <c r="G39" s="13" t="n">
        <v>250</v>
      </c>
      <c r="H39" s="13" t="inlineStr"/>
    </row>
    <row r="40">
      <c r="A40" s="13" t="inlineStr">
        <is>
          <t>H005</t>
        </is>
      </c>
      <c r="B40" s="13" t="inlineStr">
        <is>
          <t>Gift to a slate candidate</t>
        </is>
      </c>
      <c r="C40" s="13" t="inlineStr">
        <is>
          <t>Kellie Torres for Portland</t>
        </is>
      </c>
      <c r="D40" s="13" t="inlineStr">
        <is>
          <t>24897</t>
        </is>
      </c>
      <c r="E40" s="13" t="inlineStr">
        <is>
          <t>5846576</t>
        </is>
      </c>
      <c r="F40" s="13" t="inlineStr">
        <is>
          <t>2026-09-20</t>
        </is>
      </c>
      <c r="G40" s="13" t="n">
        <v>250</v>
      </c>
      <c r="H40" s="13" t="inlineStr"/>
    </row>
    <row r="41">
      <c r="A41" s="13" t="inlineStr">
        <is>
          <t>H005</t>
        </is>
      </c>
      <c r="B41" s="13" t="inlineStr">
        <is>
          <t>Gift to a slate candidate</t>
        </is>
      </c>
      <c r="C41" s="13" t="inlineStr">
        <is>
          <t>Kellie Torres for Portland</t>
        </is>
      </c>
      <c r="D41" s="13" t="inlineStr">
        <is>
          <t>24897</t>
        </is>
      </c>
      <c r="E41" s="13" t="inlineStr">
        <is>
          <t>5846642</t>
        </is>
      </c>
      <c r="F41" s="13" t="inlineStr">
        <is>
          <t>2026-09-20</t>
        </is>
      </c>
      <c r="G41" s="13" t="n">
        <v>250</v>
      </c>
      <c r="H41" s="13" t="inlineStr"/>
    </row>
    <row r="42">
      <c r="A42" s="13" t="inlineStr">
        <is>
          <t>H005</t>
        </is>
      </c>
      <c r="B42" s="13" t="inlineStr">
        <is>
          <t>Republican gift</t>
        </is>
      </c>
      <c r="C42" s="13" t="inlineStr">
        <is>
          <t>Friends of Allen Alley</t>
        </is>
      </c>
      <c r="D42" s="13" t="inlineStr">
        <is>
          <t>12878</t>
        </is>
      </c>
      <c r="E42" s="13" t="inlineStr">
        <is>
          <t>449303</t>
        </is>
      </c>
      <c r="F42" s="13" t="inlineStr">
        <is>
          <t>2008-10-10</t>
        </is>
      </c>
      <c r="G42" s="13" t="n">
        <v>500</v>
      </c>
      <c r="H42" s="13" t="inlineStr">
        <is>
          <t>Street address or PO box</t>
        </is>
      </c>
    </row>
    <row r="43">
      <c r="A43" s="13" t="inlineStr">
        <is>
          <t>H006</t>
        </is>
      </c>
      <c r="B43" s="13" t="inlineStr">
        <is>
          <t>Gift to a slate candidate</t>
        </is>
      </c>
      <c r="C43" s="13" t="inlineStr">
        <is>
          <t>Friends of Julia Brim-Edwards</t>
        </is>
      </c>
      <c r="D43" s="13" t="inlineStr">
        <is>
          <t>21206</t>
        </is>
      </c>
      <c r="E43" s="13" t="inlineStr">
        <is>
          <t>4860147</t>
        </is>
      </c>
      <c r="F43" s="13" t="inlineStr">
        <is>
          <t>2024-04-14</t>
        </is>
      </c>
      <c r="G43" s="13" t="n">
        <v>500</v>
      </c>
      <c r="H43" s="13" t="inlineStr"/>
    </row>
    <row r="44">
      <c r="A44" s="13" t="inlineStr">
        <is>
          <t>H006</t>
        </is>
      </c>
      <c r="B44" s="13" t="inlineStr">
        <is>
          <t>Republican gift</t>
        </is>
      </c>
      <c r="C44" s="13" t="inlineStr">
        <is>
          <t>Friends of Allen Alley</t>
        </is>
      </c>
      <c r="D44" s="13" t="inlineStr">
        <is>
          <t>12878</t>
        </is>
      </c>
      <c r="E44" s="13" t="inlineStr">
        <is>
          <t>456114</t>
        </is>
      </c>
      <c r="F44" s="13" t="inlineStr">
        <is>
          <t>2008-10-16</t>
        </is>
      </c>
      <c r="G44" s="13" t="n">
        <v>2000</v>
      </c>
      <c r="H44" s="13" t="inlineStr">
        <is>
          <t>Street address or PO box</t>
        </is>
      </c>
    </row>
    <row r="45">
      <c r="A45" s="13" t="inlineStr">
        <is>
          <t>H006</t>
        </is>
      </c>
      <c r="B45" s="13" t="inlineStr">
        <is>
          <t>Republican gift</t>
        </is>
      </c>
      <c r="C45" s="13" t="inlineStr">
        <is>
          <t>Friends of Chris Dudley</t>
        </is>
      </c>
      <c r="D45" s="13" t="inlineStr">
        <is>
          <t>13998</t>
        </is>
      </c>
      <c r="E45" s="13" t="inlineStr">
        <is>
          <t>931177</t>
        </is>
      </c>
      <c r="F45" s="13" t="inlineStr">
        <is>
          <t>2010-10-12</t>
        </is>
      </c>
      <c r="G45" s="13" t="n">
        <v>20000</v>
      </c>
      <c r="H45" s="13" t="inlineStr">
        <is>
          <t>Street address or PO box</t>
        </is>
      </c>
    </row>
    <row r="46">
      <c r="A46" s="13" t="inlineStr">
        <is>
          <t>H006</t>
        </is>
      </c>
      <c r="B46" s="13" t="inlineStr">
        <is>
          <t>Republican gift</t>
        </is>
      </c>
      <c r="C46" s="13" t="inlineStr">
        <is>
          <t>Working Families for Bruce Starr</t>
        </is>
      </c>
      <c r="D46" s="13" t="inlineStr">
        <is>
          <t>2752</t>
        </is>
      </c>
      <c r="E46" s="13" t="inlineStr">
        <is>
          <t>1197497</t>
        </is>
      </c>
      <c r="F46" s="13" t="inlineStr">
        <is>
          <t>2012-03-12</t>
        </is>
      </c>
      <c r="G46" s="13" t="n">
        <v>3000</v>
      </c>
      <c r="H46" s="13" t="inlineStr">
        <is>
          <t>Street address or PO box</t>
        </is>
      </c>
    </row>
    <row r="47">
      <c r="A47" s="13" t="inlineStr">
        <is>
          <t>H006</t>
        </is>
      </c>
      <c r="B47" s="13" t="inlineStr">
        <is>
          <t>Republican gift</t>
        </is>
      </c>
      <c r="C47" s="13" t="inlineStr">
        <is>
          <t>The Leadership Fund</t>
        </is>
      </c>
      <c r="D47" s="13" t="inlineStr">
        <is>
          <t>2690</t>
        </is>
      </c>
      <c r="E47" s="13" t="inlineStr">
        <is>
          <t>1221981</t>
        </is>
      </c>
      <c r="F47" s="13" t="inlineStr">
        <is>
          <t>2012-04-12</t>
        </is>
      </c>
      <c r="G47" s="13" t="n">
        <v>5000</v>
      </c>
      <c r="H47" s="13" t="inlineStr">
        <is>
          <t>Street address or PO box</t>
        </is>
      </c>
    </row>
    <row r="48">
      <c r="A48" s="13" t="inlineStr">
        <is>
          <t>H006</t>
        </is>
      </c>
      <c r="B48" s="13" t="inlineStr">
        <is>
          <t>Republican gift</t>
        </is>
      </c>
      <c r="C48" s="13" t="inlineStr">
        <is>
          <t>The Leadership Fund</t>
        </is>
      </c>
      <c r="D48" s="13" t="inlineStr">
        <is>
          <t>2690</t>
        </is>
      </c>
      <c r="E48" s="13" t="inlineStr">
        <is>
          <t>1272145</t>
        </is>
      </c>
      <c r="F48" s="13" t="inlineStr">
        <is>
          <t>2012-06-29</t>
        </is>
      </c>
      <c r="G48" s="13" t="n">
        <v>5000</v>
      </c>
      <c r="H48" s="13" t="inlineStr">
        <is>
          <t>Street address or PO box</t>
        </is>
      </c>
    </row>
    <row r="49">
      <c r="A49" s="13" t="inlineStr">
        <is>
          <t>H006</t>
        </is>
      </c>
      <c r="B49" s="13" t="inlineStr">
        <is>
          <t>Republican gift</t>
        </is>
      </c>
      <c r="C49" s="13" t="inlineStr">
        <is>
          <t>Knute Buehler for Secretary of State</t>
        </is>
      </c>
      <c r="D49" s="13" t="inlineStr">
        <is>
          <t>15192</t>
        </is>
      </c>
      <c r="E49" s="13" t="inlineStr">
        <is>
          <t>1283234</t>
        </is>
      </c>
      <c r="F49" s="13" t="inlineStr">
        <is>
          <t>2012-07-16</t>
        </is>
      </c>
      <c r="G49" s="13" t="n">
        <v>500</v>
      </c>
      <c r="H49" s="13" t="inlineStr">
        <is>
          <t>Street address or PO box</t>
        </is>
      </c>
    </row>
    <row r="50">
      <c r="A50" s="13" t="inlineStr">
        <is>
          <t>H006</t>
        </is>
      </c>
      <c r="B50" s="13" t="inlineStr">
        <is>
          <t>Republican gift</t>
        </is>
      </c>
      <c r="C50" s="13" t="inlineStr">
        <is>
          <t>Knute for Governor</t>
        </is>
      </c>
      <c r="D50" s="13" t="inlineStr">
        <is>
          <t>15192</t>
        </is>
      </c>
      <c r="E50" s="13" t="inlineStr">
        <is>
          <t>3012967</t>
        </is>
      </c>
      <c r="F50" s="13" t="inlineStr">
        <is>
          <t>2018-10-03</t>
        </is>
      </c>
      <c r="G50" s="13" t="n">
        <v>10000</v>
      </c>
      <c r="H50" s="13" t="inlineStr">
        <is>
          <t>Street address or PO box</t>
        </is>
      </c>
    </row>
    <row r="51">
      <c r="A51" s="13" t="inlineStr">
        <is>
          <t>H006</t>
        </is>
      </c>
      <c r="B51" s="13" t="inlineStr">
        <is>
          <t>Republican gift</t>
        </is>
      </c>
      <c r="C51" s="13" t="inlineStr">
        <is>
          <t>Friends of Will Lathrop</t>
        </is>
      </c>
      <c r="D51" s="13" t="inlineStr">
        <is>
          <t>21896</t>
        </is>
      </c>
      <c r="E51" s="13" t="inlineStr">
        <is>
          <t>4788154</t>
        </is>
      </c>
      <c r="F51" s="13" t="inlineStr">
        <is>
          <t>2024-02-22</t>
        </is>
      </c>
      <c r="G51" s="13" t="n">
        <v>10000</v>
      </c>
      <c r="H51" s="13" t="inlineStr">
        <is>
          <t>Street address or PO box</t>
        </is>
      </c>
    </row>
    <row r="52">
      <c r="A52" s="13" t="inlineStr">
        <is>
          <t>H006</t>
        </is>
      </c>
      <c r="B52" s="13" t="inlineStr">
        <is>
          <t>Republican gift</t>
        </is>
      </c>
      <c r="C52" s="13" t="inlineStr">
        <is>
          <t>Bring Balance to Salem PAC</t>
        </is>
      </c>
      <c r="D52" s="13" t="inlineStr">
        <is>
          <t>21717</t>
        </is>
      </c>
      <c r="E52" s="13" t="inlineStr">
        <is>
          <t>5108443</t>
        </is>
      </c>
      <c r="F52" s="13" t="inlineStr">
        <is>
          <t>2024-10-21</t>
        </is>
      </c>
      <c r="G52" s="13" t="n">
        <v>2000</v>
      </c>
      <c r="H52" s="13" t="inlineStr">
        <is>
          <t>Street address or PO box</t>
        </is>
      </c>
    </row>
    <row r="53">
      <c r="A53" s="13" t="inlineStr">
        <is>
          <t>H006</t>
        </is>
      </c>
      <c r="B53" s="13" t="inlineStr">
        <is>
          <t>Republican gift</t>
        </is>
      </c>
      <c r="C53" s="13" t="inlineStr">
        <is>
          <t>Friends of Will Lathrop</t>
        </is>
      </c>
      <c r="D53" s="13" t="inlineStr">
        <is>
          <t>21896</t>
        </is>
      </c>
      <c r="E53" s="13" t="inlineStr">
        <is>
          <t>5124500</t>
        </is>
      </c>
      <c r="F53" s="13" t="inlineStr">
        <is>
          <t>2024-10-29</t>
        </is>
      </c>
      <c r="G53" s="13" t="n">
        <v>5000</v>
      </c>
      <c r="H53" s="13" t="inlineStr">
        <is>
          <t>Street address or PO box</t>
        </is>
      </c>
    </row>
    <row r="54">
      <c r="A54" s="13" t="inlineStr">
        <is>
          <t>H007</t>
        </is>
      </c>
      <c r="B54" s="13" t="inlineStr">
        <is>
          <t>Gift to a slate candidate</t>
        </is>
      </c>
      <c r="C54" s="13" t="inlineStr">
        <is>
          <t>Friends of Eric Zimmerman</t>
        </is>
      </c>
      <c r="D54" s="13" t="inlineStr">
        <is>
          <t>17629</t>
        </is>
      </c>
      <c r="E54" s="13" t="inlineStr">
        <is>
          <t>5813937</t>
        </is>
      </c>
      <c r="F54" s="13" t="inlineStr">
        <is>
          <t>2026-09-12</t>
        </is>
      </c>
      <c r="G54" s="13" t="n">
        <v>250</v>
      </c>
      <c r="H54" s="13" t="inlineStr"/>
    </row>
    <row r="55">
      <c r="A55" s="13" t="inlineStr">
        <is>
          <t>H007</t>
        </is>
      </c>
      <c r="B55" s="13" t="inlineStr">
        <is>
          <t>Republican gift</t>
        </is>
      </c>
      <c r="C55" s="13" t="inlineStr">
        <is>
          <t>Friends of Allen Alley</t>
        </is>
      </c>
      <c r="D55" s="13" t="inlineStr">
        <is>
          <t>12878</t>
        </is>
      </c>
      <c r="E55" s="13" t="inlineStr">
        <is>
          <t>467460</t>
        </is>
      </c>
      <c r="F55" s="13" t="inlineStr">
        <is>
          <t>2008-10-20</t>
        </is>
      </c>
      <c r="G55" s="13" t="n">
        <v>3000</v>
      </c>
      <c r="H55" s="13" t="inlineStr">
        <is>
          <t>Street address or PO box</t>
        </is>
      </c>
    </row>
    <row r="56">
      <c r="A56" s="13" t="inlineStr">
        <is>
          <t>H007</t>
        </is>
      </c>
      <c r="B56" s="13" t="inlineStr">
        <is>
          <t>Republican gift</t>
        </is>
      </c>
      <c r="C56" s="13" t="inlineStr">
        <is>
          <t>Friends of Allen Alley</t>
        </is>
      </c>
      <c r="D56" s="13" t="inlineStr">
        <is>
          <t>12878</t>
        </is>
      </c>
      <c r="E56" s="13" t="inlineStr">
        <is>
          <t>615753</t>
        </is>
      </c>
      <c r="F56" s="13" t="inlineStr">
        <is>
          <t>2009-09-17</t>
        </is>
      </c>
      <c r="G56" s="13" t="n">
        <v>3000</v>
      </c>
      <c r="H56" s="13" t="inlineStr">
        <is>
          <t>Street address or PO box</t>
        </is>
      </c>
    </row>
    <row r="57">
      <c r="A57" s="13" t="inlineStr">
        <is>
          <t>H007</t>
        </is>
      </c>
      <c r="B57" s="13" t="inlineStr">
        <is>
          <t>Republican gift</t>
        </is>
      </c>
      <c r="C57" s="13" t="inlineStr">
        <is>
          <t>Friends of Allen Alley</t>
        </is>
      </c>
      <c r="D57" s="13" t="inlineStr">
        <is>
          <t>12878</t>
        </is>
      </c>
      <c r="E57" s="13" t="inlineStr">
        <is>
          <t>730702</t>
        </is>
      </c>
      <c r="F57" s="13" t="inlineStr">
        <is>
          <t>2010-03-17</t>
        </is>
      </c>
      <c r="G57" s="13" t="n">
        <v>3000</v>
      </c>
      <c r="H57" s="13" t="inlineStr">
        <is>
          <t>Street address or PO box</t>
        </is>
      </c>
    </row>
    <row r="58">
      <c r="A58" s="13" t="inlineStr">
        <is>
          <t>H008</t>
        </is>
      </c>
      <c r="B58" s="13" t="inlineStr">
        <is>
          <t>Gift to a slate candidate</t>
        </is>
      </c>
      <c r="C58" s="13" t="inlineStr">
        <is>
          <t>Novick for Portland</t>
        </is>
      </c>
      <c r="D58" s="13" t="inlineStr">
        <is>
          <t>15109</t>
        </is>
      </c>
      <c r="E58" s="13" t="inlineStr">
        <is>
          <t>5863396</t>
        </is>
      </c>
      <c r="F58" s="13" t="inlineStr">
        <is>
          <t>2026-09-30</t>
        </is>
      </c>
      <c r="G58" s="13" t="n">
        <v>250</v>
      </c>
      <c r="H58" s="13" t="inlineStr"/>
    </row>
    <row r="59">
      <c r="A59" s="13" t="inlineStr">
        <is>
          <t>H008</t>
        </is>
      </c>
      <c r="B59" s="13" t="inlineStr">
        <is>
          <t>Gift to a slate candidate</t>
        </is>
      </c>
      <c r="C59" s="13" t="inlineStr">
        <is>
          <t>Friends of Eric Zimmerman</t>
        </is>
      </c>
      <c r="D59" s="13" t="inlineStr">
        <is>
          <t>17629</t>
        </is>
      </c>
      <c r="E59" s="13" t="inlineStr">
        <is>
          <t>5852827</t>
        </is>
      </c>
      <c r="F59" s="13" t="inlineStr">
        <is>
          <t>2026-09-30</t>
        </is>
      </c>
      <c r="G59" s="13" t="n">
        <v>250</v>
      </c>
      <c r="H59" s="13" t="inlineStr"/>
    </row>
    <row r="60">
      <c r="A60" s="13" t="inlineStr">
        <is>
          <t>H008</t>
        </is>
      </c>
      <c r="B60" s="13" t="inlineStr">
        <is>
          <t>Gift to a slate candidate</t>
        </is>
      </c>
      <c r="C60" s="13" t="inlineStr">
        <is>
          <t>Kellie Torres for Portland</t>
        </is>
      </c>
      <c r="D60" s="13" t="inlineStr">
        <is>
          <t>24897</t>
        </is>
      </c>
      <c r="E60" s="13" t="inlineStr">
        <is>
          <t>5873385</t>
        </is>
      </c>
      <c r="F60" s="13" t="inlineStr">
        <is>
          <t>2026-10-05</t>
        </is>
      </c>
      <c r="G60" s="13" t="n">
        <v>250</v>
      </c>
      <c r="H60" s="13" t="inlineStr"/>
    </row>
    <row r="61">
      <c r="A61" s="13" t="inlineStr">
        <is>
          <t>H008</t>
        </is>
      </c>
      <c r="B61" s="13" t="inlineStr">
        <is>
          <t>Republican gift</t>
        </is>
      </c>
      <c r="C61" s="13" t="inlineStr">
        <is>
          <t>Friends of Allen Alley</t>
        </is>
      </c>
      <c r="D61" s="13" t="inlineStr">
        <is>
          <t>12878</t>
        </is>
      </c>
      <c r="E61" s="13" t="inlineStr">
        <is>
          <t>467561</t>
        </is>
      </c>
      <c r="F61" s="13" t="inlineStr">
        <is>
          <t>2008-10-24</t>
        </is>
      </c>
      <c r="G61" s="13" t="n">
        <v>500</v>
      </c>
      <c r="H61" s="13" t="inlineStr">
        <is>
          <t>Hand review</t>
        </is>
      </c>
    </row>
    <row r="62">
      <c r="A62" s="13" t="inlineStr">
        <is>
          <t>H009</t>
        </is>
      </c>
      <c r="B62" s="13" t="inlineStr">
        <is>
          <t>Gift to a slate candidate</t>
        </is>
      </c>
      <c r="C62" s="13" t="inlineStr">
        <is>
          <t>Friends of Olivia</t>
        </is>
      </c>
      <c r="D62" s="13" t="inlineStr">
        <is>
          <t>23199</t>
        </is>
      </c>
      <c r="E62" s="13" t="inlineStr">
        <is>
          <t>5868497</t>
        </is>
      </c>
      <c r="F62" s="13" t="inlineStr">
        <is>
          <t>2026-10-05</t>
        </is>
      </c>
      <c r="G62" s="13" t="n">
        <v>250</v>
      </c>
      <c r="H62" s="13" t="inlineStr"/>
    </row>
    <row r="63">
      <c r="A63" s="13" t="inlineStr">
        <is>
          <t>H009</t>
        </is>
      </c>
      <c r="B63" s="13" t="inlineStr">
        <is>
          <t>Republican gift</t>
        </is>
      </c>
      <c r="C63" s="13" t="inlineStr">
        <is>
          <t>Friends of Chris Dudley</t>
        </is>
      </c>
      <c r="D63" s="13" t="inlineStr">
        <is>
          <t>13998</t>
        </is>
      </c>
      <c r="E63" s="13" t="inlineStr">
        <is>
          <t>645475</t>
        </is>
      </c>
      <c r="F63" s="13" t="inlineStr">
        <is>
          <t>2009-12-01</t>
        </is>
      </c>
      <c r="G63" s="13" t="n">
        <v>5000</v>
      </c>
      <c r="H63" s="13" t="inlineStr">
        <is>
          <t>ZIP + employer</t>
        </is>
      </c>
    </row>
    <row r="64">
      <c r="A64" s="13" t="inlineStr">
        <is>
          <t>H009</t>
        </is>
      </c>
      <c r="B64" s="13" t="inlineStr">
        <is>
          <t>Republican gift</t>
        </is>
      </c>
      <c r="C64" s="13" t="inlineStr">
        <is>
          <t>Dudley for Oregon</t>
        </is>
      </c>
      <c r="D64" s="13" t="inlineStr">
        <is>
          <t>24693</t>
        </is>
      </c>
      <c r="E64" s="13" t="inlineStr">
        <is>
          <t>5578379</t>
        </is>
      </c>
      <c r="F64" s="13" t="inlineStr">
        <is>
          <t>2026-03-16</t>
        </is>
      </c>
      <c r="G64" s="13" t="n">
        <v>1000</v>
      </c>
      <c r="H64" s="13" t="inlineStr">
        <is>
          <t>Street address or PO box</t>
        </is>
      </c>
    </row>
    <row r="65">
      <c r="A65" s="13" t="inlineStr">
        <is>
          <t>H010</t>
        </is>
      </c>
      <c r="B65" s="13" t="inlineStr">
        <is>
          <t>Gift to a slate candidate</t>
        </is>
      </c>
      <c r="C65" s="13" t="inlineStr">
        <is>
          <t>Friends of Julia Brim-Edwards</t>
        </is>
      </c>
      <c r="D65" s="13" t="inlineStr">
        <is>
          <t>21206</t>
        </is>
      </c>
      <c r="E65" s="13" t="inlineStr">
        <is>
          <t>5704151</t>
        </is>
      </c>
      <c r="F65" s="13" t="inlineStr">
        <is>
          <t>2026-06-16</t>
        </is>
      </c>
      <c r="G65" s="13" t="n">
        <v>500</v>
      </c>
      <c r="H65" s="13" t="inlineStr"/>
    </row>
    <row r="66">
      <c r="A66" s="13" t="inlineStr">
        <is>
          <t>H010</t>
        </is>
      </c>
      <c r="B66" s="13" t="inlineStr">
        <is>
          <t>Republican gift</t>
        </is>
      </c>
      <c r="C66" s="13" t="inlineStr">
        <is>
          <t>Friends of Chris Dudley</t>
        </is>
      </c>
      <c r="D66" s="13" t="inlineStr">
        <is>
          <t>13998</t>
        </is>
      </c>
      <c r="E66" s="13" t="inlineStr">
        <is>
          <t>645691</t>
        </is>
      </c>
      <c r="F66" s="13" t="inlineStr">
        <is>
          <t>2009-12-01</t>
        </is>
      </c>
      <c r="G66" s="13" t="n">
        <v>2000</v>
      </c>
      <c r="H66" s="13" t="inlineStr">
        <is>
          <t>Street address or PO box</t>
        </is>
      </c>
    </row>
    <row r="67">
      <c r="A67" s="13" t="inlineStr">
        <is>
          <t>H010</t>
        </is>
      </c>
      <c r="B67" s="13" t="inlineStr">
        <is>
          <t>Republican gift</t>
        </is>
      </c>
      <c r="C67" s="13" t="inlineStr">
        <is>
          <t>Dudley for Oregon</t>
        </is>
      </c>
      <c r="D67" s="13" t="inlineStr">
        <is>
          <t>24693</t>
        </is>
      </c>
      <c r="E67" s="13" t="inlineStr">
        <is>
          <t>5639462</t>
        </is>
      </c>
      <c r="F67" s="13" t="inlineStr">
        <is>
          <t>2026-04-25</t>
        </is>
      </c>
      <c r="G67" s="13" t="n">
        <v>500</v>
      </c>
      <c r="H67" s="13" t="inlineStr">
        <is>
          <t>Street address or PO box</t>
        </is>
      </c>
    </row>
    <row r="68">
      <c r="A68" s="13" t="inlineStr">
        <is>
          <t>H011</t>
        </is>
      </c>
      <c r="B68" s="13" t="inlineStr">
        <is>
          <t>Gift to a slate candidate</t>
        </is>
      </c>
      <c r="C68" s="13" t="inlineStr">
        <is>
          <t>Eli for Portland</t>
        </is>
      </c>
      <c r="D68" s="13" t="inlineStr">
        <is>
          <t>23295</t>
        </is>
      </c>
      <c r="E68" s="13" t="inlineStr">
        <is>
          <t>5505111</t>
        </is>
      </c>
      <c r="F68" s="13" t="inlineStr">
        <is>
          <t>2026-01-12</t>
        </is>
      </c>
      <c r="G68" s="13" t="n">
        <v>250</v>
      </c>
      <c r="H68" s="13" t="inlineStr"/>
    </row>
    <row r="69">
      <c r="A69" s="13" t="inlineStr">
        <is>
          <t>H011</t>
        </is>
      </c>
      <c r="B69" s="13" t="inlineStr">
        <is>
          <t>Gift to a slate candidate</t>
        </is>
      </c>
      <c r="C69" s="13" t="inlineStr">
        <is>
          <t>Eli for Portland</t>
        </is>
      </c>
      <c r="D69" s="13" t="inlineStr">
        <is>
          <t>23295</t>
        </is>
      </c>
      <c r="E69" s="13" t="inlineStr">
        <is>
          <t>5505122</t>
        </is>
      </c>
      <c r="F69" s="13" t="inlineStr">
        <is>
          <t>2026-01-12</t>
        </is>
      </c>
      <c r="G69" s="13" t="n">
        <v>250</v>
      </c>
      <c r="H69" s="13" t="inlineStr"/>
    </row>
    <row r="70">
      <c r="A70" s="13" t="inlineStr">
        <is>
          <t>H011</t>
        </is>
      </c>
      <c r="B70" s="13" t="inlineStr">
        <is>
          <t>Republican gift</t>
        </is>
      </c>
      <c r="C70" s="13" t="inlineStr">
        <is>
          <t>Friends of Chris Dudley</t>
        </is>
      </c>
      <c r="D70" s="13" t="inlineStr">
        <is>
          <t>13998</t>
        </is>
      </c>
      <c r="E70" s="13" t="inlineStr">
        <is>
          <t>661714</t>
        </is>
      </c>
      <c r="F70" s="13" t="inlineStr">
        <is>
          <t>2009-12-16</t>
        </is>
      </c>
      <c r="G70" s="13" t="n">
        <v>250</v>
      </c>
      <c r="H70" s="13" t="inlineStr">
        <is>
          <t>Street address or PO box</t>
        </is>
      </c>
    </row>
    <row r="71">
      <c r="A71" s="13" t="inlineStr">
        <is>
          <t>H011</t>
        </is>
      </c>
      <c r="B71" s="13" t="inlineStr">
        <is>
          <t>Republican gift</t>
        </is>
      </c>
      <c r="C71" s="13" t="inlineStr">
        <is>
          <t>Friends of Chris Dudley</t>
        </is>
      </c>
      <c r="D71" s="13" t="inlineStr">
        <is>
          <t>13998</t>
        </is>
      </c>
      <c r="E71" s="13" t="inlineStr">
        <is>
          <t>819738</t>
        </is>
      </c>
      <c r="F71" s="13" t="inlineStr">
        <is>
          <t>2010-06-21</t>
        </is>
      </c>
      <c r="G71" s="13" t="n">
        <v>250</v>
      </c>
      <c r="H71" s="13" t="inlineStr">
        <is>
          <t>Street address or PO box</t>
        </is>
      </c>
    </row>
    <row r="72">
      <c r="A72" s="13" t="inlineStr">
        <is>
          <t>H012</t>
        </is>
      </c>
      <c r="B72" s="13" t="inlineStr">
        <is>
          <t>Gift to a slate candidate</t>
        </is>
      </c>
      <c r="C72" s="13" t="inlineStr">
        <is>
          <t>Friends of Julia Brim-Edwards</t>
        </is>
      </c>
      <c r="D72" s="13" t="inlineStr">
        <is>
          <t>21206</t>
        </is>
      </c>
      <c r="E72" s="13" t="inlineStr">
        <is>
          <t>4536329</t>
        </is>
      </c>
      <c r="F72" s="13" t="inlineStr">
        <is>
          <t>2023-03-27</t>
        </is>
      </c>
      <c r="G72" s="13" t="n">
        <v>250</v>
      </c>
      <c r="H72" s="13" t="inlineStr"/>
    </row>
    <row r="73">
      <c r="A73" s="13" t="inlineStr">
        <is>
          <t>H012</t>
        </is>
      </c>
      <c r="B73" s="13" t="inlineStr">
        <is>
          <t>Gift to a slate candidate</t>
        </is>
      </c>
      <c r="C73" s="13" t="inlineStr">
        <is>
          <t>Friends of Olivia</t>
        </is>
      </c>
      <c r="D73" s="13" t="inlineStr">
        <is>
          <t>23199</t>
        </is>
      </c>
      <c r="E73" s="13" t="inlineStr">
        <is>
          <t>4778922</t>
        </is>
      </c>
      <c r="F73" s="13" t="inlineStr">
        <is>
          <t>2024-02-02</t>
        </is>
      </c>
      <c r="G73" s="13" t="n">
        <v>250</v>
      </c>
      <c r="H73" s="13" t="inlineStr"/>
    </row>
    <row r="74">
      <c r="A74" s="13" t="inlineStr">
        <is>
          <t>H012</t>
        </is>
      </c>
      <c r="B74" s="13" t="inlineStr">
        <is>
          <t>Republican gift</t>
        </is>
      </c>
      <c r="C74" s="13" t="inlineStr">
        <is>
          <t>Friends of Chris Dudley</t>
        </is>
      </c>
      <c r="D74" s="13" t="inlineStr">
        <is>
          <t>13998</t>
        </is>
      </c>
      <c r="E74" s="13" t="inlineStr">
        <is>
          <t>677176</t>
        </is>
      </c>
      <c r="F74" s="13" t="inlineStr">
        <is>
          <t>2010-01-04</t>
        </is>
      </c>
      <c r="G74" s="13" t="n">
        <v>250</v>
      </c>
      <c r="H74" s="13" t="inlineStr">
        <is>
          <t>Street address or PO box</t>
        </is>
      </c>
    </row>
    <row r="75">
      <c r="A75" s="13" t="inlineStr">
        <is>
          <t>H012</t>
        </is>
      </c>
      <c r="B75" s="13" t="inlineStr">
        <is>
          <t>Republican gift</t>
        </is>
      </c>
      <c r="C75" s="13" t="inlineStr">
        <is>
          <t>Friends of Chris Dudley</t>
        </is>
      </c>
      <c r="D75" s="13" t="inlineStr">
        <is>
          <t>13998</t>
        </is>
      </c>
      <c r="E75" s="13" t="inlineStr">
        <is>
          <t>761247</t>
        </is>
      </c>
      <c r="F75" s="13" t="inlineStr">
        <is>
          <t>2010-04-20</t>
        </is>
      </c>
      <c r="G75" s="13" t="n">
        <v>250</v>
      </c>
      <c r="H75" s="13" t="inlineStr">
        <is>
          <t>Street address or PO box</t>
        </is>
      </c>
    </row>
    <row r="76">
      <c r="A76" s="13" t="inlineStr">
        <is>
          <t>H012</t>
        </is>
      </c>
      <c r="B76" s="13" t="inlineStr">
        <is>
          <t>Republican gift</t>
        </is>
      </c>
      <c r="C76" s="13" t="inlineStr">
        <is>
          <t>Friends of Chris Dudley</t>
        </is>
      </c>
      <c r="D76" s="13" t="inlineStr">
        <is>
          <t>13998</t>
        </is>
      </c>
      <c r="E76" s="13" t="inlineStr">
        <is>
          <t>846517</t>
        </is>
      </c>
      <c r="F76" s="13" t="inlineStr">
        <is>
          <t>2010-07-30</t>
        </is>
      </c>
      <c r="G76" s="13" t="n">
        <v>250</v>
      </c>
      <c r="H76" s="13" t="inlineStr">
        <is>
          <t>Street address or PO box</t>
        </is>
      </c>
    </row>
    <row r="77">
      <c r="A77" s="13" t="inlineStr">
        <is>
          <t>H012</t>
        </is>
      </c>
      <c r="B77" s="13" t="inlineStr">
        <is>
          <t>Republican gift</t>
        </is>
      </c>
      <c r="C77" s="13" t="inlineStr">
        <is>
          <t>Friends of Chris Dudley</t>
        </is>
      </c>
      <c r="D77" s="13" t="inlineStr">
        <is>
          <t>13998</t>
        </is>
      </c>
      <c r="E77" s="13" t="inlineStr">
        <is>
          <t>911093</t>
        </is>
      </c>
      <c r="F77" s="13" t="inlineStr">
        <is>
          <t>2010-10-04</t>
        </is>
      </c>
      <c r="G77" s="13" t="n">
        <v>250</v>
      </c>
      <c r="H77" s="13" t="inlineStr">
        <is>
          <t>Street address or PO box</t>
        </is>
      </c>
    </row>
    <row r="78">
      <c r="A78" s="13" t="inlineStr">
        <is>
          <t>H012</t>
        </is>
      </c>
      <c r="B78" s="13" t="inlineStr">
        <is>
          <t>Republican gift</t>
        </is>
      </c>
      <c r="C78" s="13" t="inlineStr">
        <is>
          <t>Buehler For a United Oregon</t>
        </is>
      </c>
      <c r="D78" s="13" t="inlineStr">
        <is>
          <t>15192</t>
        </is>
      </c>
      <c r="E78" s="13" t="inlineStr">
        <is>
          <t>1615784</t>
        </is>
      </c>
      <c r="F78" s="13" t="inlineStr">
        <is>
          <t>2013-12-19</t>
        </is>
      </c>
      <c r="G78" s="13" t="n">
        <v>250</v>
      </c>
      <c r="H78" s="13" t="inlineStr">
        <is>
          <t>Street address or PO box</t>
        </is>
      </c>
    </row>
    <row r="79">
      <c r="A79" s="13" t="inlineStr">
        <is>
          <t>H012</t>
        </is>
      </c>
      <c r="B79" s="13" t="inlineStr">
        <is>
          <t>Republican gift</t>
        </is>
      </c>
      <c r="C79" s="13" t="inlineStr">
        <is>
          <t>Buehler For a United Oregon</t>
        </is>
      </c>
      <c r="D79" s="13" t="inlineStr">
        <is>
          <t>15192</t>
        </is>
      </c>
      <c r="E79" s="13" t="inlineStr">
        <is>
          <t>2145598</t>
        </is>
      </c>
      <c r="F79" s="13" t="inlineStr">
        <is>
          <t>2015-12-31</t>
        </is>
      </c>
      <c r="G79" s="13" t="n">
        <v>250</v>
      </c>
      <c r="H79" s="13" t="inlineStr">
        <is>
          <t>Street address or PO box</t>
        </is>
      </c>
    </row>
    <row r="80">
      <c r="A80" s="13" t="inlineStr">
        <is>
          <t>H012</t>
        </is>
      </c>
      <c r="B80" s="13" t="inlineStr">
        <is>
          <t>Republican gift</t>
        </is>
      </c>
      <c r="C80" s="13" t="inlineStr">
        <is>
          <t>Friends of Christine Drazan</t>
        </is>
      </c>
      <c r="D80" s="13" t="inlineStr">
        <is>
          <t>19050</t>
        </is>
      </c>
      <c r="E80" s="13" t="inlineStr">
        <is>
          <t>2761997</t>
        </is>
      </c>
      <c r="F80" s="13" t="inlineStr">
        <is>
          <t>2018-02-28</t>
        </is>
      </c>
      <c r="G80" s="13" t="n">
        <v>250</v>
      </c>
      <c r="H80" s="13" t="inlineStr">
        <is>
          <t>ZIP + employer</t>
        </is>
      </c>
    </row>
    <row r="81">
      <c r="A81" s="13" t="inlineStr">
        <is>
          <t>H013</t>
        </is>
      </c>
      <c r="B81" s="13" t="inlineStr">
        <is>
          <t>Gift to a slate candidate</t>
        </is>
      </c>
      <c r="C81" s="13" t="inlineStr">
        <is>
          <t>Kellie Torres for Portland</t>
        </is>
      </c>
      <c r="D81" s="13" t="inlineStr">
        <is>
          <t>24897</t>
        </is>
      </c>
      <c r="E81" s="13" t="inlineStr">
        <is>
          <t>5760928</t>
        </is>
      </c>
      <c r="F81" s="13" t="inlineStr">
        <is>
          <t>2026-08-09</t>
        </is>
      </c>
      <c r="G81" s="13" t="n">
        <v>250</v>
      </c>
      <c r="H81" s="13" t="inlineStr"/>
    </row>
    <row r="82">
      <c r="A82" s="13" t="inlineStr">
        <is>
          <t>H013</t>
        </is>
      </c>
      <c r="B82" s="13" t="inlineStr">
        <is>
          <t>Gift to a slate candidate</t>
        </is>
      </c>
      <c r="C82" s="13" t="inlineStr">
        <is>
          <t>Friends of Eric Zimmerman</t>
        </is>
      </c>
      <c r="D82" s="13" t="inlineStr">
        <is>
          <t>17629</t>
        </is>
      </c>
      <c r="E82" s="13" t="inlineStr">
        <is>
          <t>5852794</t>
        </is>
      </c>
      <c r="F82" s="13" t="inlineStr">
        <is>
          <t>2026-09-28</t>
        </is>
      </c>
      <c r="G82" s="13" t="n">
        <v>250</v>
      </c>
      <c r="H82" s="13" t="inlineStr"/>
    </row>
    <row r="83">
      <c r="A83" s="13" t="inlineStr">
        <is>
          <t>H013</t>
        </is>
      </c>
      <c r="B83" s="13" t="inlineStr">
        <is>
          <t>Gift to a slate candidate</t>
        </is>
      </c>
      <c r="C83" s="13" t="inlineStr">
        <is>
          <t>Kellie Torres for Portland</t>
        </is>
      </c>
      <c r="D83" s="13" t="inlineStr">
        <is>
          <t>24897</t>
        </is>
      </c>
      <c r="E83" s="13" t="inlineStr">
        <is>
          <t>5873453</t>
        </is>
      </c>
      <c r="F83" s="13" t="inlineStr">
        <is>
          <t>2026-10-05</t>
        </is>
      </c>
      <c r="G83" s="13" t="n">
        <v>250</v>
      </c>
      <c r="H83" s="13" t="inlineStr"/>
    </row>
    <row r="84">
      <c r="A84" s="13" t="inlineStr">
        <is>
          <t>H013</t>
        </is>
      </c>
      <c r="B84" s="13" t="inlineStr">
        <is>
          <t>Republican gift</t>
        </is>
      </c>
      <c r="C84" s="13" t="inlineStr">
        <is>
          <t>Friends of Chris Dudley</t>
        </is>
      </c>
      <c r="D84" s="13" t="inlineStr">
        <is>
          <t>13998</t>
        </is>
      </c>
      <c r="E84" s="13" t="inlineStr">
        <is>
          <t>704478</t>
        </is>
      </c>
      <c r="F84" s="13" t="inlineStr">
        <is>
          <t>2010-02-09</t>
        </is>
      </c>
      <c r="G84" s="13" t="n">
        <v>500</v>
      </c>
      <c r="H84" s="13" t="inlineStr">
        <is>
          <t>Street address or PO box</t>
        </is>
      </c>
    </row>
    <row r="85">
      <c r="A85" s="13" t="inlineStr">
        <is>
          <t>H013</t>
        </is>
      </c>
      <c r="B85" s="13" t="inlineStr">
        <is>
          <t>Republican gift</t>
        </is>
      </c>
      <c r="C85" s="13" t="inlineStr">
        <is>
          <t>Friends of Chris Dudley</t>
        </is>
      </c>
      <c r="D85" s="13" t="inlineStr">
        <is>
          <t>13998</t>
        </is>
      </c>
      <c r="E85" s="13" t="inlineStr">
        <is>
          <t>861561</t>
        </is>
      </c>
      <c r="F85" s="13" t="inlineStr">
        <is>
          <t>2010-08-17</t>
        </is>
      </c>
      <c r="G85" s="13" t="n">
        <v>2000</v>
      </c>
      <c r="H85" s="13" t="inlineStr">
        <is>
          <t>Street address or PO box</t>
        </is>
      </c>
    </row>
    <row r="86">
      <c r="A86" s="13" t="inlineStr">
        <is>
          <t>H013</t>
        </is>
      </c>
      <c r="B86" s="13" t="inlineStr">
        <is>
          <t>Republican gift</t>
        </is>
      </c>
      <c r="C86" s="13" t="inlineStr">
        <is>
          <t>Friends of Allen Alley</t>
        </is>
      </c>
      <c r="D86" s="13" t="inlineStr">
        <is>
          <t>12878</t>
        </is>
      </c>
      <c r="E86" s="13" t="inlineStr">
        <is>
          <t>2206664</t>
        </is>
      </c>
      <c r="F86" s="13" t="inlineStr">
        <is>
          <t>2016-04-04</t>
        </is>
      </c>
      <c r="G86" s="13" t="n">
        <v>1000</v>
      </c>
      <c r="H86" s="13" t="inlineStr">
        <is>
          <t>Street address or PO box</t>
        </is>
      </c>
    </row>
    <row r="87">
      <c r="A87" s="13" t="inlineStr">
        <is>
          <t>H013</t>
        </is>
      </c>
      <c r="B87" s="13" t="inlineStr">
        <is>
          <t>Republican gift</t>
        </is>
      </c>
      <c r="C87" s="13" t="inlineStr">
        <is>
          <t>Knute for Governor</t>
        </is>
      </c>
      <c r="D87" s="13" t="inlineStr">
        <is>
          <t>15192</t>
        </is>
      </c>
      <c r="E87" s="13" t="inlineStr">
        <is>
          <t>2729829</t>
        </is>
      </c>
      <c r="F87" s="13" t="inlineStr">
        <is>
          <t>2018-01-18</t>
        </is>
      </c>
      <c r="G87" s="13" t="n">
        <v>3000</v>
      </c>
      <c r="H87" s="13" t="inlineStr">
        <is>
          <t>Street address or PO box</t>
        </is>
      </c>
    </row>
    <row r="88">
      <c r="A88" s="13" t="inlineStr">
        <is>
          <t>H013</t>
        </is>
      </c>
      <c r="B88" s="13" t="inlineStr">
        <is>
          <t>Republican gift</t>
        </is>
      </c>
      <c r="C88" s="13" t="inlineStr">
        <is>
          <t>Friends of Christine Drazan</t>
        </is>
      </c>
      <c r="D88" s="13" t="inlineStr">
        <is>
          <t>19050</t>
        </is>
      </c>
      <c r="E88" s="13" t="inlineStr">
        <is>
          <t>4388949</t>
        </is>
      </c>
      <c r="F88" s="13" t="inlineStr">
        <is>
          <t>2022-10-24</t>
        </is>
      </c>
      <c r="G88" s="13" t="n">
        <v>10000</v>
      </c>
      <c r="H88" s="13" t="inlineStr">
        <is>
          <t>Street address or PO box</t>
        </is>
      </c>
    </row>
    <row r="89">
      <c r="A89" s="13" t="inlineStr">
        <is>
          <t>H013</t>
        </is>
      </c>
      <c r="B89" s="13" t="inlineStr">
        <is>
          <t>Republican gift</t>
        </is>
      </c>
      <c r="C89" s="13" t="inlineStr">
        <is>
          <t>Friends of Christine Drazan</t>
        </is>
      </c>
      <c r="D89" s="13" t="inlineStr">
        <is>
          <t>19050</t>
        </is>
      </c>
      <c r="E89" s="13" t="inlineStr">
        <is>
          <t>5722342</t>
        </is>
      </c>
      <c r="F89" s="13" t="inlineStr">
        <is>
          <t>2026-07-13</t>
        </is>
      </c>
      <c r="G89" s="13" t="n">
        <v>10000</v>
      </c>
      <c r="H89" s="13" t="inlineStr">
        <is>
          <t>Street address or PO box</t>
        </is>
      </c>
    </row>
    <row r="90">
      <c r="A90" s="13" t="inlineStr">
        <is>
          <t>H013</t>
        </is>
      </c>
      <c r="B90" s="13" t="inlineStr">
        <is>
          <t>Republican gift</t>
        </is>
      </c>
      <c r="C90" s="13" t="inlineStr">
        <is>
          <t>Friends of Christine Drazan</t>
        </is>
      </c>
      <c r="D90" s="13" t="inlineStr">
        <is>
          <t>19050</t>
        </is>
      </c>
      <c r="E90" s="13" t="inlineStr">
        <is>
          <t>5838902</t>
        </is>
      </c>
      <c r="F90" s="13" t="inlineStr">
        <is>
          <t>2026-09-28</t>
        </is>
      </c>
      <c r="G90" s="13" t="n">
        <v>10000</v>
      </c>
      <c r="H90" s="13" t="inlineStr">
        <is>
          <t>Street address or PO box</t>
        </is>
      </c>
    </row>
    <row r="91">
      <c r="A91" s="13" t="inlineStr">
        <is>
          <t>H014</t>
        </is>
      </c>
      <c r="B91" s="13" t="inlineStr">
        <is>
          <t>Gift to a slate candidate</t>
        </is>
      </c>
      <c r="C91" s="13" t="inlineStr">
        <is>
          <t>Friends of Julia Brim-Edwards</t>
        </is>
      </c>
      <c r="D91" s="13" t="inlineStr">
        <is>
          <t>21206</t>
        </is>
      </c>
      <c r="E91" s="13" t="inlineStr">
        <is>
          <t>4921375</t>
        </is>
      </c>
      <c r="F91" s="13" t="inlineStr">
        <is>
          <t>2024-05-15</t>
        </is>
      </c>
      <c r="G91" s="13" t="n">
        <v>500</v>
      </c>
      <c r="H91" s="13" t="inlineStr"/>
    </row>
    <row r="92">
      <c r="A92" s="13" t="inlineStr">
        <is>
          <t>H014</t>
        </is>
      </c>
      <c r="B92" s="13" t="inlineStr">
        <is>
          <t>Republican gift</t>
        </is>
      </c>
      <c r="C92" s="13" t="inlineStr">
        <is>
          <t>The Leadership Fund</t>
        </is>
      </c>
      <c r="D92" s="13" t="inlineStr">
        <is>
          <t>2690</t>
        </is>
      </c>
      <c r="E92" s="13" t="inlineStr">
        <is>
          <t>723588</t>
        </is>
      </c>
      <c r="F92" s="13" t="inlineStr">
        <is>
          <t>2010-03-10</t>
        </is>
      </c>
      <c r="G92" s="13" t="n">
        <v>500</v>
      </c>
      <c r="H92" s="13" t="inlineStr">
        <is>
          <t>ZIP + employer</t>
        </is>
      </c>
    </row>
    <row r="93">
      <c r="A93" s="13" t="inlineStr">
        <is>
          <t>H015</t>
        </is>
      </c>
      <c r="B93" s="13" t="inlineStr">
        <is>
          <t>Gift to a slate candidate</t>
        </is>
      </c>
      <c r="C93" s="13" t="inlineStr">
        <is>
          <t>Friends of Julia Brim-Edwards</t>
        </is>
      </c>
      <c r="D93" s="13" t="inlineStr">
        <is>
          <t>21206</t>
        </is>
      </c>
      <c r="E93" s="13" t="inlineStr">
        <is>
          <t>4536341</t>
        </is>
      </c>
      <c r="F93" s="13" t="inlineStr">
        <is>
          <t>2023-03-29</t>
        </is>
      </c>
      <c r="G93" s="13" t="n">
        <v>500</v>
      </c>
      <c r="H93" s="13" t="inlineStr"/>
    </row>
    <row r="94">
      <c r="A94" s="13" t="inlineStr">
        <is>
          <t>H015</t>
        </is>
      </c>
      <c r="B94" s="13" t="inlineStr">
        <is>
          <t>Gift to a slate candidate</t>
        </is>
      </c>
      <c r="C94" s="13" t="inlineStr">
        <is>
          <t>Friends of Julia Brim-Edwards</t>
        </is>
      </c>
      <c r="D94" s="13" t="inlineStr">
        <is>
          <t>21206</t>
        </is>
      </c>
      <c r="E94" s="13" t="inlineStr">
        <is>
          <t>5857115</t>
        </is>
      </c>
      <c r="F94" s="13" t="inlineStr">
        <is>
          <t>2026-10-03</t>
        </is>
      </c>
      <c r="G94" s="13" t="n">
        <v>250</v>
      </c>
      <c r="H94" s="13" t="inlineStr"/>
    </row>
    <row r="95">
      <c r="A95" s="13" t="inlineStr">
        <is>
          <t>H015</t>
        </is>
      </c>
      <c r="B95" s="13" t="inlineStr">
        <is>
          <t>Republican gift</t>
        </is>
      </c>
      <c r="C95" s="13" t="inlineStr">
        <is>
          <t>The Leadership Fund</t>
        </is>
      </c>
      <c r="D95" s="13" t="inlineStr">
        <is>
          <t>2690</t>
        </is>
      </c>
      <c r="E95" s="13" t="inlineStr">
        <is>
          <t>726280</t>
        </is>
      </c>
      <c r="F95" s="13" t="inlineStr">
        <is>
          <t>2010-03-17</t>
        </is>
      </c>
      <c r="G95" s="13" t="n">
        <v>250</v>
      </c>
      <c r="H95" s="13" t="inlineStr">
        <is>
          <t>Street address or PO box</t>
        </is>
      </c>
    </row>
    <row r="96">
      <c r="A96" s="13" t="inlineStr">
        <is>
          <t>H016</t>
        </is>
      </c>
      <c r="B96" s="13" t="inlineStr">
        <is>
          <t>Gift to a slate candidate</t>
        </is>
      </c>
      <c r="C96" s="13" t="inlineStr">
        <is>
          <t>Novick for Portland</t>
        </is>
      </c>
      <c r="D96" s="13" t="inlineStr">
        <is>
          <t>15109</t>
        </is>
      </c>
      <c r="E96" s="13" t="inlineStr">
        <is>
          <t>4785325</t>
        </is>
      </c>
      <c r="F96" s="13" t="inlineStr">
        <is>
          <t>2024-02-18</t>
        </is>
      </c>
      <c r="G96" s="13" t="n">
        <v>250</v>
      </c>
      <c r="H96" s="13" t="inlineStr"/>
    </row>
    <row r="97">
      <c r="A97" s="13" t="inlineStr">
        <is>
          <t>H016</t>
        </is>
      </c>
      <c r="B97" s="13" t="inlineStr">
        <is>
          <t>Gift to a slate candidate</t>
        </is>
      </c>
      <c r="C97" s="13" t="inlineStr">
        <is>
          <t>Eli for Portland</t>
        </is>
      </c>
      <c r="D97" s="13" t="inlineStr">
        <is>
          <t>23295</t>
        </is>
      </c>
      <c r="E97" s="13" t="inlineStr">
        <is>
          <t>5674943</t>
        </is>
      </c>
      <c r="F97" s="13" t="inlineStr">
        <is>
          <t>2026-05-20</t>
        </is>
      </c>
      <c r="G97" s="13" t="n">
        <v>250</v>
      </c>
      <c r="H97" s="13" t="inlineStr"/>
    </row>
    <row r="98">
      <c r="A98" s="13" t="inlineStr">
        <is>
          <t>H016</t>
        </is>
      </c>
      <c r="B98" s="13" t="inlineStr">
        <is>
          <t>Gift to a slate candidate</t>
        </is>
      </c>
      <c r="C98" s="13" t="inlineStr">
        <is>
          <t>Novick for Portland</t>
        </is>
      </c>
      <c r="D98" s="13" t="inlineStr">
        <is>
          <t>15109</t>
        </is>
      </c>
      <c r="E98" s="13" t="inlineStr">
        <is>
          <t>5685046</t>
        </is>
      </c>
      <c r="F98" s="13" t="inlineStr">
        <is>
          <t>2026-05-27</t>
        </is>
      </c>
      <c r="G98" s="13" t="n">
        <v>250</v>
      </c>
      <c r="H98" s="13" t="inlineStr"/>
    </row>
    <row r="99">
      <c r="A99" s="13" t="inlineStr">
        <is>
          <t>H016</t>
        </is>
      </c>
      <c r="B99" s="13" t="inlineStr">
        <is>
          <t>Gift to a slate candidate</t>
        </is>
      </c>
      <c r="C99" s="13" t="inlineStr">
        <is>
          <t>Eli for Portland</t>
        </is>
      </c>
      <c r="D99" s="13" t="inlineStr">
        <is>
          <t>23295</t>
        </is>
      </c>
      <c r="E99" s="13" t="inlineStr">
        <is>
          <t>5686494</t>
        </is>
      </c>
      <c r="F99" s="13" t="inlineStr">
        <is>
          <t>2026-06-11</t>
        </is>
      </c>
      <c r="G99" s="13" t="n">
        <v>250</v>
      </c>
      <c r="H99" s="13" t="inlineStr"/>
    </row>
    <row r="100">
      <c r="A100" s="13" t="inlineStr">
        <is>
          <t>H016</t>
        </is>
      </c>
      <c r="B100" s="13" t="inlineStr">
        <is>
          <t>Gift to a slate candidate</t>
        </is>
      </c>
      <c r="C100" s="13" t="inlineStr">
        <is>
          <t>Novick for Portland</t>
        </is>
      </c>
      <c r="D100" s="13" t="inlineStr">
        <is>
          <t>15109</t>
        </is>
      </c>
      <c r="E100" s="13" t="inlineStr">
        <is>
          <t>5830453</t>
        </is>
      </c>
      <c r="F100" s="13" t="inlineStr">
        <is>
          <t>2026-09-22</t>
        </is>
      </c>
      <c r="G100" s="13" t="n">
        <v>250</v>
      </c>
      <c r="H100" s="13" t="inlineStr"/>
    </row>
    <row r="101">
      <c r="A101" s="13" t="inlineStr">
        <is>
          <t>H016</t>
        </is>
      </c>
      <c r="B101" s="13" t="inlineStr">
        <is>
          <t>Republican gift</t>
        </is>
      </c>
      <c r="C101" s="13" t="inlineStr">
        <is>
          <t>Friends of Chris Dudley</t>
        </is>
      </c>
      <c r="D101" s="13" t="inlineStr">
        <is>
          <t>13998</t>
        </is>
      </c>
      <c r="E101" s="13" t="inlineStr">
        <is>
          <t>775628</t>
        </is>
      </c>
      <c r="F101" s="13" t="inlineStr">
        <is>
          <t>2010-05-03</t>
        </is>
      </c>
      <c r="G101" s="13" t="n">
        <v>1000</v>
      </c>
      <c r="H101" s="13" t="inlineStr">
        <is>
          <t>Street address or PO box</t>
        </is>
      </c>
    </row>
    <row r="102">
      <c r="A102" s="13" t="inlineStr">
        <is>
          <t>H016</t>
        </is>
      </c>
      <c r="B102" s="13" t="inlineStr">
        <is>
          <t>Republican gift</t>
        </is>
      </c>
      <c r="C102" s="13" t="inlineStr">
        <is>
          <t>Friends of Chris Dudley</t>
        </is>
      </c>
      <c r="D102" s="13" t="inlineStr">
        <is>
          <t>13998</t>
        </is>
      </c>
      <c r="E102" s="13" t="inlineStr">
        <is>
          <t>812221</t>
        </is>
      </c>
      <c r="F102" s="13" t="inlineStr">
        <is>
          <t>2010-06-14</t>
        </is>
      </c>
      <c r="G102" s="13" t="n">
        <v>2000</v>
      </c>
      <c r="H102" s="13" t="inlineStr">
        <is>
          <t>Street address or PO box</t>
        </is>
      </c>
    </row>
    <row r="103">
      <c r="A103" s="13" t="inlineStr">
        <is>
          <t>H016</t>
        </is>
      </c>
      <c r="B103" s="13" t="inlineStr">
        <is>
          <t>Republican gift</t>
        </is>
      </c>
      <c r="C103" s="13" t="inlineStr">
        <is>
          <t>Friends of Chris Dudley</t>
        </is>
      </c>
      <c r="D103" s="13" t="inlineStr">
        <is>
          <t>13998</t>
        </is>
      </c>
      <c r="E103" s="13" t="inlineStr">
        <is>
          <t>817465</t>
        </is>
      </c>
      <c r="F103" s="13" t="inlineStr">
        <is>
          <t>2010-06-18</t>
        </is>
      </c>
      <c r="G103" s="13" t="n">
        <v>1000</v>
      </c>
      <c r="H103" s="13" t="inlineStr">
        <is>
          <t>Street address or PO box</t>
        </is>
      </c>
    </row>
    <row r="104">
      <c r="A104" s="13" t="inlineStr">
        <is>
          <t>H016</t>
        </is>
      </c>
      <c r="B104" s="13" t="inlineStr">
        <is>
          <t>Republican gift</t>
        </is>
      </c>
      <c r="C104" s="13" t="inlineStr">
        <is>
          <t>Friends of Chris Dudley</t>
        </is>
      </c>
      <c r="D104" s="13" t="inlineStr">
        <is>
          <t>13998</t>
        </is>
      </c>
      <c r="E104" s="13" t="inlineStr">
        <is>
          <t>862917</t>
        </is>
      </c>
      <c r="F104" s="13" t="inlineStr">
        <is>
          <t>2010-08-25</t>
        </is>
      </c>
      <c r="G104" s="13" t="n">
        <v>10000</v>
      </c>
      <c r="H104" s="13" t="inlineStr">
        <is>
          <t>Street address or PO box</t>
        </is>
      </c>
    </row>
    <row r="105">
      <c r="A105" s="13" t="inlineStr">
        <is>
          <t>H016</t>
        </is>
      </c>
      <c r="B105" s="13" t="inlineStr">
        <is>
          <t>Republican gift</t>
        </is>
      </c>
      <c r="C105" s="13" t="inlineStr">
        <is>
          <t>Friends of Chris Dudley</t>
        </is>
      </c>
      <c r="D105" s="13" t="inlineStr">
        <is>
          <t>13998</t>
        </is>
      </c>
      <c r="E105" s="13" t="inlineStr">
        <is>
          <t>936530</t>
        </is>
      </c>
      <c r="F105" s="13" t="inlineStr">
        <is>
          <t>2010-10-15</t>
        </is>
      </c>
      <c r="G105" s="13" t="n">
        <v>10000</v>
      </c>
      <c r="H105" s="13" t="inlineStr">
        <is>
          <t>Street address or PO box</t>
        </is>
      </c>
    </row>
    <row r="106">
      <c r="A106" s="13" t="inlineStr">
        <is>
          <t>H016</t>
        </is>
      </c>
      <c r="B106" s="13" t="inlineStr">
        <is>
          <t>Republican gift</t>
        </is>
      </c>
      <c r="C106" s="13" t="inlineStr">
        <is>
          <t>Knute for Governor</t>
        </is>
      </c>
      <c r="D106" s="13" t="inlineStr">
        <is>
          <t>15192</t>
        </is>
      </c>
      <c r="E106" s="13" t="inlineStr">
        <is>
          <t>2620145</t>
        </is>
      </c>
      <c r="F106" s="13" t="inlineStr">
        <is>
          <t>2017-09-10</t>
        </is>
      </c>
      <c r="G106" s="13" t="n">
        <v>10000</v>
      </c>
      <c r="H106" s="13" t="inlineStr">
        <is>
          <t>ZIP + employer</t>
        </is>
      </c>
    </row>
    <row r="107">
      <c r="A107" s="13" t="inlineStr">
        <is>
          <t>H016</t>
        </is>
      </c>
      <c r="B107" s="13" t="inlineStr">
        <is>
          <t>Republican gift</t>
        </is>
      </c>
      <c r="C107" s="13" t="inlineStr">
        <is>
          <t>Knute for Governor</t>
        </is>
      </c>
      <c r="D107" s="13" t="inlineStr">
        <is>
          <t>15192</t>
        </is>
      </c>
      <c r="E107" s="13" t="inlineStr">
        <is>
          <t>2620146</t>
        </is>
      </c>
      <c r="F107" s="13" t="inlineStr">
        <is>
          <t>2017-09-10</t>
        </is>
      </c>
      <c r="G107" s="13" t="n">
        <v>10000</v>
      </c>
      <c r="H107" s="13" t="inlineStr">
        <is>
          <t>ZIP + employer</t>
        </is>
      </c>
    </row>
    <row r="108">
      <c r="A108" s="13" t="inlineStr">
        <is>
          <t>H016</t>
        </is>
      </c>
      <c r="B108" s="13" t="inlineStr">
        <is>
          <t>Republican gift</t>
        </is>
      </c>
      <c r="C108" s="13" t="inlineStr">
        <is>
          <t>Knute for Governor</t>
        </is>
      </c>
      <c r="D108" s="13" t="inlineStr">
        <is>
          <t>15192</t>
        </is>
      </c>
      <c r="E108" s="13" t="inlineStr">
        <is>
          <t>2889599</t>
        </is>
      </c>
      <c r="F108" s="13" t="inlineStr">
        <is>
          <t>2018-07-10</t>
        </is>
      </c>
      <c r="G108" s="13" t="n">
        <v>500</v>
      </c>
      <c r="H108" s="13" t="inlineStr">
        <is>
          <t>ZIP + employer</t>
        </is>
      </c>
    </row>
    <row r="109">
      <c r="A109" s="13" t="inlineStr">
        <is>
          <t>H016</t>
        </is>
      </c>
      <c r="B109" s="13" t="inlineStr">
        <is>
          <t>Republican gift</t>
        </is>
      </c>
      <c r="C109" s="13" t="inlineStr">
        <is>
          <t>Knute for Governor</t>
        </is>
      </c>
      <c r="D109" s="13" t="inlineStr">
        <is>
          <t>15192</t>
        </is>
      </c>
      <c r="E109" s="13" t="inlineStr">
        <is>
          <t>2894245</t>
        </is>
      </c>
      <c r="F109" s="13" t="inlineStr">
        <is>
          <t>2018-07-17</t>
        </is>
      </c>
      <c r="G109" s="13" t="n">
        <v>10000</v>
      </c>
      <c r="H109" s="13" t="inlineStr">
        <is>
          <t>ZIP + employer</t>
        </is>
      </c>
    </row>
    <row r="110">
      <c r="A110" s="13" t="inlineStr">
        <is>
          <t>H016</t>
        </is>
      </c>
      <c r="B110" s="13" t="inlineStr">
        <is>
          <t>Republican gift</t>
        </is>
      </c>
      <c r="C110" s="13" t="inlineStr">
        <is>
          <t>Knute for Governor</t>
        </is>
      </c>
      <c r="D110" s="13" t="inlineStr">
        <is>
          <t>15192</t>
        </is>
      </c>
      <c r="E110" s="13" t="inlineStr">
        <is>
          <t>2948046</t>
        </is>
      </c>
      <c r="F110" s="13" t="inlineStr">
        <is>
          <t>2018-09-03</t>
        </is>
      </c>
      <c r="G110" s="13" t="n">
        <v>250</v>
      </c>
      <c r="H110" s="13" t="inlineStr">
        <is>
          <t>ZIP + employer</t>
        </is>
      </c>
    </row>
    <row r="111">
      <c r="A111" s="13" t="inlineStr">
        <is>
          <t>H016</t>
        </is>
      </c>
      <c r="B111" s="13" t="inlineStr">
        <is>
          <t>Republican gift</t>
        </is>
      </c>
      <c r="C111" s="13" t="inlineStr">
        <is>
          <t>Knute for Governor</t>
        </is>
      </c>
      <c r="D111" s="13" t="inlineStr">
        <is>
          <t>15192</t>
        </is>
      </c>
      <c r="E111" s="13" t="inlineStr">
        <is>
          <t>3003198</t>
        </is>
      </c>
      <c r="F111" s="13" t="inlineStr">
        <is>
          <t>2018-09-28</t>
        </is>
      </c>
      <c r="G111" s="13" t="n">
        <v>5000</v>
      </c>
      <c r="H111" s="13" t="inlineStr">
        <is>
          <t>ZIP + employer</t>
        </is>
      </c>
    </row>
    <row r="112">
      <c r="A112" s="13" t="inlineStr">
        <is>
          <t>H016</t>
        </is>
      </c>
      <c r="B112" s="13" t="inlineStr">
        <is>
          <t>Republican gift</t>
        </is>
      </c>
      <c r="C112" s="13" t="inlineStr">
        <is>
          <t>Knute for Governor</t>
        </is>
      </c>
      <c r="D112" s="13" t="inlineStr">
        <is>
          <t>15192</t>
        </is>
      </c>
      <c r="E112" s="13" t="inlineStr">
        <is>
          <t>3009905</t>
        </is>
      </c>
      <c r="F112" s="13" t="inlineStr">
        <is>
          <t>2018-10-02</t>
        </is>
      </c>
      <c r="G112" s="13" t="n">
        <v>5000</v>
      </c>
      <c r="H112" s="13" t="inlineStr">
        <is>
          <t>ZIP + employer</t>
        </is>
      </c>
    </row>
    <row r="113">
      <c r="A113" s="13" t="inlineStr">
        <is>
          <t>H016</t>
        </is>
      </c>
      <c r="B113" s="13" t="inlineStr">
        <is>
          <t>Republican gift</t>
        </is>
      </c>
      <c r="C113" s="13" t="inlineStr">
        <is>
          <t>Friends of Christine Drazan</t>
        </is>
      </c>
      <c r="D113" s="13" t="inlineStr">
        <is>
          <t>19050</t>
        </is>
      </c>
      <c r="E113" s="13" t="inlineStr">
        <is>
          <t>4375712</t>
        </is>
      </c>
      <c r="F113" s="13" t="inlineStr">
        <is>
          <t>2022-10-19</t>
        </is>
      </c>
      <c r="G113" s="13" t="n">
        <v>1000</v>
      </c>
      <c r="H113" s="13" t="inlineStr">
        <is>
          <t>Street address or PO box</t>
        </is>
      </c>
    </row>
    <row r="114">
      <c r="A114" s="13" t="inlineStr">
        <is>
          <t>H016</t>
        </is>
      </c>
      <c r="B114" s="13" t="inlineStr">
        <is>
          <t>Republican gift</t>
        </is>
      </c>
      <c r="C114" s="13" t="inlineStr">
        <is>
          <t>Friends of Will Lathrop</t>
        </is>
      </c>
      <c r="D114" s="13" t="inlineStr">
        <is>
          <t>21896</t>
        </is>
      </c>
      <c r="E114" s="13" t="inlineStr">
        <is>
          <t>5086898</t>
        </is>
      </c>
      <c r="F114" s="13" t="inlineStr">
        <is>
          <t>2024-10-03</t>
        </is>
      </c>
      <c r="G114" s="13" t="n">
        <v>250</v>
      </c>
      <c r="H114" s="13" t="inlineStr">
        <is>
          <t>Street address or PO box</t>
        </is>
      </c>
    </row>
    <row r="115">
      <c r="A115" s="13" t="inlineStr">
        <is>
          <t>H017</t>
        </is>
      </c>
      <c r="B115" s="13" t="inlineStr">
        <is>
          <t>Gift to a slate candidate</t>
        </is>
      </c>
      <c r="C115" s="13" t="inlineStr">
        <is>
          <t>Kellie Torres for Portland</t>
        </is>
      </c>
      <c r="D115" s="13" t="inlineStr">
        <is>
          <t>24897</t>
        </is>
      </c>
      <c r="E115" s="13" t="inlineStr">
        <is>
          <t>5812169</t>
        </is>
      </c>
      <c r="F115" s="13" t="inlineStr">
        <is>
          <t>2026-08-09</t>
        </is>
      </c>
      <c r="G115" s="13" t="n">
        <v>250</v>
      </c>
      <c r="H115" s="13" t="inlineStr"/>
    </row>
    <row r="116">
      <c r="A116" s="13" t="inlineStr">
        <is>
          <t>H017</t>
        </is>
      </c>
      <c r="B116" s="13" t="inlineStr">
        <is>
          <t>Gift to a slate candidate</t>
        </is>
      </c>
      <c r="C116" s="13" t="inlineStr">
        <is>
          <t>Friends of Eric Zimmerman</t>
        </is>
      </c>
      <c r="D116" s="13" t="inlineStr">
        <is>
          <t>17629</t>
        </is>
      </c>
      <c r="E116" s="13" t="inlineStr">
        <is>
          <t>5868399</t>
        </is>
      </c>
      <c r="F116" s="13" t="inlineStr">
        <is>
          <t>2026-09-30</t>
        </is>
      </c>
      <c r="G116" s="13" t="n">
        <v>250</v>
      </c>
      <c r="H116" s="13" t="inlineStr"/>
    </row>
    <row r="117">
      <c r="A117" s="13" t="inlineStr">
        <is>
          <t>H017</t>
        </is>
      </c>
      <c r="B117" s="13" t="inlineStr">
        <is>
          <t>Republican gift</t>
        </is>
      </c>
      <c r="C117" s="13" t="inlineStr">
        <is>
          <t>Friends of Chris Dudley</t>
        </is>
      </c>
      <c r="D117" s="13" t="inlineStr">
        <is>
          <t>13998</t>
        </is>
      </c>
      <c r="E117" s="13" t="inlineStr">
        <is>
          <t>797496</t>
        </is>
      </c>
      <c r="F117" s="13" t="inlineStr">
        <is>
          <t>2010-06-02</t>
        </is>
      </c>
      <c r="G117" s="13" t="n">
        <v>1000</v>
      </c>
      <c r="H117" s="13" t="inlineStr">
        <is>
          <t>Hand review</t>
        </is>
      </c>
    </row>
    <row r="118">
      <c r="A118" s="13" t="inlineStr">
        <is>
          <t>H017</t>
        </is>
      </c>
      <c r="B118" s="13" t="inlineStr">
        <is>
          <t>Republican gift</t>
        </is>
      </c>
      <c r="C118" s="13" t="inlineStr">
        <is>
          <t>Friends of Chris Dudley</t>
        </is>
      </c>
      <c r="D118" s="13" t="inlineStr">
        <is>
          <t>13998</t>
        </is>
      </c>
      <c r="E118" s="13" t="inlineStr">
        <is>
          <t>949704</t>
        </is>
      </c>
      <c r="F118" s="13" t="inlineStr">
        <is>
          <t>2010-10-24</t>
        </is>
      </c>
      <c r="G118" s="13" t="n">
        <v>250</v>
      </c>
      <c r="H118" s="13" t="inlineStr">
        <is>
          <t>Hand review</t>
        </is>
      </c>
    </row>
    <row r="119">
      <c r="A119" s="13" t="inlineStr">
        <is>
          <t>H018</t>
        </is>
      </c>
      <c r="B119" s="13" t="inlineStr">
        <is>
          <t>Gift to a slate candidate</t>
        </is>
      </c>
      <c r="C119" s="13" t="inlineStr">
        <is>
          <t>Kellie Torres for Portland</t>
        </is>
      </c>
      <c r="D119" s="13" t="inlineStr">
        <is>
          <t>24897</t>
        </is>
      </c>
      <c r="E119" s="13" t="inlineStr">
        <is>
          <t>5760945</t>
        </is>
      </c>
      <c r="F119" s="13" t="inlineStr">
        <is>
          <t>2026-08-09</t>
        </is>
      </c>
      <c r="G119" s="13" t="n">
        <v>250</v>
      </c>
      <c r="H119" s="13" t="inlineStr"/>
    </row>
    <row r="120">
      <c r="A120" s="13" t="inlineStr">
        <is>
          <t>H018</t>
        </is>
      </c>
      <c r="B120" s="13" t="inlineStr">
        <is>
          <t>Republican gift</t>
        </is>
      </c>
      <c r="C120" s="13" t="inlineStr">
        <is>
          <t>Friends of Chris Dudley</t>
        </is>
      </c>
      <c r="D120" s="13" t="inlineStr">
        <is>
          <t>13998</t>
        </is>
      </c>
      <c r="E120" s="13" t="inlineStr">
        <is>
          <t>949689</t>
        </is>
      </c>
      <c r="F120" s="13" t="inlineStr">
        <is>
          <t>2010-06-18</t>
        </is>
      </c>
      <c r="G120" s="13" t="n">
        <v>1000</v>
      </c>
      <c r="H120" s="13" t="inlineStr">
        <is>
          <t>Street address or PO box</t>
        </is>
      </c>
    </row>
    <row r="121">
      <c r="A121" s="13" t="inlineStr">
        <is>
          <t>H018</t>
        </is>
      </c>
      <c r="B121" s="13" t="inlineStr">
        <is>
          <t>Republican gift</t>
        </is>
      </c>
      <c r="C121" s="13" t="inlineStr">
        <is>
          <t>Friends of Chris Dudley</t>
        </is>
      </c>
      <c r="D121" s="13" t="inlineStr">
        <is>
          <t>13998</t>
        </is>
      </c>
      <c r="E121" s="13" t="inlineStr">
        <is>
          <t>949688</t>
        </is>
      </c>
      <c r="F121" s="13" t="inlineStr">
        <is>
          <t>2010-10-24</t>
        </is>
      </c>
      <c r="G121" s="13" t="n">
        <v>500</v>
      </c>
      <c r="H121" s="13" t="inlineStr">
        <is>
          <t>Street address or PO box</t>
        </is>
      </c>
    </row>
    <row r="122">
      <c r="A122" s="13" t="inlineStr">
        <is>
          <t>H018</t>
        </is>
      </c>
      <c r="B122" s="13" t="inlineStr">
        <is>
          <t>Republican gift</t>
        </is>
      </c>
      <c r="C122" s="13" t="inlineStr">
        <is>
          <t>Knute Buehler for Secretary of State</t>
        </is>
      </c>
      <c r="D122" s="13" t="inlineStr">
        <is>
          <t>15192</t>
        </is>
      </c>
      <c r="E122" s="13" t="inlineStr">
        <is>
          <t>1270034</t>
        </is>
      </c>
      <c r="F122" s="13" t="inlineStr">
        <is>
          <t>2012-06-24</t>
        </is>
      </c>
      <c r="G122" s="13" t="n">
        <v>250</v>
      </c>
      <c r="H122" s="13" t="inlineStr">
        <is>
          <t>Street address or PO box</t>
        </is>
      </c>
    </row>
    <row r="123">
      <c r="A123" s="13" t="inlineStr">
        <is>
          <t>H018</t>
        </is>
      </c>
      <c r="B123" s="13" t="inlineStr">
        <is>
          <t>Republican gift</t>
        </is>
      </c>
      <c r="C123" s="13" t="inlineStr">
        <is>
          <t>Knute Buehler for Secretary of State</t>
        </is>
      </c>
      <c r="D123" s="13" t="inlineStr">
        <is>
          <t>15192</t>
        </is>
      </c>
      <c r="E123" s="13" t="inlineStr">
        <is>
          <t>1382465</t>
        </is>
      </c>
      <c r="F123" s="13" t="inlineStr">
        <is>
          <t>2012-10-15</t>
        </is>
      </c>
      <c r="G123" s="13" t="n">
        <v>500</v>
      </c>
      <c r="H123" s="13" t="inlineStr">
        <is>
          <t>Street address or PO box</t>
        </is>
      </c>
    </row>
    <row r="124">
      <c r="A124" s="13" t="inlineStr">
        <is>
          <t>H018</t>
        </is>
      </c>
      <c r="B124" s="13" t="inlineStr">
        <is>
          <t>Republican gift</t>
        </is>
      </c>
      <c r="C124" s="13" t="inlineStr">
        <is>
          <t>Knute Buehler for Secretary of State</t>
        </is>
      </c>
      <c r="D124" s="13" t="inlineStr">
        <is>
          <t>15192</t>
        </is>
      </c>
      <c r="E124" s="13" t="inlineStr">
        <is>
          <t>1414274</t>
        </is>
      </c>
      <c r="F124" s="13" t="inlineStr">
        <is>
          <t>2012-11-01</t>
        </is>
      </c>
      <c r="G124" s="13" t="n">
        <v>500</v>
      </c>
      <c r="H124" s="13" t="inlineStr">
        <is>
          <t>Street address or PO box</t>
        </is>
      </c>
    </row>
    <row r="125">
      <c r="A125" s="13" t="inlineStr">
        <is>
          <t>H018</t>
        </is>
      </c>
      <c r="B125" s="13" t="inlineStr">
        <is>
          <t>Republican gift</t>
        </is>
      </c>
      <c r="C125" s="13" t="inlineStr">
        <is>
          <t>Citizens to Elect Dennis Richardson</t>
        </is>
      </c>
      <c r="D125" s="13" t="inlineStr">
        <is>
          <t>4155</t>
        </is>
      </c>
      <c r="E125" s="13" t="inlineStr">
        <is>
          <t>1764279</t>
        </is>
      </c>
      <c r="F125" s="13" t="inlineStr">
        <is>
          <t>2014-07-16</t>
        </is>
      </c>
      <c r="G125" s="13" t="n">
        <v>250</v>
      </c>
      <c r="H125" s="13" t="inlineStr">
        <is>
          <t>Street address or PO box</t>
        </is>
      </c>
    </row>
    <row r="126">
      <c r="A126" s="13" t="inlineStr">
        <is>
          <t>H018</t>
        </is>
      </c>
      <c r="B126" s="13" t="inlineStr">
        <is>
          <t>Republican gift</t>
        </is>
      </c>
      <c r="C126" s="13" t="inlineStr">
        <is>
          <t>Citizens to Elect Dennis Richardson</t>
        </is>
      </c>
      <c r="D126" s="13" t="inlineStr">
        <is>
          <t>4155</t>
        </is>
      </c>
      <c r="E126" s="13" t="inlineStr">
        <is>
          <t>1862480</t>
        </is>
      </c>
      <c r="F126" s="13" t="inlineStr">
        <is>
          <t>2014-10-08</t>
        </is>
      </c>
      <c r="G126" s="13" t="n">
        <v>1000</v>
      </c>
      <c r="H126" s="13" t="inlineStr">
        <is>
          <t>Street address or PO box</t>
        </is>
      </c>
    </row>
    <row r="127">
      <c r="A127" s="13" t="inlineStr">
        <is>
          <t>H018</t>
        </is>
      </c>
      <c r="B127" s="13" t="inlineStr">
        <is>
          <t>Republican gift</t>
        </is>
      </c>
      <c r="C127" s="13" t="inlineStr">
        <is>
          <t>Friends of Allen Alley</t>
        </is>
      </c>
      <c r="D127" s="13" t="inlineStr">
        <is>
          <t>12878</t>
        </is>
      </c>
      <c r="E127" s="13" t="inlineStr">
        <is>
          <t>2204149</t>
        </is>
      </c>
      <c r="F127" s="13" t="inlineStr">
        <is>
          <t>2016-03-30</t>
        </is>
      </c>
      <c r="G127" s="13" t="n">
        <v>500</v>
      </c>
      <c r="H127" s="13" t="inlineStr">
        <is>
          <t>Street address or PO box</t>
        </is>
      </c>
    </row>
    <row r="128">
      <c r="A128" s="13" t="inlineStr">
        <is>
          <t>H018</t>
        </is>
      </c>
      <c r="B128" s="13" t="inlineStr">
        <is>
          <t>Republican gift</t>
        </is>
      </c>
      <c r="C128" s="13" t="inlineStr">
        <is>
          <t>Friends of Allen Alley</t>
        </is>
      </c>
      <c r="D128" s="13" t="inlineStr">
        <is>
          <t>12878</t>
        </is>
      </c>
      <c r="E128" s="13" t="inlineStr">
        <is>
          <t>2227651</t>
        </is>
      </c>
      <c r="F128" s="13" t="inlineStr">
        <is>
          <t>2016-04-21</t>
        </is>
      </c>
      <c r="G128" s="13" t="n">
        <v>500</v>
      </c>
      <c r="H128" s="13" t="inlineStr">
        <is>
          <t>Street address or PO box</t>
        </is>
      </c>
    </row>
    <row r="129">
      <c r="A129" s="13" t="inlineStr">
        <is>
          <t>H018</t>
        </is>
      </c>
      <c r="B129" s="13" t="inlineStr">
        <is>
          <t>Republican gift</t>
        </is>
      </c>
      <c r="C129" s="13" t="inlineStr">
        <is>
          <t>Bud Pierce for a Better Oregon</t>
        </is>
      </c>
      <c r="D129" s="13" t="inlineStr">
        <is>
          <t>17397</t>
        </is>
      </c>
      <c r="E129" s="13" t="inlineStr">
        <is>
          <t>2227560</t>
        </is>
      </c>
      <c r="F129" s="13" t="inlineStr">
        <is>
          <t>2016-04-21</t>
        </is>
      </c>
      <c r="G129" s="13" t="n">
        <v>500</v>
      </c>
      <c r="H129" s="13" t="inlineStr">
        <is>
          <t>Street address or PO box</t>
        </is>
      </c>
    </row>
    <row r="130">
      <c r="A130" s="13" t="inlineStr">
        <is>
          <t>H018</t>
        </is>
      </c>
      <c r="B130" s="13" t="inlineStr">
        <is>
          <t>Republican gift</t>
        </is>
      </c>
      <c r="C130" s="13" t="inlineStr">
        <is>
          <t>Bud Pierce for a Better Oregon</t>
        </is>
      </c>
      <c r="D130" s="13" t="inlineStr">
        <is>
          <t>17397</t>
        </is>
      </c>
      <c r="E130" s="13" t="inlineStr">
        <is>
          <t>2275366</t>
        </is>
      </c>
      <c r="F130" s="13" t="inlineStr">
        <is>
          <t>2016-06-21</t>
        </is>
      </c>
      <c r="G130" s="13" t="n">
        <v>500</v>
      </c>
      <c r="H130" s="13" t="inlineStr">
        <is>
          <t>Street address or PO box</t>
        </is>
      </c>
    </row>
    <row r="131">
      <c r="A131" s="13" t="inlineStr">
        <is>
          <t>H018</t>
        </is>
      </c>
      <c r="B131" s="13" t="inlineStr">
        <is>
          <t>Republican gift</t>
        </is>
      </c>
      <c r="C131" s="13" t="inlineStr">
        <is>
          <t>Bud Pierce for a Better Oregon</t>
        </is>
      </c>
      <c r="D131" s="13" t="inlineStr">
        <is>
          <t>17397</t>
        </is>
      </c>
      <c r="E131" s="13" t="inlineStr">
        <is>
          <t>2402657</t>
        </is>
      </c>
      <c r="F131" s="13" t="inlineStr">
        <is>
          <t>2016-10-17</t>
        </is>
      </c>
      <c r="G131" s="13" t="n">
        <v>500</v>
      </c>
      <c r="H131" s="13" t="inlineStr">
        <is>
          <t>Street address or PO box</t>
        </is>
      </c>
    </row>
    <row r="132">
      <c r="A132" s="13" t="inlineStr">
        <is>
          <t>H018</t>
        </is>
      </c>
      <c r="B132" s="13" t="inlineStr">
        <is>
          <t>Republican gift</t>
        </is>
      </c>
      <c r="C132" s="13" t="inlineStr">
        <is>
          <t>Knute for Governor</t>
        </is>
      </c>
      <c r="D132" s="13" t="inlineStr">
        <is>
          <t>15192</t>
        </is>
      </c>
      <c r="E132" s="13" t="inlineStr">
        <is>
          <t>2871059</t>
        </is>
      </c>
      <c r="F132" s="13" t="inlineStr">
        <is>
          <t>2018-06-18</t>
        </is>
      </c>
      <c r="G132" s="13" t="n">
        <v>1000</v>
      </c>
      <c r="H132" s="13" t="inlineStr">
        <is>
          <t>Street address or PO box</t>
        </is>
      </c>
    </row>
    <row r="133">
      <c r="A133" s="13" t="inlineStr">
        <is>
          <t>H018</t>
        </is>
      </c>
      <c r="B133" s="13" t="inlineStr">
        <is>
          <t>Republican gift</t>
        </is>
      </c>
      <c r="C133" s="13" t="inlineStr">
        <is>
          <t>Evergreen Oregon PAC</t>
        </is>
      </c>
      <c r="D133" s="13" t="inlineStr">
        <is>
          <t>20202</t>
        </is>
      </c>
      <c r="E133" s="13" t="inlineStr">
        <is>
          <t>3282978</t>
        </is>
      </c>
      <c r="F133" s="13" t="inlineStr">
        <is>
          <t>2019-11-07</t>
        </is>
      </c>
      <c r="G133" s="13" t="n">
        <v>500</v>
      </c>
      <c r="H133" s="13" t="inlineStr">
        <is>
          <t>Street address or PO box</t>
        </is>
      </c>
    </row>
    <row r="134">
      <c r="A134" s="13" t="inlineStr">
        <is>
          <t>H018</t>
        </is>
      </c>
      <c r="B134" s="13" t="inlineStr">
        <is>
          <t>Republican gift</t>
        </is>
      </c>
      <c r="C134" s="13" t="inlineStr">
        <is>
          <t>Evergreen Oregon PAC</t>
        </is>
      </c>
      <c r="D134" s="13" t="inlineStr">
        <is>
          <t>20202</t>
        </is>
      </c>
      <c r="E134" s="13" t="inlineStr">
        <is>
          <t>3824692</t>
        </is>
      </c>
      <c r="F134" s="13" t="inlineStr">
        <is>
          <t>2021-07-11</t>
        </is>
      </c>
      <c r="G134" s="13" t="n">
        <v>500</v>
      </c>
      <c r="H134" s="13" t="inlineStr">
        <is>
          <t>Street address or PO box</t>
        </is>
      </c>
    </row>
    <row r="135">
      <c r="A135" s="13" t="inlineStr">
        <is>
          <t>H018</t>
        </is>
      </c>
      <c r="B135" s="13" t="inlineStr">
        <is>
          <t>Republican gift</t>
        </is>
      </c>
      <c r="C135" s="13" t="inlineStr">
        <is>
          <t>Friends of Christine Drazan</t>
        </is>
      </c>
      <c r="D135" s="13" t="inlineStr">
        <is>
          <t>19050</t>
        </is>
      </c>
      <c r="E135" s="13" t="inlineStr">
        <is>
          <t>4312835</t>
        </is>
      </c>
      <c r="F135" s="13" t="inlineStr">
        <is>
          <t>2022-09-29</t>
        </is>
      </c>
      <c r="G135" s="13" t="n">
        <v>500</v>
      </c>
      <c r="H135" s="13" t="inlineStr">
        <is>
          <t>Street address or PO box</t>
        </is>
      </c>
    </row>
    <row r="136">
      <c r="A136" s="13" t="inlineStr">
        <is>
          <t>H018</t>
        </is>
      </c>
      <c r="B136" s="13" t="inlineStr">
        <is>
          <t>Republican gift</t>
        </is>
      </c>
      <c r="C136" s="13" t="inlineStr">
        <is>
          <t>Friends of Christine Drazan</t>
        </is>
      </c>
      <c r="D136" s="13" t="inlineStr">
        <is>
          <t>19050</t>
        </is>
      </c>
      <c r="E136" s="13" t="inlineStr">
        <is>
          <t>5099437</t>
        </is>
      </c>
      <c r="F136" s="13" t="inlineStr">
        <is>
          <t>2024-10-12</t>
        </is>
      </c>
      <c r="G136" s="13" t="n">
        <v>500</v>
      </c>
      <c r="H136" s="13" t="inlineStr">
        <is>
          <t>Street address or PO box</t>
        </is>
      </c>
    </row>
    <row r="137">
      <c r="A137" s="13" t="inlineStr">
        <is>
          <t>H018</t>
        </is>
      </c>
      <c r="B137" s="13" t="inlineStr">
        <is>
          <t>Republican gift</t>
        </is>
      </c>
      <c r="C137" s="13" t="inlineStr">
        <is>
          <t>Friends of Christine Drazan</t>
        </is>
      </c>
      <c r="D137" s="13" t="inlineStr">
        <is>
          <t>19050</t>
        </is>
      </c>
      <c r="E137" s="13" t="inlineStr">
        <is>
          <t>5672089</t>
        </is>
      </c>
      <c r="F137" s="13" t="inlineStr">
        <is>
          <t>2026-05-21</t>
        </is>
      </c>
      <c r="G137" s="13" t="n">
        <v>1000</v>
      </c>
      <c r="H137" s="13" t="inlineStr">
        <is>
          <t>Street address or PO box</t>
        </is>
      </c>
    </row>
    <row r="138">
      <c r="A138" s="13" t="inlineStr">
        <is>
          <t>H018</t>
        </is>
      </c>
      <c r="B138" s="13" t="inlineStr">
        <is>
          <t>Republican gift</t>
        </is>
      </c>
      <c r="C138" s="13" t="inlineStr">
        <is>
          <t>Friends of Christine Drazan</t>
        </is>
      </c>
      <c r="D138" s="13" t="inlineStr">
        <is>
          <t>19050</t>
        </is>
      </c>
      <c r="E138" s="13" t="inlineStr">
        <is>
          <t>5778485</t>
        </is>
      </c>
      <c r="F138" s="13" t="inlineStr">
        <is>
          <t>2026-08-26</t>
        </is>
      </c>
      <c r="G138" s="13" t="n">
        <v>5000</v>
      </c>
      <c r="H138" s="13" t="inlineStr">
        <is>
          <t>Street address or PO box</t>
        </is>
      </c>
    </row>
    <row r="139">
      <c r="A139" s="13" t="inlineStr">
        <is>
          <t>H019</t>
        </is>
      </c>
      <c r="B139" s="13" t="inlineStr">
        <is>
          <t>Gift to a slate candidate</t>
        </is>
      </c>
      <c r="C139" s="13" t="inlineStr">
        <is>
          <t>Friends of Julia Brim-Edwards</t>
        </is>
      </c>
      <c r="D139" s="13" t="inlineStr">
        <is>
          <t>21206</t>
        </is>
      </c>
      <c r="E139" s="13" t="inlineStr">
        <is>
          <t>4530526</t>
        </is>
      </c>
      <c r="F139" s="13" t="inlineStr">
        <is>
          <t>2023-03-15</t>
        </is>
      </c>
      <c r="G139" s="13" t="n">
        <v>500</v>
      </c>
      <c r="H139" s="13" t="inlineStr"/>
    </row>
    <row r="140">
      <c r="A140" s="13" t="inlineStr">
        <is>
          <t>H019</t>
        </is>
      </c>
      <c r="B140" s="13" t="inlineStr">
        <is>
          <t>Gift to a slate candidate</t>
        </is>
      </c>
      <c r="C140" s="13" t="inlineStr">
        <is>
          <t>Friends of Julia Brim-Edwards</t>
        </is>
      </c>
      <c r="D140" s="13" t="inlineStr">
        <is>
          <t>21206</t>
        </is>
      </c>
      <c r="E140" s="13" t="inlineStr">
        <is>
          <t>4913050</t>
        </is>
      </c>
      <c r="F140" s="13" t="inlineStr">
        <is>
          <t>2024-05-14</t>
        </is>
      </c>
      <c r="G140" s="13" t="n">
        <v>500</v>
      </c>
      <c r="H140" s="13" t="inlineStr"/>
    </row>
    <row r="141">
      <c r="A141" s="13" t="inlineStr">
        <is>
          <t>H019</t>
        </is>
      </c>
      <c r="B141" s="13" t="inlineStr">
        <is>
          <t>Gift to a slate candidate</t>
        </is>
      </c>
      <c r="C141" s="13" t="inlineStr">
        <is>
          <t>Friends of Eric Zimmerman</t>
        </is>
      </c>
      <c r="D141" s="13" t="inlineStr">
        <is>
          <t>17629</t>
        </is>
      </c>
      <c r="E141" s="13" t="inlineStr">
        <is>
          <t>5017065</t>
        </is>
      </c>
      <c r="F141" s="13" t="inlineStr">
        <is>
          <t>2024-08-22</t>
        </is>
      </c>
      <c r="G141" s="13" t="n">
        <v>250</v>
      </c>
      <c r="H141" s="13" t="inlineStr"/>
    </row>
    <row r="142">
      <c r="A142" s="13" t="inlineStr">
        <is>
          <t>H019</t>
        </is>
      </c>
      <c r="B142" s="13" t="inlineStr">
        <is>
          <t>Gift to a slate candidate</t>
        </is>
      </c>
      <c r="C142" s="13" t="inlineStr">
        <is>
          <t>Friends of Olivia</t>
        </is>
      </c>
      <c r="D142" s="13" t="inlineStr">
        <is>
          <t>23199</t>
        </is>
      </c>
      <c r="E142" s="13" t="inlineStr">
        <is>
          <t>5375105</t>
        </is>
      </c>
      <c r="F142" s="13" t="inlineStr">
        <is>
          <t>2025-08-25</t>
        </is>
      </c>
      <c r="G142" s="13" t="n">
        <v>250</v>
      </c>
      <c r="H142" s="13" t="inlineStr"/>
    </row>
    <row r="143">
      <c r="A143" s="13" t="inlineStr">
        <is>
          <t>H019</t>
        </is>
      </c>
      <c r="B143" s="13" t="inlineStr">
        <is>
          <t>Gift to a slate candidate</t>
        </is>
      </c>
      <c r="C143" s="13" t="inlineStr">
        <is>
          <t>Friends of Olivia</t>
        </is>
      </c>
      <c r="D143" s="13" t="inlineStr">
        <is>
          <t>23199</t>
        </is>
      </c>
      <c r="E143" s="13" t="inlineStr">
        <is>
          <t>5473737</t>
        </is>
      </c>
      <c r="F143" s="13" t="inlineStr">
        <is>
          <t>2025-12-08</t>
        </is>
      </c>
      <c r="G143" s="13" t="n">
        <v>250</v>
      </c>
      <c r="H143" s="13" t="inlineStr"/>
    </row>
    <row r="144">
      <c r="A144" s="13" t="inlineStr">
        <is>
          <t>H019</t>
        </is>
      </c>
      <c r="B144" s="13" t="inlineStr">
        <is>
          <t>Gift to a slate candidate</t>
        </is>
      </c>
      <c r="C144" s="13" t="inlineStr">
        <is>
          <t>Friends of Julia Brim-Edwards</t>
        </is>
      </c>
      <c r="D144" s="13" t="inlineStr">
        <is>
          <t>21206</t>
        </is>
      </c>
      <c r="E144" s="13" t="inlineStr">
        <is>
          <t>5555015</t>
        </is>
      </c>
      <c r="F144" s="13" t="inlineStr">
        <is>
          <t>2026-02-16</t>
        </is>
      </c>
      <c r="G144" s="13" t="n">
        <v>500</v>
      </c>
      <c r="H144" s="13" t="inlineStr"/>
    </row>
    <row r="145">
      <c r="A145" s="13" t="inlineStr">
        <is>
          <t>H019</t>
        </is>
      </c>
      <c r="B145" s="13" t="inlineStr">
        <is>
          <t>Gift to a slate candidate</t>
        </is>
      </c>
      <c r="C145" s="13" t="inlineStr">
        <is>
          <t>Kellie Torres for Portland</t>
        </is>
      </c>
      <c r="D145" s="13" t="inlineStr">
        <is>
          <t>24897</t>
        </is>
      </c>
      <c r="E145" s="13" t="inlineStr">
        <is>
          <t>5658420</t>
        </is>
      </c>
      <c r="F145" s="13" t="inlineStr">
        <is>
          <t>2026-05-03</t>
        </is>
      </c>
      <c r="G145" s="13" t="n">
        <v>250</v>
      </c>
      <c r="H145" s="13" t="inlineStr"/>
    </row>
    <row r="146">
      <c r="A146" s="13" t="inlineStr">
        <is>
          <t>H019</t>
        </is>
      </c>
      <c r="B146" s="13" t="inlineStr">
        <is>
          <t>Gift to a slate candidate</t>
        </is>
      </c>
      <c r="C146" s="13" t="inlineStr">
        <is>
          <t>Novick for Portland</t>
        </is>
      </c>
      <c r="D146" s="13" t="inlineStr">
        <is>
          <t>15109</t>
        </is>
      </c>
      <c r="E146" s="13" t="inlineStr">
        <is>
          <t>5717509</t>
        </is>
      </c>
      <c r="F146" s="13" t="inlineStr">
        <is>
          <t>2026-06-17</t>
        </is>
      </c>
      <c r="G146" s="13" t="n">
        <v>250</v>
      </c>
      <c r="H146" s="13" t="inlineStr"/>
    </row>
    <row r="147">
      <c r="A147" s="13" t="inlineStr">
        <is>
          <t>H019</t>
        </is>
      </c>
      <c r="B147" s="13" t="inlineStr">
        <is>
          <t>Gift to a slate candidate</t>
        </is>
      </c>
      <c r="C147" s="13" t="inlineStr">
        <is>
          <t>Friends of Eric Zimmerman</t>
        </is>
      </c>
      <c r="D147" s="13" t="inlineStr">
        <is>
          <t>17629</t>
        </is>
      </c>
      <c r="E147" s="13" t="inlineStr">
        <is>
          <t>5813892</t>
        </is>
      </c>
      <c r="F147" s="13" t="inlineStr">
        <is>
          <t>2026-09-09</t>
        </is>
      </c>
      <c r="G147" s="13" t="n">
        <v>250</v>
      </c>
      <c r="H147" s="13" t="inlineStr"/>
    </row>
    <row r="148">
      <c r="A148" s="13" t="inlineStr">
        <is>
          <t>H019</t>
        </is>
      </c>
      <c r="B148" s="13" t="inlineStr">
        <is>
          <t>Republican gift</t>
        </is>
      </c>
      <c r="C148" s="13" t="inlineStr">
        <is>
          <t>Friends of Chris Dudley</t>
        </is>
      </c>
      <c r="D148" s="13" t="inlineStr">
        <is>
          <t>13998</t>
        </is>
      </c>
      <c r="E148" s="13" t="inlineStr">
        <is>
          <t>890502</t>
        </is>
      </c>
      <c r="F148" s="13" t="inlineStr">
        <is>
          <t>2010-09-22</t>
        </is>
      </c>
      <c r="G148" s="13" t="n">
        <v>1000</v>
      </c>
      <c r="H148" s="13" t="inlineStr">
        <is>
          <t>Hand review</t>
        </is>
      </c>
    </row>
    <row r="149">
      <c r="A149" s="13" t="inlineStr">
        <is>
          <t>H020</t>
        </is>
      </c>
      <c r="B149" s="13" t="inlineStr">
        <is>
          <t>Gift to a slate candidate</t>
        </is>
      </c>
      <c r="C149" s="13" t="inlineStr">
        <is>
          <t>Friends of Julia Brim-Edwards</t>
        </is>
      </c>
      <c r="D149" s="13" t="inlineStr">
        <is>
          <t>21206</t>
        </is>
      </c>
      <c r="E149" s="13" t="inlineStr">
        <is>
          <t>4551189</t>
        </is>
      </c>
      <c r="F149" s="13" t="inlineStr">
        <is>
          <t>2023-04-06</t>
        </is>
      </c>
      <c r="G149" s="13" t="n">
        <v>250</v>
      </c>
      <c r="H149" s="13" t="inlineStr"/>
    </row>
    <row r="150">
      <c r="A150" s="13" t="inlineStr">
        <is>
          <t>H020</t>
        </is>
      </c>
      <c r="B150" s="13" t="inlineStr">
        <is>
          <t>Gift to a slate candidate</t>
        </is>
      </c>
      <c r="C150" s="13" t="inlineStr">
        <is>
          <t>Friends of Olivia</t>
        </is>
      </c>
      <c r="D150" s="13" t="inlineStr">
        <is>
          <t>23199</t>
        </is>
      </c>
      <c r="E150" s="13" t="inlineStr">
        <is>
          <t>4931476</t>
        </is>
      </c>
      <c r="F150" s="13" t="inlineStr">
        <is>
          <t>2024-05-15</t>
        </is>
      </c>
      <c r="G150" s="13" t="n">
        <v>250</v>
      </c>
      <c r="H150" s="13" t="inlineStr"/>
    </row>
    <row r="151">
      <c r="A151" s="13" t="inlineStr">
        <is>
          <t>H020</t>
        </is>
      </c>
      <c r="B151" s="13" t="inlineStr">
        <is>
          <t>Gift to a slate candidate</t>
        </is>
      </c>
      <c r="C151" s="13" t="inlineStr">
        <is>
          <t>Novick for Portland</t>
        </is>
      </c>
      <c r="D151" s="13" t="inlineStr">
        <is>
          <t>15109</t>
        </is>
      </c>
      <c r="E151" s="13" t="inlineStr">
        <is>
          <t>5717485</t>
        </is>
      </c>
      <c r="F151" s="13" t="inlineStr">
        <is>
          <t>2026-06-12</t>
        </is>
      </c>
      <c r="G151" s="13" t="n">
        <v>250</v>
      </c>
      <c r="H151" s="13" t="inlineStr"/>
    </row>
    <row r="152">
      <c r="A152" s="13" t="inlineStr">
        <is>
          <t>H020</t>
        </is>
      </c>
      <c r="B152" s="13" t="inlineStr">
        <is>
          <t>Gift to a slate candidate</t>
        </is>
      </c>
      <c r="C152" s="13" t="inlineStr">
        <is>
          <t>Friends of Eric Zimmerman</t>
        </is>
      </c>
      <c r="D152" s="13" t="inlineStr">
        <is>
          <t>17629</t>
        </is>
      </c>
      <c r="E152" s="13" t="inlineStr">
        <is>
          <t>5778160</t>
        </is>
      </c>
      <c r="F152" s="13" t="inlineStr">
        <is>
          <t>2026-08-24</t>
        </is>
      </c>
      <c r="G152" s="13" t="n">
        <v>250</v>
      </c>
      <c r="H152" s="13" t="inlineStr"/>
    </row>
    <row r="153">
      <c r="A153" s="13" t="inlineStr">
        <is>
          <t>H020</t>
        </is>
      </c>
      <c r="B153" s="13" t="inlineStr">
        <is>
          <t>Gift to a slate candidate</t>
        </is>
      </c>
      <c r="C153" s="13" t="inlineStr">
        <is>
          <t>Friends of Olivia</t>
        </is>
      </c>
      <c r="D153" s="13" t="inlineStr">
        <is>
          <t>23199</t>
        </is>
      </c>
      <c r="E153" s="13" t="inlineStr">
        <is>
          <t>5844223</t>
        </is>
      </c>
      <c r="F153" s="13" t="inlineStr">
        <is>
          <t>2026-09-15</t>
        </is>
      </c>
      <c r="G153" s="13" t="n">
        <v>250</v>
      </c>
      <c r="H153" s="13" t="inlineStr"/>
    </row>
    <row r="154">
      <c r="A154" s="13" t="inlineStr">
        <is>
          <t>H020</t>
        </is>
      </c>
      <c r="B154" s="13" t="inlineStr">
        <is>
          <t>Gift to a slate candidate</t>
        </is>
      </c>
      <c r="C154" s="13" t="inlineStr">
        <is>
          <t>Friends of Eric Zimmerman</t>
        </is>
      </c>
      <c r="D154" s="13" t="inlineStr">
        <is>
          <t>17629</t>
        </is>
      </c>
      <c r="E154" s="13" t="inlineStr">
        <is>
          <t>5813959</t>
        </is>
      </c>
      <c r="F154" s="13" t="inlineStr">
        <is>
          <t>2026-09-15</t>
        </is>
      </c>
      <c r="G154" s="13" t="n">
        <v>250</v>
      </c>
      <c r="H154" s="13" t="inlineStr"/>
    </row>
    <row r="155">
      <c r="A155" s="13" t="inlineStr">
        <is>
          <t>H020</t>
        </is>
      </c>
      <c r="B155" s="13" t="inlineStr">
        <is>
          <t>Gift to a slate candidate</t>
        </is>
      </c>
      <c r="C155" s="13" t="inlineStr">
        <is>
          <t>Kellie Torres for Portland</t>
        </is>
      </c>
      <c r="D155" s="13" t="inlineStr">
        <is>
          <t>24897</t>
        </is>
      </c>
      <c r="E155" s="13" t="inlineStr">
        <is>
          <t>5846625</t>
        </is>
      </c>
      <c r="F155" s="13" t="inlineStr">
        <is>
          <t>2026-09-20</t>
        </is>
      </c>
      <c r="G155" s="13" t="n">
        <v>250</v>
      </c>
      <c r="H155" s="13" t="inlineStr"/>
    </row>
    <row r="156">
      <c r="A156" s="13" t="inlineStr">
        <is>
          <t>H020</t>
        </is>
      </c>
      <c r="B156" s="13" t="inlineStr">
        <is>
          <t>Republican gift</t>
        </is>
      </c>
      <c r="C156" s="13" t="inlineStr">
        <is>
          <t>Starr, Bruce, for State Senate Committee</t>
        </is>
      </c>
      <c r="D156" s="13" t="inlineStr">
        <is>
          <t>2752</t>
        </is>
      </c>
      <c r="E156" s="13" t="inlineStr">
        <is>
          <t>944216</t>
        </is>
      </c>
      <c r="F156" s="13" t="inlineStr">
        <is>
          <t>2010-10-27</t>
        </is>
      </c>
      <c r="G156" s="13" t="n">
        <v>250</v>
      </c>
      <c r="H156" s="13" t="inlineStr">
        <is>
          <t>ZIP + employer</t>
        </is>
      </c>
    </row>
    <row r="157">
      <c r="A157" s="13" t="inlineStr">
        <is>
          <t>H021</t>
        </is>
      </c>
      <c r="B157" s="13" t="inlineStr">
        <is>
          <t>Gift to a slate candidate</t>
        </is>
      </c>
      <c r="C157" s="13" t="inlineStr">
        <is>
          <t>Friends of Julia Brim-Edwards</t>
        </is>
      </c>
      <c r="D157" s="13" t="inlineStr">
        <is>
          <t>21206</t>
        </is>
      </c>
      <c r="E157" s="13" t="inlineStr">
        <is>
          <t>4568202</t>
        </is>
      </c>
      <c r="F157" s="13" t="inlineStr">
        <is>
          <t>2023-05-01</t>
        </is>
      </c>
      <c r="G157" s="13" t="n">
        <v>500</v>
      </c>
      <c r="H157" s="13" t="inlineStr"/>
    </row>
    <row r="158">
      <c r="A158" s="13" t="inlineStr">
        <is>
          <t>H021</t>
        </is>
      </c>
      <c r="B158" s="13" t="inlineStr">
        <is>
          <t>Gift to a slate candidate</t>
        </is>
      </c>
      <c r="C158" s="13" t="inlineStr">
        <is>
          <t>Friends of Julia Brim-Edwards</t>
        </is>
      </c>
      <c r="D158" s="13" t="inlineStr">
        <is>
          <t>21206</t>
        </is>
      </c>
      <c r="E158" s="13" t="inlineStr">
        <is>
          <t>4921372</t>
        </is>
      </c>
      <c r="F158" s="13" t="inlineStr">
        <is>
          <t>2024-05-20</t>
        </is>
      </c>
      <c r="G158" s="13" t="n">
        <v>500</v>
      </c>
      <c r="H158" s="13" t="inlineStr"/>
    </row>
    <row r="159">
      <c r="A159" s="13" t="inlineStr">
        <is>
          <t>H021</t>
        </is>
      </c>
      <c r="B159" s="13" t="inlineStr">
        <is>
          <t>Gift to a slate candidate</t>
        </is>
      </c>
      <c r="C159" s="13" t="inlineStr">
        <is>
          <t>Friends of Olivia</t>
        </is>
      </c>
      <c r="D159" s="13" t="inlineStr">
        <is>
          <t>23199</t>
        </is>
      </c>
      <c r="E159" s="13" t="inlineStr">
        <is>
          <t>5800302</t>
        </is>
      </c>
      <c r="F159" s="13" t="inlineStr">
        <is>
          <t>2026-09-08</t>
        </is>
      </c>
      <c r="G159" s="13" t="n">
        <v>250</v>
      </c>
      <c r="H159" s="13" t="inlineStr"/>
    </row>
    <row r="160">
      <c r="A160" s="13" t="inlineStr">
        <is>
          <t>H021</t>
        </is>
      </c>
      <c r="B160" s="13" t="inlineStr">
        <is>
          <t>Gift to a slate candidate</t>
        </is>
      </c>
      <c r="C160" s="13" t="inlineStr">
        <is>
          <t>Friends of Eric Zimmerman</t>
        </is>
      </c>
      <c r="D160" s="13" t="inlineStr">
        <is>
          <t>17629</t>
        </is>
      </c>
      <c r="E160" s="13" t="inlineStr">
        <is>
          <t>5813894</t>
        </is>
      </c>
      <c r="F160" s="13" t="inlineStr">
        <is>
          <t>2026-09-08</t>
        </is>
      </c>
      <c r="G160" s="13" t="n">
        <v>250</v>
      </c>
      <c r="H160" s="13" t="inlineStr"/>
    </row>
    <row r="161">
      <c r="A161" s="13" t="inlineStr">
        <is>
          <t>H021</t>
        </is>
      </c>
      <c r="B161" s="13" t="inlineStr">
        <is>
          <t>Gift to a slate candidate</t>
        </is>
      </c>
      <c r="C161" s="13" t="inlineStr">
        <is>
          <t>Kellie Torres for Portland</t>
        </is>
      </c>
      <c r="D161" s="13" t="inlineStr">
        <is>
          <t>24897</t>
        </is>
      </c>
      <c r="E161" s="13" t="inlineStr">
        <is>
          <t>5878236</t>
        </is>
      </c>
      <c r="F161" s="13" t="inlineStr">
        <is>
          <t>2026-10-06</t>
        </is>
      </c>
      <c r="G161" s="13" t="n">
        <v>250</v>
      </c>
      <c r="H161" s="13" t="inlineStr"/>
    </row>
    <row r="162">
      <c r="A162" s="13" t="inlineStr">
        <is>
          <t>H021</t>
        </is>
      </c>
      <c r="B162" s="13" t="inlineStr">
        <is>
          <t>Republican gift</t>
        </is>
      </c>
      <c r="C162" s="13" t="inlineStr">
        <is>
          <t>Knute Buehler for Secretary of State</t>
        </is>
      </c>
      <c r="D162" s="13" t="inlineStr">
        <is>
          <t>15192</t>
        </is>
      </c>
      <c r="E162" s="13" t="inlineStr">
        <is>
          <t>1125657</t>
        </is>
      </c>
      <c r="F162" s="13" t="inlineStr">
        <is>
          <t>2011-12-21</t>
        </is>
      </c>
      <c r="G162" s="13" t="n">
        <v>250</v>
      </c>
      <c r="H162" s="13" t="inlineStr">
        <is>
          <t>Street address or PO box</t>
        </is>
      </c>
    </row>
    <row r="163">
      <c r="A163" s="13" t="inlineStr">
        <is>
          <t>H021</t>
        </is>
      </c>
      <c r="B163" s="13" t="inlineStr">
        <is>
          <t>Republican gift</t>
        </is>
      </c>
      <c r="C163" s="13" t="inlineStr">
        <is>
          <t>Citizens to Elect Dennis Richardson</t>
        </is>
      </c>
      <c r="D163" s="13" t="inlineStr">
        <is>
          <t>4155</t>
        </is>
      </c>
      <c r="E163" s="13" t="inlineStr">
        <is>
          <t>1832575</t>
        </is>
      </c>
      <c r="F163" s="13" t="inlineStr">
        <is>
          <t>2014-09-17</t>
        </is>
      </c>
      <c r="G163" s="13" t="n">
        <v>250</v>
      </c>
      <c r="H163" s="13" t="inlineStr">
        <is>
          <t>Street address or PO box</t>
        </is>
      </c>
    </row>
    <row r="164">
      <c r="A164" s="13" t="inlineStr">
        <is>
          <t>H021</t>
        </is>
      </c>
      <c r="B164" s="13" t="inlineStr">
        <is>
          <t>Republican gift</t>
        </is>
      </c>
      <c r="C164" s="13" t="inlineStr">
        <is>
          <t>Bud Pierce for a Better Oregon</t>
        </is>
      </c>
      <c r="D164" s="13" t="inlineStr">
        <is>
          <t>17397</t>
        </is>
      </c>
      <c r="E164" s="13" t="inlineStr">
        <is>
          <t>2294547</t>
        </is>
      </c>
      <c r="F164" s="13" t="inlineStr">
        <is>
          <t>2016-07-18</t>
        </is>
      </c>
      <c r="G164" s="13" t="n">
        <v>500</v>
      </c>
      <c r="H164" s="13" t="inlineStr">
        <is>
          <t>Street address or PO box</t>
        </is>
      </c>
    </row>
    <row r="165">
      <c r="A165" s="13" t="inlineStr">
        <is>
          <t>H021</t>
        </is>
      </c>
      <c r="B165" s="13" t="inlineStr">
        <is>
          <t>Republican gift</t>
        </is>
      </c>
      <c r="C165" s="13" t="inlineStr">
        <is>
          <t>Knute for Governor</t>
        </is>
      </c>
      <c r="D165" s="13" t="inlineStr">
        <is>
          <t>15192</t>
        </is>
      </c>
      <c r="E165" s="13" t="inlineStr">
        <is>
          <t>2887948</t>
        </is>
      </c>
      <c r="F165" s="13" t="inlineStr">
        <is>
          <t>2018-07-05</t>
        </is>
      </c>
      <c r="G165" s="13" t="n">
        <v>1000</v>
      </c>
      <c r="H165" s="13" t="inlineStr">
        <is>
          <t>Street address or PO box</t>
        </is>
      </c>
    </row>
    <row r="166">
      <c r="A166" s="13" t="inlineStr">
        <is>
          <t>H021</t>
        </is>
      </c>
      <c r="B166" s="13" t="inlineStr">
        <is>
          <t>Republican gift</t>
        </is>
      </c>
      <c r="C166" s="13" t="inlineStr">
        <is>
          <t>The Leadership Fund</t>
        </is>
      </c>
      <c r="D166" s="13" t="inlineStr">
        <is>
          <t>2690</t>
        </is>
      </c>
      <c r="E166" s="13" t="inlineStr">
        <is>
          <t>3164998</t>
        </is>
      </c>
      <c r="F166" s="13" t="inlineStr">
        <is>
          <t>2019-04-05</t>
        </is>
      </c>
      <c r="G166" s="13" t="n">
        <v>250</v>
      </c>
      <c r="H166" s="13" t="inlineStr">
        <is>
          <t>Street address or PO box</t>
        </is>
      </c>
    </row>
    <row r="167">
      <c r="A167" s="13" t="inlineStr">
        <is>
          <t>H021</t>
        </is>
      </c>
      <c r="B167" s="13" t="inlineStr">
        <is>
          <t>Republican gift</t>
        </is>
      </c>
      <c r="C167" s="13" t="inlineStr">
        <is>
          <t>Friends of Kim Thatcher</t>
        </is>
      </c>
      <c r="D167" s="13" t="inlineStr">
        <is>
          <t>4871</t>
        </is>
      </c>
      <c r="E167" s="13" t="inlineStr">
        <is>
          <t>3474655</t>
        </is>
      </c>
      <c r="F167" s="13" t="inlineStr">
        <is>
          <t>2020-05-19</t>
        </is>
      </c>
      <c r="G167" s="13" t="n">
        <v>500</v>
      </c>
      <c r="H167" s="13" t="inlineStr">
        <is>
          <t>Street address or PO box</t>
        </is>
      </c>
    </row>
    <row r="168">
      <c r="A168" s="13" t="inlineStr">
        <is>
          <t>H021</t>
        </is>
      </c>
      <c r="B168" s="13" t="inlineStr">
        <is>
          <t>Republican gift</t>
        </is>
      </c>
      <c r="C168" s="13" t="inlineStr">
        <is>
          <t>Friends of Christine Drazan</t>
        </is>
      </c>
      <c r="D168" s="13" t="inlineStr">
        <is>
          <t>19050</t>
        </is>
      </c>
      <c r="E168" s="13" t="inlineStr">
        <is>
          <t>5804309</t>
        </is>
      </c>
      <c r="F168" s="13" t="inlineStr">
        <is>
          <t>2026-09-08</t>
        </is>
      </c>
      <c r="G168" s="13" t="n">
        <v>2000</v>
      </c>
      <c r="H168" s="13" t="inlineStr">
        <is>
          <t>Street address or PO box</t>
        </is>
      </c>
    </row>
    <row r="169">
      <c r="A169" s="13" t="inlineStr">
        <is>
          <t>H022</t>
        </is>
      </c>
      <c r="B169" s="13" t="inlineStr">
        <is>
          <t>Gift to a slate candidate</t>
        </is>
      </c>
      <c r="C169" s="13" t="inlineStr">
        <is>
          <t>Friends of Julia Brim-Edwards</t>
        </is>
      </c>
      <c r="D169" s="13" t="inlineStr">
        <is>
          <t>21206</t>
        </is>
      </c>
      <c r="E169" s="13" t="inlineStr">
        <is>
          <t>4568186</t>
        </is>
      </c>
      <c r="F169" s="13" t="inlineStr">
        <is>
          <t>2023-05-01</t>
        </is>
      </c>
      <c r="G169" s="13" t="n">
        <v>500</v>
      </c>
      <c r="H169" s="13" t="inlineStr"/>
    </row>
    <row r="170">
      <c r="A170" s="13" t="inlineStr">
        <is>
          <t>H022</t>
        </is>
      </c>
      <c r="B170" s="13" t="inlineStr">
        <is>
          <t>Gift to a slate candidate</t>
        </is>
      </c>
      <c r="C170" s="13" t="inlineStr">
        <is>
          <t>Friends of Eric Zimmerman</t>
        </is>
      </c>
      <c r="D170" s="13" t="inlineStr">
        <is>
          <t>17629</t>
        </is>
      </c>
      <c r="E170" s="13" t="inlineStr">
        <is>
          <t>4993392</t>
        </is>
      </c>
      <c r="F170" s="13" t="inlineStr">
        <is>
          <t>2024-08-08</t>
        </is>
      </c>
      <c r="G170" s="13" t="n">
        <v>250</v>
      </c>
      <c r="H170" s="13" t="inlineStr"/>
    </row>
    <row r="171">
      <c r="A171" s="13" t="inlineStr">
        <is>
          <t>H022</t>
        </is>
      </c>
      <c r="B171" s="13" t="inlineStr">
        <is>
          <t>Gift to a slate candidate</t>
        </is>
      </c>
      <c r="C171" s="13" t="inlineStr">
        <is>
          <t>Friends of Julia Brim-Edwards</t>
        </is>
      </c>
      <c r="D171" s="13" t="inlineStr">
        <is>
          <t>21206</t>
        </is>
      </c>
      <c r="E171" s="13" t="inlineStr">
        <is>
          <t>5578333</t>
        </is>
      </c>
      <c r="F171" s="13" t="inlineStr">
        <is>
          <t>2026-03-11</t>
        </is>
      </c>
      <c r="G171" s="13" t="n">
        <v>500</v>
      </c>
      <c r="H171" s="13" t="inlineStr"/>
    </row>
    <row r="172">
      <c r="A172" s="13" t="inlineStr">
        <is>
          <t>H022</t>
        </is>
      </c>
      <c r="B172" s="13" t="inlineStr">
        <is>
          <t>Gift to a slate candidate</t>
        </is>
      </c>
      <c r="C172" s="13" t="inlineStr">
        <is>
          <t>Friends of Eric Zimmerman</t>
        </is>
      </c>
      <c r="D172" s="13" t="inlineStr">
        <is>
          <t>17629</t>
        </is>
      </c>
      <c r="E172" s="13" t="inlineStr">
        <is>
          <t>5679864</t>
        </is>
      </c>
      <c r="F172" s="13" t="inlineStr">
        <is>
          <t>2026-05-11</t>
        </is>
      </c>
      <c r="G172" s="13" t="n">
        <v>250</v>
      </c>
      <c r="H172" s="13" t="inlineStr"/>
    </row>
    <row r="173">
      <c r="A173" s="13" t="inlineStr">
        <is>
          <t>H022</t>
        </is>
      </c>
      <c r="B173" s="13" t="inlineStr">
        <is>
          <t>Gift to a slate candidate</t>
        </is>
      </c>
      <c r="C173" s="13" t="inlineStr">
        <is>
          <t>Novick for Portland</t>
        </is>
      </c>
      <c r="D173" s="13" t="inlineStr">
        <is>
          <t>15109</t>
        </is>
      </c>
      <c r="E173" s="13" t="inlineStr">
        <is>
          <t>5685078</t>
        </is>
      </c>
      <c r="F173" s="13" t="inlineStr">
        <is>
          <t>2026-06-04</t>
        </is>
      </c>
      <c r="G173" s="13" t="n">
        <v>250</v>
      </c>
      <c r="H173" s="13" t="inlineStr"/>
    </row>
    <row r="174">
      <c r="A174" s="13" t="inlineStr">
        <is>
          <t>H022</t>
        </is>
      </c>
      <c r="B174" s="13" t="inlineStr">
        <is>
          <t>Gift to a slate candidate</t>
        </is>
      </c>
      <c r="C174" s="13" t="inlineStr">
        <is>
          <t>Kellie Torres for Portland</t>
        </is>
      </c>
      <c r="D174" s="13" t="inlineStr">
        <is>
          <t>24897</t>
        </is>
      </c>
      <c r="E174" s="13" t="inlineStr">
        <is>
          <t>5780400</t>
        </is>
      </c>
      <c r="F174" s="13" t="inlineStr">
        <is>
          <t>2026-08-09</t>
        </is>
      </c>
      <c r="G174" s="13" t="n">
        <v>250</v>
      </c>
      <c r="H174" s="13" t="inlineStr"/>
    </row>
    <row r="175">
      <c r="A175" s="13" t="inlineStr">
        <is>
          <t>H022</t>
        </is>
      </c>
      <c r="B175" s="13" t="inlineStr">
        <is>
          <t>Gift to a slate candidate</t>
        </is>
      </c>
      <c r="C175" s="13" t="inlineStr">
        <is>
          <t>Kellie Torres for Portland</t>
        </is>
      </c>
      <c r="D175" s="13" t="inlineStr">
        <is>
          <t>24897</t>
        </is>
      </c>
      <c r="E175" s="13" t="inlineStr">
        <is>
          <t>5831612</t>
        </is>
      </c>
      <c r="F175" s="13" t="inlineStr">
        <is>
          <t>2026-09-13</t>
        </is>
      </c>
      <c r="G175" s="13" t="n">
        <v>250</v>
      </c>
      <c r="H175" s="13" t="inlineStr"/>
    </row>
    <row r="176">
      <c r="A176" s="13" t="inlineStr">
        <is>
          <t>H022</t>
        </is>
      </c>
      <c r="B176" s="13" t="inlineStr">
        <is>
          <t>Republican gift</t>
        </is>
      </c>
      <c r="C176" s="13" t="inlineStr">
        <is>
          <t>Working Families for Bruce Starr</t>
        </is>
      </c>
      <c r="D176" s="13" t="inlineStr">
        <is>
          <t>2752</t>
        </is>
      </c>
      <c r="E176" s="13" t="inlineStr">
        <is>
          <t>1155723</t>
        </is>
      </c>
      <c r="F176" s="13" t="inlineStr">
        <is>
          <t>2012-01-27</t>
        </is>
      </c>
      <c r="G176" s="13" t="n">
        <v>1000</v>
      </c>
      <c r="H176" s="13" t="inlineStr">
        <is>
          <t>Street address or PO box</t>
        </is>
      </c>
    </row>
    <row r="177">
      <c r="A177" s="13" t="inlineStr">
        <is>
          <t>H022</t>
        </is>
      </c>
      <c r="B177" s="13" t="inlineStr">
        <is>
          <t>Republican gift</t>
        </is>
      </c>
      <c r="C177" s="13" t="inlineStr">
        <is>
          <t>Working Families for Bruce Starr</t>
        </is>
      </c>
      <c r="D177" s="13" t="inlineStr">
        <is>
          <t>2752</t>
        </is>
      </c>
      <c r="E177" s="13" t="inlineStr">
        <is>
          <t>1389544</t>
        </is>
      </c>
      <c r="F177" s="13" t="inlineStr">
        <is>
          <t>2012-10-22</t>
        </is>
      </c>
      <c r="G177" s="13" t="n">
        <v>250</v>
      </c>
      <c r="H177" s="13" t="inlineStr">
        <is>
          <t>Street address or PO box</t>
        </is>
      </c>
    </row>
    <row r="178">
      <c r="A178" s="13" t="inlineStr">
        <is>
          <t>H022</t>
        </is>
      </c>
      <c r="B178" s="13" t="inlineStr">
        <is>
          <t>Republican gift</t>
        </is>
      </c>
      <c r="C178" s="13" t="inlineStr">
        <is>
          <t>Knute Buehler for Secretary of State</t>
        </is>
      </c>
      <c r="D178" s="13" t="inlineStr">
        <is>
          <t>15192</t>
        </is>
      </c>
      <c r="E178" s="13" t="inlineStr">
        <is>
          <t>1412291</t>
        </is>
      </c>
      <c r="F178" s="13" t="inlineStr">
        <is>
          <t>2012-10-31</t>
        </is>
      </c>
      <c r="G178" s="13" t="n">
        <v>250</v>
      </c>
      <c r="H178" s="13" t="inlineStr">
        <is>
          <t>Street address or PO box</t>
        </is>
      </c>
    </row>
    <row r="179">
      <c r="A179" s="13" t="inlineStr">
        <is>
          <t>H022</t>
        </is>
      </c>
      <c r="B179" s="13" t="inlineStr">
        <is>
          <t>Republican gift</t>
        </is>
      </c>
      <c r="C179" s="13" t="inlineStr">
        <is>
          <t>Bruce Starr for State Senate Committee</t>
        </is>
      </c>
      <c r="D179" s="13" t="inlineStr">
        <is>
          <t>2752</t>
        </is>
      </c>
      <c r="E179" s="13" t="inlineStr">
        <is>
          <t>1799268</t>
        </is>
      </c>
      <c r="F179" s="13" t="inlineStr">
        <is>
          <t>2014-08-05</t>
        </is>
      </c>
      <c r="G179" s="13" t="n">
        <v>500</v>
      </c>
      <c r="H179" s="13" t="inlineStr">
        <is>
          <t>Street address or PO box</t>
        </is>
      </c>
    </row>
    <row r="180">
      <c r="A180" s="13" t="inlineStr">
        <is>
          <t>H022</t>
        </is>
      </c>
      <c r="B180" s="13" t="inlineStr">
        <is>
          <t>Republican gift</t>
        </is>
      </c>
      <c r="C180" s="13" t="inlineStr">
        <is>
          <t>Knute for Governor</t>
        </is>
      </c>
      <c r="D180" s="13" t="inlineStr">
        <is>
          <t>15192</t>
        </is>
      </c>
      <c r="E180" s="13" t="inlineStr">
        <is>
          <t>2622425</t>
        </is>
      </c>
      <c r="F180" s="13" t="inlineStr">
        <is>
          <t>2017-09-22</t>
        </is>
      </c>
      <c r="G180" s="13" t="n">
        <v>10000</v>
      </c>
      <c r="H180" s="13" t="inlineStr">
        <is>
          <t>Street address or PO box</t>
        </is>
      </c>
    </row>
    <row r="181">
      <c r="A181" s="13" t="inlineStr">
        <is>
          <t>H022</t>
        </is>
      </c>
      <c r="B181" s="13" t="inlineStr">
        <is>
          <t>Republican gift</t>
        </is>
      </c>
      <c r="C181" s="13" t="inlineStr">
        <is>
          <t>Knute for Governor</t>
        </is>
      </c>
      <c r="D181" s="13" t="inlineStr">
        <is>
          <t>15192</t>
        </is>
      </c>
      <c r="E181" s="13" t="inlineStr">
        <is>
          <t>3050049</t>
        </is>
      </c>
      <c r="F181" s="13" t="inlineStr">
        <is>
          <t>2018-10-22</t>
        </is>
      </c>
      <c r="G181" s="13" t="n">
        <v>10000</v>
      </c>
      <c r="H181" s="13" t="inlineStr">
        <is>
          <t>Street address or PO box</t>
        </is>
      </c>
    </row>
    <row r="182">
      <c r="A182" s="13" t="inlineStr">
        <is>
          <t>H022</t>
        </is>
      </c>
      <c r="B182" s="13" t="inlineStr">
        <is>
          <t>Republican gift</t>
        </is>
      </c>
      <c r="C182" s="13" t="inlineStr">
        <is>
          <t>Friends of Will Lathrop</t>
        </is>
      </c>
      <c r="D182" s="13" t="inlineStr">
        <is>
          <t>21896</t>
        </is>
      </c>
      <c r="E182" s="13" t="inlineStr">
        <is>
          <t>4770292</t>
        </is>
      </c>
      <c r="F182" s="13" t="inlineStr">
        <is>
          <t>2024-02-06</t>
        </is>
      </c>
      <c r="G182" s="13" t="n">
        <v>500</v>
      </c>
      <c r="H182" s="13" t="inlineStr">
        <is>
          <t>Street address or PO box</t>
        </is>
      </c>
    </row>
    <row r="183">
      <c r="A183" s="13" t="inlineStr">
        <is>
          <t>H023</t>
        </is>
      </c>
      <c r="B183" s="13" t="inlineStr">
        <is>
          <t>Gift to a slate candidate</t>
        </is>
      </c>
      <c r="C183" s="13" t="inlineStr">
        <is>
          <t>Friends of Julia Brim-Edwards</t>
        </is>
      </c>
      <c r="D183" s="13" t="inlineStr">
        <is>
          <t>21206</t>
        </is>
      </c>
      <c r="E183" s="13" t="inlineStr">
        <is>
          <t>4536304</t>
        </is>
      </c>
      <c r="F183" s="13" t="inlineStr">
        <is>
          <t>2023-03-23</t>
        </is>
      </c>
      <c r="G183" s="13" t="n">
        <v>500</v>
      </c>
      <c r="H183" s="13" t="inlineStr"/>
    </row>
    <row r="184">
      <c r="A184" s="13" t="inlineStr">
        <is>
          <t>H023</t>
        </is>
      </c>
      <c r="B184" s="13" t="inlineStr">
        <is>
          <t>Gift to a slate candidate</t>
        </is>
      </c>
      <c r="C184" s="13" t="inlineStr">
        <is>
          <t>Friends of Julia Brim-Edwards</t>
        </is>
      </c>
      <c r="D184" s="13" t="inlineStr">
        <is>
          <t>21206</t>
        </is>
      </c>
      <c r="E184" s="13" t="inlineStr">
        <is>
          <t>5578345</t>
        </is>
      </c>
      <c r="F184" s="13" t="inlineStr">
        <is>
          <t>2026-03-16</t>
        </is>
      </c>
      <c r="G184" s="13" t="n">
        <v>500</v>
      </c>
      <c r="H184" s="13" t="inlineStr"/>
    </row>
    <row r="185">
      <c r="A185" s="13" t="inlineStr">
        <is>
          <t>H023</t>
        </is>
      </c>
      <c r="B185" s="13" t="inlineStr">
        <is>
          <t>Gift to a slate candidate</t>
        </is>
      </c>
      <c r="C185" s="13" t="inlineStr">
        <is>
          <t>Friends of Olivia</t>
        </is>
      </c>
      <c r="D185" s="13" t="inlineStr">
        <is>
          <t>23199</t>
        </is>
      </c>
      <c r="E185" s="13" t="inlineStr">
        <is>
          <t>5633082</t>
        </is>
      </c>
      <c r="F185" s="13" t="inlineStr">
        <is>
          <t>2026-04-07</t>
        </is>
      </c>
      <c r="G185" s="13" t="n">
        <v>500</v>
      </c>
      <c r="H185" s="13" t="inlineStr"/>
    </row>
    <row r="186">
      <c r="A186" s="13" t="inlineStr">
        <is>
          <t>H023</t>
        </is>
      </c>
      <c r="B186" s="13" t="inlineStr">
        <is>
          <t>Gift to a slate candidate</t>
        </is>
      </c>
      <c r="C186" s="13" t="inlineStr">
        <is>
          <t>Eli for Portland</t>
        </is>
      </c>
      <c r="D186" s="13" t="inlineStr">
        <is>
          <t>23295</t>
        </is>
      </c>
      <c r="E186" s="13" t="inlineStr">
        <is>
          <t>5704040</t>
        </is>
      </c>
      <c r="F186" s="13" t="inlineStr">
        <is>
          <t>2026-06-13</t>
        </is>
      </c>
      <c r="G186" s="13" t="n">
        <v>250</v>
      </c>
      <c r="H186" s="13" t="inlineStr"/>
    </row>
    <row r="187">
      <c r="A187" s="13" t="inlineStr">
        <is>
          <t>H023</t>
        </is>
      </c>
      <c r="B187" s="13" t="inlineStr">
        <is>
          <t>Gift to a slate candidate</t>
        </is>
      </c>
      <c r="C187" s="13" t="inlineStr">
        <is>
          <t>Kellie Torres for Portland</t>
        </is>
      </c>
      <c r="D187" s="13" t="inlineStr">
        <is>
          <t>24897</t>
        </is>
      </c>
      <c r="E187" s="13" t="inlineStr">
        <is>
          <t>5761006</t>
        </is>
      </c>
      <c r="F187" s="13" t="inlineStr">
        <is>
          <t>2026-08-09</t>
        </is>
      </c>
      <c r="G187" s="13" t="n">
        <v>250</v>
      </c>
      <c r="H187" s="13" t="inlineStr"/>
    </row>
    <row r="188">
      <c r="A188" s="13" t="inlineStr">
        <is>
          <t>H023</t>
        </is>
      </c>
      <c r="B188" s="13" t="inlineStr">
        <is>
          <t>Gift to a slate candidate</t>
        </is>
      </c>
      <c r="C188" s="13" t="inlineStr">
        <is>
          <t>Eli for Portland</t>
        </is>
      </c>
      <c r="D188" s="13" t="inlineStr">
        <is>
          <t>23295</t>
        </is>
      </c>
      <c r="E188" s="13" t="inlineStr">
        <is>
          <t>5820984</t>
        </is>
      </c>
      <c r="F188" s="13" t="inlineStr">
        <is>
          <t>2026-09-22</t>
        </is>
      </c>
      <c r="G188" s="13" t="n">
        <v>250</v>
      </c>
      <c r="H188" s="13" t="inlineStr"/>
    </row>
    <row r="189">
      <c r="A189" s="13" t="inlineStr">
        <is>
          <t>H023</t>
        </is>
      </c>
      <c r="B189" s="13" t="inlineStr">
        <is>
          <t>Republican gift</t>
        </is>
      </c>
      <c r="C189" s="13" t="inlineStr">
        <is>
          <t>Knute Buehler for Secretary of State</t>
        </is>
      </c>
      <c r="D189" s="13" t="inlineStr">
        <is>
          <t>15192</t>
        </is>
      </c>
      <c r="E189" s="13" t="inlineStr">
        <is>
          <t>1176724</t>
        </is>
      </c>
      <c r="F189" s="13" t="inlineStr">
        <is>
          <t>2012-02-26</t>
        </is>
      </c>
      <c r="G189" s="13" t="n">
        <v>250</v>
      </c>
      <c r="H189" s="13" t="inlineStr">
        <is>
          <t>Street address or PO box</t>
        </is>
      </c>
    </row>
    <row r="190">
      <c r="A190" s="13" t="inlineStr">
        <is>
          <t>H023</t>
        </is>
      </c>
      <c r="B190" s="13" t="inlineStr">
        <is>
          <t>Republican gift</t>
        </is>
      </c>
      <c r="C190" s="13" t="inlineStr">
        <is>
          <t>Knute Buehler for Secretary of State</t>
        </is>
      </c>
      <c r="D190" s="13" t="inlineStr">
        <is>
          <t>15192</t>
        </is>
      </c>
      <c r="E190" s="13" t="inlineStr">
        <is>
          <t>1413842</t>
        </is>
      </c>
      <c r="F190" s="13" t="inlineStr">
        <is>
          <t>2012-11-01</t>
        </is>
      </c>
      <c r="G190" s="13" t="n">
        <v>250</v>
      </c>
      <c r="H190" s="13" t="inlineStr">
        <is>
          <t>Street address or PO box</t>
        </is>
      </c>
    </row>
    <row r="191">
      <c r="A191" s="13" t="inlineStr">
        <is>
          <t>H023</t>
        </is>
      </c>
      <c r="B191" s="13" t="inlineStr">
        <is>
          <t>Republican gift</t>
        </is>
      </c>
      <c r="C191" s="13" t="inlineStr">
        <is>
          <t>Citizens to Elect Dennis Richardson</t>
        </is>
      </c>
      <c r="D191" s="13" t="inlineStr">
        <is>
          <t>4155</t>
        </is>
      </c>
      <c r="E191" s="13" t="inlineStr">
        <is>
          <t>1793078</t>
        </is>
      </c>
      <c r="F191" s="13" t="inlineStr">
        <is>
          <t>2014-08-14</t>
        </is>
      </c>
      <c r="G191" s="13" t="n">
        <v>250</v>
      </c>
      <c r="H191" s="13" t="inlineStr">
        <is>
          <t>Street address or PO box</t>
        </is>
      </c>
    </row>
    <row r="192">
      <c r="A192" s="13" t="inlineStr">
        <is>
          <t>H023</t>
        </is>
      </c>
      <c r="B192" s="13" t="inlineStr">
        <is>
          <t>Republican gift</t>
        </is>
      </c>
      <c r="C192" s="13" t="inlineStr">
        <is>
          <t>Citizens to Elect Dennis Richardson</t>
        </is>
      </c>
      <c r="D192" s="13" t="inlineStr">
        <is>
          <t>4155</t>
        </is>
      </c>
      <c r="E192" s="13" t="inlineStr">
        <is>
          <t>1852194</t>
        </is>
      </c>
      <c r="F192" s="13" t="inlineStr">
        <is>
          <t>2014-10-01</t>
        </is>
      </c>
      <c r="G192" s="13" t="n">
        <v>250</v>
      </c>
      <c r="H192" s="13" t="inlineStr">
        <is>
          <t>Street address or PO box</t>
        </is>
      </c>
    </row>
    <row r="193">
      <c r="A193" s="13" t="inlineStr">
        <is>
          <t>H023</t>
        </is>
      </c>
      <c r="B193" s="13" t="inlineStr">
        <is>
          <t>Republican gift</t>
        </is>
      </c>
      <c r="C193" s="13" t="inlineStr">
        <is>
          <t>Bud Pierce for a Better Oregon</t>
        </is>
      </c>
      <c r="D193" s="13" t="inlineStr">
        <is>
          <t>17397</t>
        </is>
      </c>
      <c r="E193" s="13" t="inlineStr">
        <is>
          <t>2293621</t>
        </is>
      </c>
      <c r="F193" s="13" t="inlineStr">
        <is>
          <t>2016-07-18</t>
        </is>
      </c>
      <c r="G193" s="13" t="n">
        <v>1000</v>
      </c>
      <c r="H193" s="13" t="inlineStr">
        <is>
          <t>Street address or PO box</t>
        </is>
      </c>
    </row>
    <row r="194">
      <c r="A194" s="13" t="inlineStr">
        <is>
          <t>H023</t>
        </is>
      </c>
      <c r="B194" s="13" t="inlineStr">
        <is>
          <t>Republican gift</t>
        </is>
      </c>
      <c r="C194" s="13" t="inlineStr">
        <is>
          <t>Knute for Governor</t>
        </is>
      </c>
      <c r="D194" s="13" t="inlineStr">
        <is>
          <t>15192</t>
        </is>
      </c>
      <c r="E194" s="13" t="inlineStr">
        <is>
          <t>2733414</t>
        </is>
      </c>
      <c r="F194" s="13" t="inlineStr">
        <is>
          <t>2018-01-24</t>
        </is>
      </c>
      <c r="G194" s="13" t="n">
        <v>250</v>
      </c>
      <c r="H194" s="13" t="inlineStr">
        <is>
          <t>Street address or PO box</t>
        </is>
      </c>
    </row>
    <row r="195">
      <c r="A195" s="13" t="inlineStr">
        <is>
          <t>H023</t>
        </is>
      </c>
      <c r="B195" s="13" t="inlineStr">
        <is>
          <t>Republican gift</t>
        </is>
      </c>
      <c r="C195" s="13" t="inlineStr">
        <is>
          <t>Knute for Governor</t>
        </is>
      </c>
      <c r="D195" s="13" t="inlineStr">
        <is>
          <t>15192</t>
        </is>
      </c>
      <c r="E195" s="13" t="inlineStr">
        <is>
          <t>2790090</t>
        </is>
      </c>
      <c r="F195" s="13" t="inlineStr">
        <is>
          <t>2018-03-29</t>
        </is>
      </c>
      <c r="G195" s="13" t="n">
        <v>1000</v>
      </c>
      <c r="H195" s="13" t="inlineStr">
        <is>
          <t>Street address or PO box</t>
        </is>
      </c>
    </row>
    <row r="196">
      <c r="A196" s="13" t="inlineStr">
        <is>
          <t>H023</t>
        </is>
      </c>
      <c r="B196" s="13" t="inlineStr">
        <is>
          <t>Republican gift</t>
        </is>
      </c>
      <c r="C196" s="13" t="inlineStr">
        <is>
          <t>Friends of Will Lathrop</t>
        </is>
      </c>
      <c r="D196" s="13" t="inlineStr">
        <is>
          <t>21896</t>
        </is>
      </c>
      <c r="E196" s="13" t="inlineStr">
        <is>
          <t>4775465</t>
        </is>
      </c>
      <c r="F196" s="13" t="inlineStr">
        <is>
          <t>2024-02-08</t>
        </is>
      </c>
      <c r="G196" s="13" t="n">
        <v>250</v>
      </c>
      <c r="H196" s="13" t="inlineStr">
        <is>
          <t>Street address or PO box</t>
        </is>
      </c>
    </row>
    <row r="197">
      <c r="A197" s="13" t="inlineStr">
        <is>
          <t>H023</t>
        </is>
      </c>
      <c r="B197" s="13" t="inlineStr">
        <is>
          <t>Republican gift</t>
        </is>
      </c>
      <c r="C197" s="13" t="inlineStr">
        <is>
          <t>Friends of Will Lathrop</t>
        </is>
      </c>
      <c r="D197" s="13" t="inlineStr">
        <is>
          <t>21896</t>
        </is>
      </c>
      <c r="E197" s="13" t="inlineStr">
        <is>
          <t>5086955</t>
        </is>
      </c>
      <c r="F197" s="13" t="inlineStr">
        <is>
          <t>2024-10-04</t>
        </is>
      </c>
      <c r="G197" s="13" t="n">
        <v>250</v>
      </c>
      <c r="H197" s="13" t="inlineStr">
        <is>
          <t>Street address or PO box</t>
        </is>
      </c>
    </row>
    <row r="198">
      <c r="A198" s="13" t="inlineStr">
        <is>
          <t>H024</t>
        </is>
      </c>
      <c r="B198" s="13" t="inlineStr">
        <is>
          <t>Gift to a slate candidate</t>
        </is>
      </c>
      <c r="C198" s="13" t="inlineStr">
        <is>
          <t>Friends of Julia Brim-Edwards</t>
        </is>
      </c>
      <c r="D198" s="13" t="inlineStr">
        <is>
          <t>21206</t>
        </is>
      </c>
      <c r="E198" s="13" t="inlineStr">
        <is>
          <t>4563014</t>
        </is>
      </c>
      <c r="F198" s="13" t="inlineStr">
        <is>
          <t>2023-04-25</t>
        </is>
      </c>
      <c r="G198" s="13" t="n">
        <v>500</v>
      </c>
      <c r="H198" s="13" t="inlineStr"/>
    </row>
    <row r="199">
      <c r="A199" s="13" t="inlineStr">
        <is>
          <t>H024</t>
        </is>
      </c>
      <c r="B199" s="13" t="inlineStr">
        <is>
          <t>Gift to a slate candidate</t>
        </is>
      </c>
      <c r="C199" s="13" t="inlineStr">
        <is>
          <t>Friends of Julia Brim-Edwards</t>
        </is>
      </c>
      <c r="D199" s="13" t="inlineStr">
        <is>
          <t>21206</t>
        </is>
      </c>
      <c r="E199" s="13" t="inlineStr">
        <is>
          <t>4853135</t>
        </is>
      </c>
      <c r="F199" s="13" t="inlineStr">
        <is>
          <t>2024-03-25</t>
        </is>
      </c>
      <c r="G199" s="13" t="n">
        <v>500</v>
      </c>
      <c r="H199" s="13" t="inlineStr"/>
    </row>
    <row r="200">
      <c r="A200" s="13" t="inlineStr">
        <is>
          <t>H024</t>
        </is>
      </c>
      <c r="B200" s="13" t="inlineStr">
        <is>
          <t>Gift to a slate candidate</t>
        </is>
      </c>
      <c r="C200" s="13" t="inlineStr">
        <is>
          <t>Friends of Julia Brim-Edwards</t>
        </is>
      </c>
      <c r="D200" s="13" t="inlineStr">
        <is>
          <t>21206</t>
        </is>
      </c>
      <c r="E200" s="13" t="inlineStr">
        <is>
          <t>5555061</t>
        </is>
      </c>
      <c r="F200" s="13" t="inlineStr">
        <is>
          <t>2026-02-17</t>
        </is>
      </c>
      <c r="G200" s="13" t="n">
        <v>500</v>
      </c>
      <c r="H200" s="13" t="inlineStr"/>
    </row>
    <row r="201">
      <c r="A201" s="13" t="inlineStr">
        <is>
          <t>H024</t>
        </is>
      </c>
      <c r="B201" s="13" t="inlineStr">
        <is>
          <t>Gift to a slate candidate</t>
        </is>
      </c>
      <c r="C201" s="13" t="inlineStr">
        <is>
          <t>Novick for Portland</t>
        </is>
      </c>
      <c r="D201" s="13" t="inlineStr">
        <is>
          <t>15109</t>
        </is>
      </c>
      <c r="E201" s="13" t="inlineStr">
        <is>
          <t>5732244</t>
        </is>
      </c>
      <c r="F201" s="13" t="inlineStr">
        <is>
          <t>2026-06-19</t>
        </is>
      </c>
      <c r="G201" s="13" t="n">
        <v>250</v>
      </c>
      <c r="H201" s="13" t="inlineStr"/>
    </row>
    <row r="202">
      <c r="A202" s="13" t="inlineStr">
        <is>
          <t>H024</t>
        </is>
      </c>
      <c r="B202" s="13" t="inlineStr">
        <is>
          <t>Gift to a slate candidate</t>
        </is>
      </c>
      <c r="C202" s="13" t="inlineStr">
        <is>
          <t>Friends of Olivia</t>
        </is>
      </c>
      <c r="D202" s="13" t="inlineStr">
        <is>
          <t>23199</t>
        </is>
      </c>
      <c r="E202" s="13" t="inlineStr">
        <is>
          <t>5868476</t>
        </is>
      </c>
      <c r="F202" s="13" t="inlineStr">
        <is>
          <t>2026-10-05</t>
        </is>
      </c>
      <c r="G202" s="13" t="n">
        <v>250</v>
      </c>
      <c r="H202" s="13" t="inlineStr"/>
    </row>
    <row r="203">
      <c r="A203" s="13" t="inlineStr">
        <is>
          <t>H024</t>
        </is>
      </c>
      <c r="B203" s="13" t="inlineStr">
        <is>
          <t>Republican gift</t>
        </is>
      </c>
      <c r="C203" s="13" t="inlineStr">
        <is>
          <t>Knute Buehler for Secretary of State</t>
        </is>
      </c>
      <c r="D203" s="13" t="inlineStr">
        <is>
          <t>15192</t>
        </is>
      </c>
      <c r="E203" s="13" t="inlineStr">
        <is>
          <t>1223332</t>
        </is>
      </c>
      <c r="F203" s="13" t="inlineStr">
        <is>
          <t>2012-04-18</t>
        </is>
      </c>
      <c r="G203" s="13" t="n">
        <v>250</v>
      </c>
      <c r="H203" s="13" t="inlineStr">
        <is>
          <t>Street address or PO box</t>
        </is>
      </c>
    </row>
    <row r="204">
      <c r="A204" s="13" t="inlineStr">
        <is>
          <t>H024</t>
        </is>
      </c>
      <c r="B204" s="13" t="inlineStr">
        <is>
          <t>Republican gift</t>
        </is>
      </c>
      <c r="C204" s="13" t="inlineStr">
        <is>
          <t>Buehler For a United Oregon</t>
        </is>
      </c>
      <c r="D204" s="13" t="inlineStr">
        <is>
          <t>15192</t>
        </is>
      </c>
      <c r="E204" s="13" t="inlineStr">
        <is>
          <t>1639297</t>
        </is>
      </c>
      <c r="F204" s="13" t="inlineStr">
        <is>
          <t>2014-01-18</t>
        </is>
      </c>
      <c r="G204" s="13" t="n">
        <v>250</v>
      </c>
      <c r="H204" s="13" t="inlineStr">
        <is>
          <t>Street address or PO box</t>
        </is>
      </c>
    </row>
    <row r="205">
      <c r="A205" s="13" t="inlineStr">
        <is>
          <t>H024</t>
        </is>
      </c>
      <c r="B205" s="13" t="inlineStr">
        <is>
          <t>Republican gift</t>
        </is>
      </c>
      <c r="C205" s="13" t="inlineStr">
        <is>
          <t>Buehler For a United Oregon</t>
        </is>
      </c>
      <c r="D205" s="13" t="inlineStr">
        <is>
          <t>15192</t>
        </is>
      </c>
      <c r="E205" s="13" t="inlineStr">
        <is>
          <t>1845152</t>
        </is>
      </c>
      <c r="F205" s="13" t="inlineStr">
        <is>
          <t>2014-09-27</t>
        </is>
      </c>
      <c r="G205" s="13" t="n">
        <v>250</v>
      </c>
      <c r="H205" s="13" t="inlineStr">
        <is>
          <t>Street address or PO box</t>
        </is>
      </c>
    </row>
    <row r="206">
      <c r="A206" s="13" t="inlineStr">
        <is>
          <t>H024</t>
        </is>
      </c>
      <c r="B206" s="13" t="inlineStr">
        <is>
          <t>Republican gift</t>
        </is>
      </c>
      <c r="C206" s="13" t="inlineStr">
        <is>
          <t>Knute for Governor</t>
        </is>
      </c>
      <c r="D206" s="13" t="inlineStr">
        <is>
          <t>15192</t>
        </is>
      </c>
      <c r="E206" s="13" t="inlineStr">
        <is>
          <t>2599519</t>
        </is>
      </c>
      <c r="F206" s="13" t="inlineStr">
        <is>
          <t>2017-08-18</t>
        </is>
      </c>
      <c r="G206" s="13" t="n">
        <v>500</v>
      </c>
      <c r="H206" s="13" t="inlineStr">
        <is>
          <t>Street address or PO box</t>
        </is>
      </c>
    </row>
    <row r="207">
      <c r="A207" s="13" t="inlineStr">
        <is>
          <t>H024</t>
        </is>
      </c>
      <c r="B207" s="13" t="inlineStr">
        <is>
          <t>Republican gift</t>
        </is>
      </c>
      <c r="C207" s="13" t="inlineStr">
        <is>
          <t>Knute for Governor</t>
        </is>
      </c>
      <c r="D207" s="13" t="inlineStr">
        <is>
          <t>15192</t>
        </is>
      </c>
      <c r="E207" s="13" t="inlineStr">
        <is>
          <t>2814827</t>
        </is>
      </c>
      <c r="F207" s="13" t="inlineStr">
        <is>
          <t>2018-04-19</t>
        </is>
      </c>
      <c r="G207" s="13" t="n">
        <v>1000</v>
      </c>
      <c r="H207" s="13" t="inlineStr">
        <is>
          <t>Street address or PO box</t>
        </is>
      </c>
    </row>
    <row r="208">
      <c r="A208" s="13" t="inlineStr">
        <is>
          <t>H024</t>
        </is>
      </c>
      <c r="B208" s="13" t="inlineStr">
        <is>
          <t>Republican gift</t>
        </is>
      </c>
      <c r="C208" s="13" t="inlineStr">
        <is>
          <t>Knute for Governor</t>
        </is>
      </c>
      <c r="D208" s="13" t="inlineStr">
        <is>
          <t>15192</t>
        </is>
      </c>
      <c r="E208" s="13" t="inlineStr">
        <is>
          <t>3043271</t>
        </is>
      </c>
      <c r="F208" s="13" t="inlineStr">
        <is>
          <t>2018-10-17</t>
        </is>
      </c>
      <c r="G208" s="13" t="n">
        <v>5000</v>
      </c>
      <c r="H208" s="13" t="inlineStr">
        <is>
          <t>Street address or PO box</t>
        </is>
      </c>
    </row>
    <row r="209">
      <c r="A209" s="13" t="inlineStr">
        <is>
          <t>H025</t>
        </is>
      </c>
      <c r="B209" s="13" t="inlineStr">
        <is>
          <t>Gift to a slate candidate</t>
        </is>
      </c>
      <c r="C209" s="13" t="inlineStr">
        <is>
          <t>Friends of Julia Brim-Edwards</t>
        </is>
      </c>
      <c r="D209" s="13" t="inlineStr">
        <is>
          <t>21206</t>
        </is>
      </c>
      <c r="E209" s="13" t="inlineStr">
        <is>
          <t>4572241</t>
        </is>
      </c>
      <c r="F209" s="13" t="inlineStr">
        <is>
          <t>2023-05-08</t>
        </is>
      </c>
      <c r="G209" s="13" t="n">
        <v>500</v>
      </c>
      <c r="H209" s="13" t="inlineStr"/>
    </row>
    <row r="210">
      <c r="A210" s="13" t="inlineStr">
        <is>
          <t>H025</t>
        </is>
      </c>
      <c r="B210" s="13" t="inlineStr">
        <is>
          <t>Gift to a slate candidate</t>
        </is>
      </c>
      <c r="C210" s="13" t="inlineStr">
        <is>
          <t>Friends of Julia Brim-Edwards</t>
        </is>
      </c>
      <c r="D210" s="13" t="inlineStr">
        <is>
          <t>21206</t>
        </is>
      </c>
      <c r="E210" s="13" t="inlineStr">
        <is>
          <t>5578344</t>
        </is>
      </c>
      <c r="F210" s="13" t="inlineStr">
        <is>
          <t>2026-03-16</t>
        </is>
      </c>
      <c r="G210" s="13" t="n">
        <v>250</v>
      </c>
      <c r="H210" s="13" t="inlineStr"/>
    </row>
    <row r="211">
      <c r="A211" s="13" t="inlineStr">
        <is>
          <t>H025</t>
        </is>
      </c>
      <c r="B211" s="13" t="inlineStr">
        <is>
          <t>Gift to a slate candidate</t>
        </is>
      </c>
      <c r="C211" s="13" t="inlineStr">
        <is>
          <t>Friends of Julia Brim-Edwards</t>
        </is>
      </c>
      <c r="D211" s="13" t="inlineStr">
        <is>
          <t>21206</t>
        </is>
      </c>
      <c r="E211" s="13" t="inlineStr">
        <is>
          <t>5647917</t>
        </is>
      </c>
      <c r="F211" s="13" t="inlineStr">
        <is>
          <t>2026-04-18</t>
        </is>
      </c>
      <c r="G211" s="13" t="n">
        <v>250</v>
      </c>
      <c r="H211" s="13" t="inlineStr"/>
    </row>
    <row r="212">
      <c r="A212" s="13" t="inlineStr">
        <is>
          <t>H025</t>
        </is>
      </c>
      <c r="B212" s="13" t="inlineStr">
        <is>
          <t>Republican gift</t>
        </is>
      </c>
      <c r="C212" s="13" t="inlineStr">
        <is>
          <t>Working Families for Bruce Starr</t>
        </is>
      </c>
      <c r="D212" s="13" t="inlineStr">
        <is>
          <t>2752</t>
        </is>
      </c>
      <c r="E212" s="13" t="inlineStr">
        <is>
          <t>1254706</t>
        </is>
      </c>
      <c r="F212" s="13" t="inlineStr">
        <is>
          <t>2012-05-14</t>
        </is>
      </c>
      <c r="G212" s="13" t="n">
        <v>250</v>
      </c>
      <c r="H212" s="13" t="inlineStr">
        <is>
          <t>Street address or PO box</t>
        </is>
      </c>
    </row>
    <row r="213">
      <c r="A213" s="13" t="inlineStr">
        <is>
          <t>H025</t>
        </is>
      </c>
      <c r="B213" s="13" t="inlineStr">
        <is>
          <t>Republican gift</t>
        </is>
      </c>
      <c r="C213" s="13" t="inlineStr">
        <is>
          <t>Working Families for Bruce Starr</t>
        </is>
      </c>
      <c r="D213" s="13" t="inlineStr">
        <is>
          <t>2752</t>
        </is>
      </c>
      <c r="E213" s="13" t="inlineStr">
        <is>
          <t>1277399</t>
        </is>
      </c>
      <c r="F213" s="13" t="inlineStr">
        <is>
          <t>2012-07-02</t>
        </is>
      </c>
      <c r="G213" s="13" t="n">
        <v>250</v>
      </c>
      <c r="H213" s="13" t="inlineStr">
        <is>
          <t>Street address or PO box</t>
        </is>
      </c>
    </row>
    <row r="214">
      <c r="A214" s="13" t="inlineStr">
        <is>
          <t>H025</t>
        </is>
      </c>
      <c r="B214" s="13" t="inlineStr">
        <is>
          <t>Republican gift</t>
        </is>
      </c>
      <c r="C214" s="13" t="inlineStr">
        <is>
          <t>Working Families for Bruce Starr</t>
        </is>
      </c>
      <c r="D214" s="13" t="inlineStr">
        <is>
          <t>2752</t>
        </is>
      </c>
      <c r="E214" s="13" t="inlineStr">
        <is>
          <t>1404944</t>
        </is>
      </c>
      <c r="F214" s="13" t="inlineStr">
        <is>
          <t>2012-11-01</t>
        </is>
      </c>
      <c r="G214" s="13" t="n">
        <v>250</v>
      </c>
      <c r="H214" s="13" t="inlineStr">
        <is>
          <t>Street address or PO box</t>
        </is>
      </c>
    </row>
    <row r="215">
      <c r="A215" s="13" t="inlineStr">
        <is>
          <t>H025</t>
        </is>
      </c>
      <c r="B215" s="13" t="inlineStr">
        <is>
          <t>Republican gift</t>
        </is>
      </c>
      <c r="C215" s="13" t="inlineStr">
        <is>
          <t>Friends of Christine Drazan</t>
        </is>
      </c>
      <c r="D215" s="13" t="inlineStr">
        <is>
          <t>19050</t>
        </is>
      </c>
      <c r="E215" s="13" t="inlineStr">
        <is>
          <t>4145981</t>
        </is>
      </c>
      <c r="F215" s="13" t="inlineStr">
        <is>
          <t>2022-05-02</t>
        </is>
      </c>
      <c r="G215" s="13" t="n">
        <v>2000</v>
      </c>
      <c r="H215" s="13" t="inlineStr">
        <is>
          <t>Street address or PO box</t>
        </is>
      </c>
    </row>
    <row r="216">
      <c r="A216" s="13" t="inlineStr">
        <is>
          <t>H025</t>
        </is>
      </c>
      <c r="B216" s="13" t="inlineStr">
        <is>
          <t>Republican gift</t>
        </is>
      </c>
      <c r="C216" s="13" t="inlineStr">
        <is>
          <t>Friends of Christine Drazan</t>
        </is>
      </c>
      <c r="D216" s="13" t="inlineStr">
        <is>
          <t>19050</t>
        </is>
      </c>
      <c r="E216" s="13" t="inlineStr">
        <is>
          <t>4350989</t>
        </is>
      </c>
      <c r="F216" s="13" t="inlineStr">
        <is>
          <t>2022-10-11</t>
        </is>
      </c>
      <c r="G216" s="13" t="n">
        <v>3000</v>
      </c>
      <c r="H216" s="13" t="inlineStr">
        <is>
          <t>Street address or PO box</t>
        </is>
      </c>
    </row>
    <row r="217">
      <c r="A217" s="13" t="inlineStr">
        <is>
          <t>H025</t>
        </is>
      </c>
      <c r="B217" s="13" t="inlineStr">
        <is>
          <t>Republican gift</t>
        </is>
      </c>
      <c r="C217" s="13" t="inlineStr">
        <is>
          <t>Friends of Christine Drazan</t>
        </is>
      </c>
      <c r="D217" s="13" t="inlineStr">
        <is>
          <t>19050</t>
        </is>
      </c>
      <c r="E217" s="13" t="inlineStr">
        <is>
          <t>4399899</t>
        </is>
      </c>
      <c r="F217" s="13" t="inlineStr">
        <is>
          <t>2022-10-31</t>
        </is>
      </c>
      <c r="G217" s="13" t="n">
        <v>500</v>
      </c>
      <c r="H217" s="13" t="inlineStr">
        <is>
          <t>Street address or PO box</t>
        </is>
      </c>
    </row>
    <row r="218">
      <c r="A218" s="13" t="inlineStr">
        <is>
          <t>H025</t>
        </is>
      </c>
      <c r="B218" s="13" t="inlineStr">
        <is>
          <t>Republican gift</t>
        </is>
      </c>
      <c r="C218" s="13" t="inlineStr">
        <is>
          <t>Friends of Christine Drazan</t>
        </is>
      </c>
      <c r="D218" s="13" t="inlineStr">
        <is>
          <t>19050</t>
        </is>
      </c>
      <c r="E218" s="13" t="inlineStr">
        <is>
          <t>4399900</t>
        </is>
      </c>
      <c r="F218" s="13" t="inlineStr">
        <is>
          <t>2022-10-31</t>
        </is>
      </c>
      <c r="G218" s="13" t="n">
        <v>1000</v>
      </c>
      <c r="H218" s="13" t="inlineStr">
        <is>
          <t>Street address or PO box</t>
        </is>
      </c>
    </row>
    <row r="219">
      <c r="A219" s="13" t="inlineStr">
        <is>
          <t>H025</t>
        </is>
      </c>
      <c r="B219" s="13" t="inlineStr">
        <is>
          <t>Republican gift</t>
        </is>
      </c>
      <c r="C219" s="13" t="inlineStr">
        <is>
          <t>Friends of Christine Drazan</t>
        </is>
      </c>
      <c r="D219" s="13" t="inlineStr">
        <is>
          <t>19050</t>
        </is>
      </c>
      <c r="E219" s="13" t="inlineStr">
        <is>
          <t>4399901</t>
        </is>
      </c>
      <c r="F219" s="13" t="inlineStr">
        <is>
          <t>2022-10-31</t>
        </is>
      </c>
      <c r="G219" s="13" t="n">
        <v>500</v>
      </c>
      <c r="H219" s="13" t="inlineStr">
        <is>
          <t>Street address or PO box</t>
        </is>
      </c>
    </row>
    <row r="220">
      <c r="A220" s="13" t="inlineStr">
        <is>
          <t>H025</t>
        </is>
      </c>
      <c r="B220" s="13" t="inlineStr">
        <is>
          <t>Republican gift</t>
        </is>
      </c>
      <c r="C220" s="13" t="inlineStr">
        <is>
          <t>Friends of Christine Drazan</t>
        </is>
      </c>
      <c r="D220" s="13" t="inlineStr">
        <is>
          <t>19050</t>
        </is>
      </c>
      <c r="E220" s="13" t="inlineStr">
        <is>
          <t>4402475</t>
        </is>
      </c>
      <c r="F220" s="13" t="inlineStr">
        <is>
          <t>2022-11-01</t>
        </is>
      </c>
      <c r="G220" s="13" t="n">
        <v>1000</v>
      </c>
      <c r="H220" s="13" t="inlineStr">
        <is>
          <t>Street address or PO box</t>
        </is>
      </c>
    </row>
    <row r="221">
      <c r="A221" s="13" t="inlineStr">
        <is>
          <t>H025</t>
        </is>
      </c>
      <c r="B221" s="13" t="inlineStr">
        <is>
          <t>Republican gift</t>
        </is>
      </c>
      <c r="C221" s="13" t="inlineStr">
        <is>
          <t>Friends of Will Lathrop</t>
        </is>
      </c>
      <c r="D221" s="13" t="inlineStr">
        <is>
          <t>21896</t>
        </is>
      </c>
      <c r="E221" s="13" t="inlineStr">
        <is>
          <t>4861611</t>
        </is>
      </c>
      <c r="F221" s="13" t="inlineStr">
        <is>
          <t>2024-04-17</t>
        </is>
      </c>
      <c r="G221" s="13" t="n">
        <v>10000</v>
      </c>
      <c r="H221" s="13" t="inlineStr">
        <is>
          <t>Street address or PO box</t>
        </is>
      </c>
    </row>
    <row r="222">
      <c r="A222" s="13" t="inlineStr">
        <is>
          <t>H025</t>
        </is>
      </c>
      <c r="B222" s="13" t="inlineStr">
        <is>
          <t>Republican gift</t>
        </is>
      </c>
      <c r="C222" s="13" t="inlineStr">
        <is>
          <t>Friends of Will Lathrop</t>
        </is>
      </c>
      <c r="D222" s="13" t="inlineStr">
        <is>
          <t>21896</t>
        </is>
      </c>
      <c r="E222" s="13" t="inlineStr">
        <is>
          <t>5123890</t>
        </is>
      </c>
      <c r="F222" s="13" t="inlineStr">
        <is>
          <t>2024-10-25</t>
        </is>
      </c>
      <c r="G222" s="13" t="n">
        <v>5000</v>
      </c>
      <c r="H222" s="13" t="inlineStr">
        <is>
          <t>Street address or PO box</t>
        </is>
      </c>
    </row>
    <row r="223">
      <c r="A223" s="13" t="inlineStr">
        <is>
          <t>H026</t>
        </is>
      </c>
      <c r="B223" s="13" t="inlineStr">
        <is>
          <t>Gift to a slate candidate</t>
        </is>
      </c>
      <c r="C223" s="13" t="inlineStr">
        <is>
          <t>Friends of Julia Brim-Edwards</t>
        </is>
      </c>
      <c r="D223" s="13" t="inlineStr">
        <is>
          <t>21206</t>
        </is>
      </c>
      <c r="E223" s="13" t="inlineStr">
        <is>
          <t>4530578</t>
        </is>
      </c>
      <c r="F223" s="13" t="inlineStr">
        <is>
          <t>2023-03-14</t>
        </is>
      </c>
      <c r="G223" s="13" t="n">
        <v>500</v>
      </c>
      <c r="H223" s="13" t="inlineStr"/>
    </row>
    <row r="224">
      <c r="A224" s="13" t="inlineStr">
        <is>
          <t>H026</t>
        </is>
      </c>
      <c r="B224" s="13" t="inlineStr">
        <is>
          <t>Gift to a slate candidate</t>
        </is>
      </c>
      <c r="C224" s="13" t="inlineStr">
        <is>
          <t>Friends of Julia Brim-Edwards</t>
        </is>
      </c>
      <c r="D224" s="13" t="inlineStr">
        <is>
          <t>21206</t>
        </is>
      </c>
      <c r="E224" s="13" t="inlineStr">
        <is>
          <t>4853174</t>
        </is>
      </c>
      <c r="F224" s="13" t="inlineStr">
        <is>
          <t>2024-03-25</t>
        </is>
      </c>
      <c r="G224" s="13" t="n">
        <v>500</v>
      </c>
      <c r="H224" s="13" t="inlineStr"/>
    </row>
    <row r="225">
      <c r="A225" s="13" t="inlineStr">
        <is>
          <t>H026</t>
        </is>
      </c>
      <c r="B225" s="13" t="inlineStr">
        <is>
          <t>Gift to a slate candidate</t>
        </is>
      </c>
      <c r="C225" s="13" t="inlineStr">
        <is>
          <t>Friends of Eric Zimmerman</t>
        </is>
      </c>
      <c r="D225" s="13" t="inlineStr">
        <is>
          <t>17629</t>
        </is>
      </c>
      <c r="E225" s="13" t="inlineStr">
        <is>
          <t>4968603</t>
        </is>
      </c>
      <c r="F225" s="13" t="inlineStr">
        <is>
          <t>2024-07-19</t>
        </is>
      </c>
      <c r="G225" s="13" t="n">
        <v>250</v>
      </c>
      <c r="H225" s="13" t="inlineStr"/>
    </row>
    <row r="226">
      <c r="A226" s="13" t="inlineStr">
        <is>
          <t>H026</t>
        </is>
      </c>
      <c r="B226" s="13" t="inlineStr">
        <is>
          <t>Gift to a slate candidate</t>
        </is>
      </c>
      <c r="C226" s="13" t="inlineStr">
        <is>
          <t>Friends of Olivia</t>
        </is>
      </c>
      <c r="D226" s="13" t="inlineStr">
        <is>
          <t>23199</t>
        </is>
      </c>
      <c r="E226" s="13" t="inlineStr">
        <is>
          <t>5061732</t>
        </is>
      </c>
      <c r="F226" s="13" t="inlineStr">
        <is>
          <t>2024-09-27</t>
        </is>
      </c>
      <c r="G226" s="13" t="n">
        <v>250</v>
      </c>
      <c r="H226" s="13" t="inlineStr"/>
    </row>
    <row r="227">
      <c r="A227" s="13" t="inlineStr">
        <is>
          <t>H026</t>
        </is>
      </c>
      <c r="B227" s="13" t="inlineStr">
        <is>
          <t>Gift to a slate candidate</t>
        </is>
      </c>
      <c r="C227" s="13" t="inlineStr">
        <is>
          <t>Friends of Olivia</t>
        </is>
      </c>
      <c r="D227" s="13" t="inlineStr">
        <is>
          <t>23199</t>
        </is>
      </c>
      <c r="E227" s="13" t="inlineStr">
        <is>
          <t>5473715</t>
        </is>
      </c>
      <c r="F227" s="13" t="inlineStr">
        <is>
          <t>2025-12-04</t>
        </is>
      </c>
      <c r="G227" s="13" t="n">
        <v>250</v>
      </c>
      <c r="H227" s="13" t="inlineStr"/>
    </row>
    <row r="228">
      <c r="A228" s="13" t="inlineStr">
        <is>
          <t>H026</t>
        </is>
      </c>
      <c r="B228" s="13" t="inlineStr">
        <is>
          <t>Gift to a slate candidate</t>
        </is>
      </c>
      <c r="C228" s="13" t="inlineStr">
        <is>
          <t>Friends of Eric Zimmerman</t>
        </is>
      </c>
      <c r="D228" s="13" t="inlineStr">
        <is>
          <t>17629</t>
        </is>
      </c>
      <c r="E228" s="13" t="inlineStr">
        <is>
          <t>5651895</t>
        </is>
      </c>
      <c r="F228" s="13" t="inlineStr">
        <is>
          <t>2026-04-14</t>
        </is>
      </c>
      <c r="G228" s="13" t="n">
        <v>250</v>
      </c>
      <c r="H228" s="13" t="inlineStr"/>
    </row>
    <row r="229">
      <c r="A229" s="13" t="inlineStr">
        <is>
          <t>H026</t>
        </is>
      </c>
      <c r="B229" s="13" t="inlineStr">
        <is>
          <t>Gift to a slate candidate</t>
        </is>
      </c>
      <c r="C229" s="13" t="inlineStr">
        <is>
          <t>Friends of Julia Brim-Edwards</t>
        </is>
      </c>
      <c r="D229" s="13" t="inlineStr">
        <is>
          <t>21206</t>
        </is>
      </c>
      <c r="E229" s="13" t="inlineStr">
        <is>
          <t>5647915</t>
        </is>
      </c>
      <c r="F229" s="13" t="inlineStr">
        <is>
          <t>2026-04-18</t>
        </is>
      </c>
      <c r="G229" s="13" t="n">
        <v>500</v>
      </c>
      <c r="H229" s="13" t="inlineStr"/>
    </row>
    <row r="230">
      <c r="A230" s="13" t="inlineStr">
        <is>
          <t>H026</t>
        </is>
      </c>
      <c r="B230" s="13" t="inlineStr">
        <is>
          <t>Gift to a slate candidate</t>
        </is>
      </c>
      <c r="C230" s="13" t="inlineStr">
        <is>
          <t>Friends of Julia Brim-Edwards</t>
        </is>
      </c>
      <c r="D230" s="13" t="inlineStr">
        <is>
          <t>21206</t>
        </is>
      </c>
      <c r="E230" s="13" t="inlineStr">
        <is>
          <t>5704160</t>
        </is>
      </c>
      <c r="F230" s="13" t="inlineStr">
        <is>
          <t>2026-06-18</t>
        </is>
      </c>
      <c r="G230" s="13" t="n">
        <v>500</v>
      </c>
      <c r="H230" s="13" t="inlineStr"/>
    </row>
    <row r="231">
      <c r="A231" s="13" t="inlineStr">
        <is>
          <t>H026</t>
        </is>
      </c>
      <c r="B231" s="13" t="inlineStr">
        <is>
          <t>Gift to a slate candidate</t>
        </is>
      </c>
      <c r="C231" s="13" t="inlineStr">
        <is>
          <t>Novick for Portland</t>
        </is>
      </c>
      <c r="D231" s="13" t="inlineStr">
        <is>
          <t>15109</t>
        </is>
      </c>
      <c r="E231" s="13" t="inlineStr">
        <is>
          <t>5793246</t>
        </is>
      </c>
      <c r="F231" s="13" t="inlineStr">
        <is>
          <t>2026-08-20</t>
        </is>
      </c>
      <c r="G231" s="13" t="n">
        <v>250</v>
      </c>
      <c r="H231" s="13" t="inlineStr"/>
    </row>
    <row r="232">
      <c r="A232" s="13" t="inlineStr">
        <is>
          <t>H026</t>
        </is>
      </c>
      <c r="B232" s="13" t="inlineStr">
        <is>
          <t>Gift to a slate candidate</t>
        </is>
      </c>
      <c r="C232" s="13" t="inlineStr">
        <is>
          <t>Kellie Torres for Portland</t>
        </is>
      </c>
      <c r="D232" s="13" t="inlineStr">
        <is>
          <t>24897</t>
        </is>
      </c>
      <c r="E232" s="13" t="inlineStr">
        <is>
          <t>5846627</t>
        </is>
      </c>
      <c r="F232" s="13" t="inlineStr">
        <is>
          <t>2026-09-20</t>
        </is>
      </c>
      <c r="G232" s="13" t="n">
        <v>250</v>
      </c>
      <c r="H232" s="13" t="inlineStr"/>
    </row>
    <row r="233">
      <c r="A233" s="13" t="inlineStr">
        <is>
          <t>H026</t>
        </is>
      </c>
      <c r="B233" s="13" t="inlineStr">
        <is>
          <t>Republican gift</t>
        </is>
      </c>
      <c r="C233" s="13" t="inlineStr">
        <is>
          <t>Tim Knopp for State Senate</t>
        </is>
      </c>
      <c r="D233" s="13" t="inlineStr">
        <is>
          <t>15627</t>
        </is>
      </c>
      <c r="E233" s="13" t="inlineStr">
        <is>
          <t>1267733</t>
        </is>
      </c>
      <c r="F233" s="13" t="inlineStr">
        <is>
          <t>2012-05-31</t>
        </is>
      </c>
      <c r="G233" s="13" t="n">
        <v>250</v>
      </c>
      <c r="H233" s="13" t="inlineStr">
        <is>
          <t>Street address or PO box</t>
        </is>
      </c>
    </row>
    <row r="234">
      <c r="A234" s="13" t="inlineStr">
        <is>
          <t>H026</t>
        </is>
      </c>
      <c r="B234" s="13" t="inlineStr">
        <is>
          <t>Republican gift</t>
        </is>
      </c>
      <c r="C234" s="13" t="inlineStr">
        <is>
          <t>Knute Buehler for Secretary of State</t>
        </is>
      </c>
      <c r="D234" s="13" t="inlineStr">
        <is>
          <t>15192</t>
        </is>
      </c>
      <c r="E234" s="13" t="inlineStr">
        <is>
          <t>1412312</t>
        </is>
      </c>
      <c r="F234" s="13" t="inlineStr">
        <is>
          <t>2012-10-31</t>
        </is>
      </c>
      <c r="G234" s="13" t="n">
        <v>1000</v>
      </c>
      <c r="H234" s="13" t="inlineStr">
        <is>
          <t>Street address or PO box</t>
        </is>
      </c>
    </row>
    <row r="235">
      <c r="A235" s="13" t="inlineStr">
        <is>
          <t>H026</t>
        </is>
      </c>
      <c r="B235" s="13" t="inlineStr">
        <is>
          <t>Republican gift</t>
        </is>
      </c>
      <c r="C235" s="13" t="inlineStr">
        <is>
          <t>Tim Knopp for State Senate</t>
        </is>
      </c>
      <c r="D235" s="13" t="inlineStr">
        <is>
          <t>15627</t>
        </is>
      </c>
      <c r="E235" s="13" t="inlineStr">
        <is>
          <t>1840306</t>
        </is>
      </c>
      <c r="F235" s="13" t="inlineStr">
        <is>
          <t>2014-09-24</t>
        </is>
      </c>
      <c r="G235" s="13" t="n">
        <v>250</v>
      </c>
      <c r="H235" s="13" t="inlineStr">
        <is>
          <t>Street address or PO box</t>
        </is>
      </c>
    </row>
    <row r="236">
      <c r="A236" s="13" t="inlineStr">
        <is>
          <t>H026</t>
        </is>
      </c>
      <c r="B236" s="13" t="inlineStr">
        <is>
          <t>Republican gift</t>
        </is>
      </c>
      <c r="C236" s="13" t="inlineStr">
        <is>
          <t>Tim Knopp for State Senate</t>
        </is>
      </c>
      <c r="D236" s="13" t="inlineStr">
        <is>
          <t>15627</t>
        </is>
      </c>
      <c r="E236" s="13" t="inlineStr">
        <is>
          <t>2346191</t>
        </is>
      </c>
      <c r="F236" s="13" t="inlineStr">
        <is>
          <t>2016-08-24</t>
        </is>
      </c>
      <c r="G236" s="13" t="n">
        <v>500</v>
      </c>
      <c r="H236" s="13" t="inlineStr">
        <is>
          <t>Street address or PO box</t>
        </is>
      </c>
    </row>
    <row r="237">
      <c r="A237" s="13" t="inlineStr">
        <is>
          <t>H026</t>
        </is>
      </c>
      <c r="B237" s="13" t="inlineStr">
        <is>
          <t>Republican gift</t>
        </is>
      </c>
      <c r="C237" s="13" t="inlineStr">
        <is>
          <t>Citizens to Elect Dennis Richardson</t>
        </is>
      </c>
      <c r="D237" s="13" t="inlineStr">
        <is>
          <t>4155</t>
        </is>
      </c>
      <c r="E237" s="13" t="inlineStr">
        <is>
          <t>2350441</t>
        </is>
      </c>
      <c r="F237" s="13" t="inlineStr">
        <is>
          <t>2016-09-18</t>
        </is>
      </c>
      <c r="G237" s="13" t="n">
        <v>250</v>
      </c>
      <c r="H237" s="13" t="inlineStr">
        <is>
          <t>Street address or PO box</t>
        </is>
      </c>
    </row>
    <row r="238">
      <c r="A238" s="13" t="inlineStr">
        <is>
          <t>H026</t>
        </is>
      </c>
      <c r="B238" s="13" t="inlineStr">
        <is>
          <t>Republican gift</t>
        </is>
      </c>
      <c r="C238" s="13" t="inlineStr">
        <is>
          <t>Citizens to Elect Dennis Richardson</t>
        </is>
      </c>
      <c r="D238" s="13" t="inlineStr">
        <is>
          <t>4155</t>
        </is>
      </c>
      <c r="E238" s="13" t="inlineStr">
        <is>
          <t>2428898</t>
        </is>
      </c>
      <c r="F238" s="13" t="inlineStr">
        <is>
          <t>2016-11-01</t>
        </is>
      </c>
      <c r="G238" s="13" t="n">
        <v>250</v>
      </c>
      <c r="H238" s="13" t="inlineStr">
        <is>
          <t>Street address or PO box</t>
        </is>
      </c>
    </row>
    <row r="239">
      <c r="A239" s="13" t="inlineStr">
        <is>
          <t>H026</t>
        </is>
      </c>
      <c r="B239" s="13" t="inlineStr">
        <is>
          <t>Republican gift</t>
        </is>
      </c>
      <c r="C239" s="13" t="inlineStr">
        <is>
          <t>Knute for Governor</t>
        </is>
      </c>
      <c r="D239" s="13" t="inlineStr">
        <is>
          <t>15192</t>
        </is>
      </c>
      <c r="E239" s="13" t="inlineStr">
        <is>
          <t>2591021</t>
        </is>
      </c>
      <c r="F239" s="13" t="inlineStr">
        <is>
          <t>2017-08-04</t>
        </is>
      </c>
      <c r="G239" s="13" t="n">
        <v>250</v>
      </c>
      <c r="H239" s="13" t="inlineStr">
        <is>
          <t>Street address or PO box</t>
        </is>
      </c>
    </row>
    <row r="240">
      <c r="A240" s="13" t="inlineStr">
        <is>
          <t>H026</t>
        </is>
      </c>
      <c r="B240" s="13" t="inlineStr">
        <is>
          <t>Republican gift</t>
        </is>
      </c>
      <c r="C240" s="13" t="inlineStr">
        <is>
          <t>Friends of Christine Drazan</t>
        </is>
      </c>
      <c r="D240" s="13" t="inlineStr">
        <is>
          <t>19050</t>
        </is>
      </c>
      <c r="E240" s="13" t="inlineStr">
        <is>
          <t>3033736</t>
        </is>
      </c>
      <c r="F240" s="13" t="inlineStr">
        <is>
          <t>2018-10-15</t>
        </is>
      </c>
      <c r="G240" s="13" t="n">
        <v>250</v>
      </c>
      <c r="H240" s="13" t="inlineStr">
        <is>
          <t>Street address or PO box</t>
        </is>
      </c>
    </row>
    <row r="241">
      <c r="A241" s="13" t="inlineStr">
        <is>
          <t>H026</t>
        </is>
      </c>
      <c r="B241" s="13" t="inlineStr">
        <is>
          <t>Republican gift</t>
        </is>
      </c>
      <c r="C241" s="13" t="inlineStr">
        <is>
          <t>Tim Knopp for State Senate</t>
        </is>
      </c>
      <c r="D241" s="13" t="inlineStr">
        <is>
          <t>15627</t>
        </is>
      </c>
      <c r="E241" s="13" t="inlineStr">
        <is>
          <t>4368289</t>
        </is>
      </c>
      <c r="F241" s="13" t="inlineStr">
        <is>
          <t>2022-10-18</t>
        </is>
      </c>
      <c r="G241" s="13" t="n">
        <v>500</v>
      </c>
      <c r="H241" s="13" t="inlineStr">
        <is>
          <t>Street address or PO box</t>
        </is>
      </c>
    </row>
    <row r="242">
      <c r="A242" s="13" t="inlineStr">
        <is>
          <t>H026</t>
        </is>
      </c>
      <c r="B242" s="13" t="inlineStr">
        <is>
          <t>Republican gift</t>
        </is>
      </c>
      <c r="C242" s="13" t="inlineStr">
        <is>
          <t>Hicks for Senate</t>
        </is>
      </c>
      <c r="D242" s="13" t="inlineStr">
        <is>
          <t>24485</t>
        </is>
      </c>
      <c r="E242" s="13" t="inlineStr">
        <is>
          <t>5485678</t>
        </is>
      </c>
      <c r="F242" s="13" t="inlineStr">
        <is>
          <t>2025-12-31</t>
        </is>
      </c>
      <c r="G242" s="13" t="n">
        <v>1000</v>
      </c>
      <c r="H242" s="13" t="inlineStr">
        <is>
          <t>Street address or PO box</t>
        </is>
      </c>
    </row>
    <row r="243">
      <c r="A243" s="13" t="inlineStr">
        <is>
          <t>H027</t>
        </is>
      </c>
      <c r="B243" s="13" t="inlineStr">
        <is>
          <t>Gift to a slate candidate</t>
        </is>
      </c>
      <c r="C243" s="13" t="inlineStr">
        <is>
          <t>Eli for Portland</t>
        </is>
      </c>
      <c r="D243" s="13" t="inlineStr">
        <is>
          <t>23295</t>
        </is>
      </c>
      <c r="E243" s="13" t="inlineStr">
        <is>
          <t>4888919</t>
        </is>
      </c>
      <c r="F243" s="13" t="inlineStr">
        <is>
          <t>2024-05-01</t>
        </is>
      </c>
      <c r="G243" s="13" t="n">
        <v>250</v>
      </c>
      <c r="H243" s="13" t="inlineStr"/>
    </row>
    <row r="244">
      <c r="A244" s="13" t="inlineStr">
        <is>
          <t>H027</t>
        </is>
      </c>
      <c r="B244" s="13" t="inlineStr">
        <is>
          <t>Republican gift</t>
        </is>
      </c>
      <c r="C244" s="13" t="inlineStr">
        <is>
          <t>Knute Buehler for Secretary of State</t>
        </is>
      </c>
      <c r="D244" s="13" t="inlineStr">
        <is>
          <t>15192</t>
        </is>
      </c>
      <c r="E244" s="13" t="inlineStr">
        <is>
          <t>1285976</t>
        </is>
      </c>
      <c r="F244" s="13" t="inlineStr">
        <is>
          <t>2012-07-20</t>
        </is>
      </c>
      <c r="G244" s="13" t="n">
        <v>250</v>
      </c>
      <c r="H244" s="13" t="inlineStr">
        <is>
          <t>Street address or PO box</t>
        </is>
      </c>
    </row>
    <row r="245">
      <c r="A245" s="13" t="inlineStr">
        <is>
          <t>H027</t>
        </is>
      </c>
      <c r="B245" s="13" t="inlineStr">
        <is>
          <t>Republican gift</t>
        </is>
      </c>
      <c r="C245" s="13" t="inlineStr">
        <is>
          <t>Bud Pierce for a Better Oregon</t>
        </is>
      </c>
      <c r="D245" s="13" t="inlineStr">
        <is>
          <t>17397</t>
        </is>
      </c>
      <c r="E245" s="13" t="inlineStr">
        <is>
          <t>2302002</t>
        </is>
      </c>
      <c r="F245" s="13" t="inlineStr">
        <is>
          <t>2016-07-29</t>
        </is>
      </c>
      <c r="G245" s="13" t="n">
        <v>250</v>
      </c>
      <c r="H245" s="13" t="inlineStr">
        <is>
          <t>Street address or PO box</t>
        </is>
      </c>
    </row>
    <row r="246">
      <c r="A246" s="13" t="inlineStr">
        <is>
          <t>H027</t>
        </is>
      </c>
      <c r="B246" s="13" t="inlineStr">
        <is>
          <t>Republican gift</t>
        </is>
      </c>
      <c r="C246" s="13" t="inlineStr">
        <is>
          <t>Knute for Governor</t>
        </is>
      </c>
      <c r="D246" s="13" t="inlineStr">
        <is>
          <t>15192</t>
        </is>
      </c>
      <c r="E246" s="13" t="inlineStr">
        <is>
          <t>2716443</t>
        </is>
      </c>
      <c r="F246" s="13" t="inlineStr">
        <is>
          <t>2018-01-08</t>
        </is>
      </c>
      <c r="G246" s="13" t="n">
        <v>250</v>
      </c>
      <c r="H246" s="13" t="inlineStr">
        <is>
          <t>Street address or PO box</t>
        </is>
      </c>
    </row>
    <row r="247">
      <c r="A247" s="13" t="inlineStr">
        <is>
          <t>H027</t>
        </is>
      </c>
      <c r="B247" s="13" t="inlineStr">
        <is>
          <t>Republican gift</t>
        </is>
      </c>
      <c r="C247" s="13" t="inlineStr">
        <is>
          <t>Knute for Governor</t>
        </is>
      </c>
      <c r="D247" s="13" t="inlineStr">
        <is>
          <t>15192</t>
        </is>
      </c>
      <c r="E247" s="13" t="inlineStr">
        <is>
          <t>2861417</t>
        </is>
      </c>
      <c r="F247" s="13" t="inlineStr">
        <is>
          <t>2018-06-05</t>
        </is>
      </c>
      <c r="G247" s="13" t="n">
        <v>250</v>
      </c>
      <c r="H247" s="13" t="inlineStr">
        <is>
          <t>Street address or PO box</t>
        </is>
      </c>
    </row>
    <row r="248">
      <c r="A248" s="13" t="inlineStr">
        <is>
          <t>H027</t>
        </is>
      </c>
      <c r="B248" s="13" t="inlineStr">
        <is>
          <t>Republican gift</t>
        </is>
      </c>
      <c r="C248" s="13" t="inlineStr">
        <is>
          <t>Knute for Governor</t>
        </is>
      </c>
      <c r="D248" s="13" t="inlineStr">
        <is>
          <t>15192</t>
        </is>
      </c>
      <c r="E248" s="13" t="inlineStr">
        <is>
          <t>2913113</t>
        </is>
      </c>
      <c r="F248" s="13" t="inlineStr">
        <is>
          <t>2018-08-08</t>
        </is>
      </c>
      <c r="G248" s="13" t="n">
        <v>250</v>
      </c>
      <c r="H248" s="13" t="inlineStr">
        <is>
          <t>Street address or PO box</t>
        </is>
      </c>
    </row>
    <row r="249">
      <c r="A249" s="13" t="inlineStr">
        <is>
          <t>H027</t>
        </is>
      </c>
      <c r="B249" s="13" t="inlineStr">
        <is>
          <t>Republican gift</t>
        </is>
      </c>
      <c r="C249" s="13" t="inlineStr">
        <is>
          <t>Knute for Governor</t>
        </is>
      </c>
      <c r="D249" s="13" t="inlineStr">
        <is>
          <t>15192</t>
        </is>
      </c>
      <c r="E249" s="13" t="inlineStr">
        <is>
          <t>3041308</t>
        </is>
      </c>
      <c r="F249" s="13" t="inlineStr">
        <is>
          <t>2018-10-16</t>
        </is>
      </c>
      <c r="G249" s="13" t="n">
        <v>250</v>
      </c>
      <c r="H249" s="13" t="inlineStr">
        <is>
          <t>Street address or PO box</t>
        </is>
      </c>
    </row>
    <row r="250">
      <c r="A250" s="13" t="inlineStr">
        <is>
          <t>H027</t>
        </is>
      </c>
      <c r="B250" s="13" t="inlineStr">
        <is>
          <t>Republican gift</t>
        </is>
      </c>
      <c r="C250" s="13" t="inlineStr">
        <is>
          <t>Friends of Christine Drazan</t>
        </is>
      </c>
      <c r="D250" s="13" t="inlineStr">
        <is>
          <t>19050</t>
        </is>
      </c>
      <c r="E250" s="13" t="inlineStr">
        <is>
          <t>4210576</t>
        </is>
      </c>
      <c r="F250" s="13" t="inlineStr">
        <is>
          <t>2022-07-22</t>
        </is>
      </c>
      <c r="G250" s="13" t="n">
        <v>250</v>
      </c>
      <c r="H250" s="13" t="inlineStr">
        <is>
          <t>Street address or PO box</t>
        </is>
      </c>
    </row>
    <row r="251">
      <c r="A251" s="13" t="inlineStr">
        <is>
          <t>H027</t>
        </is>
      </c>
      <c r="B251" s="13" t="inlineStr">
        <is>
          <t>Republican gift</t>
        </is>
      </c>
      <c r="C251" s="13" t="inlineStr">
        <is>
          <t>Friends of Christine Drazan</t>
        </is>
      </c>
      <c r="D251" s="13" t="inlineStr">
        <is>
          <t>19050</t>
        </is>
      </c>
      <c r="E251" s="13" t="inlineStr">
        <is>
          <t>4260172</t>
        </is>
      </c>
      <c r="F251" s="13" t="inlineStr">
        <is>
          <t>2022-09-01</t>
        </is>
      </c>
      <c r="G251" s="13" t="n">
        <v>250</v>
      </c>
      <c r="H251" s="13" t="inlineStr">
        <is>
          <t>Street address or PO box</t>
        </is>
      </c>
    </row>
    <row r="252">
      <c r="A252" s="13" t="inlineStr">
        <is>
          <t>H028</t>
        </is>
      </c>
      <c r="B252" s="13" t="inlineStr">
        <is>
          <t>Gift to a slate candidate</t>
        </is>
      </c>
      <c r="C252" s="13" t="inlineStr">
        <is>
          <t>Friends of Julia Brim-Edwards</t>
        </is>
      </c>
      <c r="D252" s="13" t="inlineStr">
        <is>
          <t>21206</t>
        </is>
      </c>
      <c r="E252" s="13" t="inlineStr">
        <is>
          <t>5555087</t>
        </is>
      </c>
      <c r="F252" s="13" t="inlineStr">
        <is>
          <t>2026-02-23</t>
        </is>
      </c>
      <c r="G252" s="13" t="n">
        <v>500</v>
      </c>
      <c r="H252" s="13" t="inlineStr"/>
    </row>
    <row r="253">
      <c r="A253" s="13" t="inlineStr">
        <is>
          <t>H028</t>
        </is>
      </c>
      <c r="B253" s="13" t="inlineStr">
        <is>
          <t>Republican gift</t>
        </is>
      </c>
      <c r="C253" s="13" t="inlineStr">
        <is>
          <t>Knute Buehler for Secretary of State</t>
        </is>
      </c>
      <c r="D253" s="13" t="inlineStr">
        <is>
          <t>15192</t>
        </is>
      </c>
      <c r="E253" s="13" t="inlineStr">
        <is>
          <t>1334390</t>
        </is>
      </c>
      <c r="F253" s="13" t="inlineStr">
        <is>
          <t>2012-09-13</t>
        </is>
      </c>
      <c r="G253" s="13" t="n">
        <v>500</v>
      </c>
      <c r="H253" s="13" t="inlineStr">
        <is>
          <t>Street address or PO box</t>
        </is>
      </c>
    </row>
    <row r="254">
      <c r="A254" s="13" t="inlineStr">
        <is>
          <t>H028</t>
        </is>
      </c>
      <c r="B254" s="13" t="inlineStr">
        <is>
          <t>Republican gift</t>
        </is>
      </c>
      <c r="C254" s="13" t="inlineStr">
        <is>
          <t>Citizens to Elect Dennis Richardson</t>
        </is>
      </c>
      <c r="D254" s="13" t="inlineStr">
        <is>
          <t>4155</t>
        </is>
      </c>
      <c r="E254" s="13" t="inlineStr">
        <is>
          <t>2321617</t>
        </is>
      </c>
      <c r="F254" s="13" t="inlineStr">
        <is>
          <t>2016-08-12</t>
        </is>
      </c>
      <c r="G254" s="13" t="n">
        <v>250</v>
      </c>
      <c r="H254" s="13" t="inlineStr">
        <is>
          <t>Street address or PO box</t>
        </is>
      </c>
    </row>
    <row r="255">
      <c r="A255" s="13" t="inlineStr">
        <is>
          <t>H028</t>
        </is>
      </c>
      <c r="B255" s="13" t="inlineStr">
        <is>
          <t>Republican gift</t>
        </is>
      </c>
      <c r="C255" s="13" t="inlineStr">
        <is>
          <t>Knute for Governor</t>
        </is>
      </c>
      <c r="D255" s="13" t="inlineStr">
        <is>
          <t>15192</t>
        </is>
      </c>
      <c r="E255" s="13" t="inlineStr">
        <is>
          <t>2621761</t>
        </is>
      </c>
      <c r="F255" s="13" t="inlineStr">
        <is>
          <t>2017-09-20</t>
        </is>
      </c>
      <c r="G255" s="13" t="n">
        <v>250</v>
      </c>
      <c r="H255" s="13" t="inlineStr">
        <is>
          <t>Street address or PO box</t>
        </is>
      </c>
    </row>
    <row r="256">
      <c r="A256" s="13" t="inlineStr">
        <is>
          <t>H028</t>
        </is>
      </c>
      <c r="B256" s="13" t="inlineStr">
        <is>
          <t>Republican gift</t>
        </is>
      </c>
      <c r="C256" s="13" t="inlineStr">
        <is>
          <t>Knute for Governor</t>
        </is>
      </c>
      <c r="D256" s="13" t="inlineStr">
        <is>
          <t>15192</t>
        </is>
      </c>
      <c r="E256" s="13" t="inlineStr">
        <is>
          <t>2651802</t>
        </is>
      </c>
      <c r="F256" s="13" t="inlineStr">
        <is>
          <t>2017-10-28</t>
        </is>
      </c>
      <c r="G256" s="13" t="n">
        <v>250</v>
      </c>
      <c r="H256" s="13" t="inlineStr">
        <is>
          <t>Street address or PO box</t>
        </is>
      </c>
    </row>
    <row r="257">
      <c r="A257" s="13" t="inlineStr">
        <is>
          <t>H028</t>
        </is>
      </c>
      <c r="B257" s="13" t="inlineStr">
        <is>
          <t>Republican gift</t>
        </is>
      </c>
      <c r="C257" s="13" t="inlineStr">
        <is>
          <t>Knute for Governor</t>
        </is>
      </c>
      <c r="D257" s="13" t="inlineStr">
        <is>
          <t>15192</t>
        </is>
      </c>
      <c r="E257" s="13" t="inlineStr">
        <is>
          <t>2652083</t>
        </is>
      </c>
      <c r="F257" s="13" t="inlineStr">
        <is>
          <t>2017-10-30</t>
        </is>
      </c>
      <c r="G257" s="13" t="n">
        <v>1000</v>
      </c>
      <c r="H257" s="13" t="inlineStr">
        <is>
          <t>Street address or PO box</t>
        </is>
      </c>
    </row>
    <row r="258">
      <c r="A258" s="13" t="inlineStr">
        <is>
          <t>H028</t>
        </is>
      </c>
      <c r="B258" s="13" t="inlineStr">
        <is>
          <t>Republican gift</t>
        </is>
      </c>
      <c r="C258" s="13" t="inlineStr">
        <is>
          <t>Knute for Governor</t>
        </is>
      </c>
      <c r="D258" s="13" t="inlineStr">
        <is>
          <t>15192</t>
        </is>
      </c>
      <c r="E258" s="13" t="inlineStr">
        <is>
          <t>2672555</t>
        </is>
      </c>
      <c r="F258" s="13" t="inlineStr">
        <is>
          <t>2017-11-20</t>
        </is>
      </c>
      <c r="G258" s="13" t="n">
        <v>250</v>
      </c>
      <c r="H258" s="13" t="inlineStr">
        <is>
          <t>Street address or PO box</t>
        </is>
      </c>
    </row>
    <row r="259">
      <c r="A259" s="13" t="inlineStr">
        <is>
          <t>H028</t>
        </is>
      </c>
      <c r="B259" s="13" t="inlineStr">
        <is>
          <t>Republican gift</t>
        </is>
      </c>
      <c r="C259" s="13" t="inlineStr">
        <is>
          <t>Knute for Governor</t>
        </is>
      </c>
      <c r="D259" s="13" t="inlineStr">
        <is>
          <t>15192</t>
        </is>
      </c>
      <c r="E259" s="13" t="inlineStr">
        <is>
          <t>2701925</t>
        </is>
      </c>
      <c r="F259" s="13" t="inlineStr">
        <is>
          <t>2017-12-20</t>
        </is>
      </c>
      <c r="G259" s="13" t="n">
        <v>250</v>
      </c>
      <c r="H259" s="13" t="inlineStr">
        <is>
          <t>Street address or PO box</t>
        </is>
      </c>
    </row>
    <row r="260">
      <c r="A260" s="13" t="inlineStr">
        <is>
          <t>H028</t>
        </is>
      </c>
      <c r="B260" s="13" t="inlineStr">
        <is>
          <t>Republican gift</t>
        </is>
      </c>
      <c r="C260" s="13" t="inlineStr">
        <is>
          <t>Knute for Governor</t>
        </is>
      </c>
      <c r="D260" s="13" t="inlineStr">
        <is>
          <t>15192</t>
        </is>
      </c>
      <c r="E260" s="13" t="inlineStr">
        <is>
          <t>2743422</t>
        </is>
      </c>
      <c r="F260" s="13" t="inlineStr">
        <is>
          <t>2018-02-01</t>
        </is>
      </c>
      <c r="G260" s="13" t="n">
        <v>250</v>
      </c>
      <c r="H260" s="13" t="inlineStr">
        <is>
          <t>Street address or PO box</t>
        </is>
      </c>
    </row>
    <row r="261">
      <c r="A261" s="13" t="inlineStr">
        <is>
          <t>H028</t>
        </is>
      </c>
      <c r="B261" s="13" t="inlineStr">
        <is>
          <t>Republican gift</t>
        </is>
      </c>
      <c r="C261" s="13" t="inlineStr">
        <is>
          <t>Knute for Governor</t>
        </is>
      </c>
      <c r="D261" s="13" t="inlineStr">
        <is>
          <t>15192</t>
        </is>
      </c>
      <c r="E261" s="13" t="inlineStr">
        <is>
          <t>2784660</t>
        </is>
      </c>
      <c r="F261" s="13" t="inlineStr">
        <is>
          <t>2018-03-26</t>
        </is>
      </c>
      <c r="G261" s="13" t="n">
        <v>2000</v>
      </c>
      <c r="H261" s="13" t="inlineStr">
        <is>
          <t>Street address or PO box</t>
        </is>
      </c>
    </row>
    <row r="262">
      <c r="A262" s="13" t="inlineStr">
        <is>
          <t>H028</t>
        </is>
      </c>
      <c r="B262" s="13" t="inlineStr">
        <is>
          <t>Republican gift</t>
        </is>
      </c>
      <c r="C262" s="13" t="inlineStr">
        <is>
          <t>Knute for Governor</t>
        </is>
      </c>
      <c r="D262" s="13" t="inlineStr">
        <is>
          <t>15192</t>
        </is>
      </c>
      <c r="E262" s="13" t="inlineStr">
        <is>
          <t>2910692</t>
        </is>
      </c>
      <c r="F262" s="13" t="inlineStr">
        <is>
          <t>2018-08-06</t>
        </is>
      </c>
      <c r="G262" s="13" t="n">
        <v>1000</v>
      </c>
      <c r="H262" s="13" t="inlineStr">
        <is>
          <t>Street address or PO box</t>
        </is>
      </c>
    </row>
    <row r="263">
      <c r="A263" s="13" t="inlineStr">
        <is>
          <t>H029</t>
        </is>
      </c>
      <c r="B263" s="13" t="inlineStr">
        <is>
          <t>Gift to a slate candidate</t>
        </is>
      </c>
      <c r="C263" s="13" t="inlineStr">
        <is>
          <t>Eli for Portland</t>
        </is>
      </c>
      <c r="D263" s="13" t="inlineStr">
        <is>
          <t>23295</t>
        </is>
      </c>
      <c r="E263" s="13" t="inlineStr">
        <is>
          <t>4967848</t>
        </is>
      </c>
      <c r="F263" s="13" t="inlineStr">
        <is>
          <t>2024-07-18</t>
        </is>
      </c>
      <c r="G263" s="13" t="n">
        <v>250</v>
      </c>
      <c r="H263" s="13" t="inlineStr"/>
    </row>
    <row r="264">
      <c r="A264" s="13" t="inlineStr">
        <is>
          <t>H029</t>
        </is>
      </c>
      <c r="B264" s="13" t="inlineStr">
        <is>
          <t>Republican gift</t>
        </is>
      </c>
      <c r="C264" s="13" t="inlineStr">
        <is>
          <t>Knute Buehler for Secretary of State</t>
        </is>
      </c>
      <c r="D264" s="13" t="inlineStr">
        <is>
          <t>15192</t>
        </is>
      </c>
      <c r="E264" s="13" t="inlineStr">
        <is>
          <t>1374446</t>
        </is>
      </c>
      <c r="F264" s="13" t="inlineStr">
        <is>
          <t>2012-10-08</t>
        </is>
      </c>
      <c r="G264" s="13" t="n">
        <v>250</v>
      </c>
      <c r="H264" s="13" t="inlineStr">
        <is>
          <t>Street address or PO box</t>
        </is>
      </c>
    </row>
    <row r="265">
      <c r="A265" s="13" t="inlineStr">
        <is>
          <t>H029</t>
        </is>
      </c>
      <c r="B265" s="13" t="inlineStr">
        <is>
          <t>Republican gift</t>
        </is>
      </c>
      <c r="C265" s="13" t="inlineStr">
        <is>
          <t>Bud Pierce for a Better Oregon</t>
        </is>
      </c>
      <c r="D265" s="13" t="inlineStr">
        <is>
          <t>17397</t>
        </is>
      </c>
      <c r="E265" s="13" t="inlineStr">
        <is>
          <t>2365415</t>
        </is>
      </c>
      <c r="F265" s="13" t="inlineStr">
        <is>
          <t>2016-09-28</t>
        </is>
      </c>
      <c r="G265" s="13" t="n">
        <v>250</v>
      </c>
      <c r="H265" s="13" t="inlineStr">
        <is>
          <t>Street address or PO box</t>
        </is>
      </c>
    </row>
    <row r="266">
      <c r="A266" s="13" t="inlineStr">
        <is>
          <t>H029</t>
        </is>
      </c>
      <c r="B266" s="13" t="inlineStr">
        <is>
          <t>Republican gift</t>
        </is>
      </c>
      <c r="C266" s="13" t="inlineStr">
        <is>
          <t>Knute for Governor</t>
        </is>
      </c>
      <c r="D266" s="13" t="inlineStr">
        <is>
          <t>15192</t>
        </is>
      </c>
      <c r="E266" s="13" t="inlineStr">
        <is>
          <t>2992803</t>
        </is>
      </c>
      <c r="F266" s="13" t="inlineStr">
        <is>
          <t>2018-09-24</t>
        </is>
      </c>
      <c r="G266" s="13" t="n">
        <v>250</v>
      </c>
      <c r="H266" s="13" t="inlineStr">
        <is>
          <t>Street address or PO box</t>
        </is>
      </c>
    </row>
    <row r="267">
      <c r="A267" s="13" t="inlineStr">
        <is>
          <t>H029</t>
        </is>
      </c>
      <c r="B267" s="13" t="inlineStr">
        <is>
          <t>Republican gift</t>
        </is>
      </c>
      <c r="C267" s="13" t="inlineStr">
        <is>
          <t>Friends of Kim Thatcher</t>
        </is>
      </c>
      <c r="D267" s="13" t="inlineStr">
        <is>
          <t>4871</t>
        </is>
      </c>
      <c r="E267" s="13" t="inlineStr">
        <is>
          <t>3638153</t>
        </is>
      </c>
      <c r="F267" s="13" t="inlineStr">
        <is>
          <t>2020-10-15</t>
        </is>
      </c>
      <c r="G267" s="13" t="n">
        <v>250</v>
      </c>
      <c r="H267" s="13" t="inlineStr">
        <is>
          <t>Street address or PO box</t>
        </is>
      </c>
    </row>
    <row r="268">
      <c r="A268" s="13" t="inlineStr">
        <is>
          <t>H029</t>
        </is>
      </c>
      <c r="B268" s="13" t="inlineStr">
        <is>
          <t>Republican gift</t>
        </is>
      </c>
      <c r="C268" s="13" t="inlineStr">
        <is>
          <t>Friends of Christine Drazan</t>
        </is>
      </c>
      <c r="D268" s="13" t="inlineStr">
        <is>
          <t>19050</t>
        </is>
      </c>
      <c r="E268" s="13" t="inlineStr">
        <is>
          <t>5795169</t>
        </is>
      </c>
      <c r="F268" s="13" t="inlineStr">
        <is>
          <t>2026-09-04</t>
        </is>
      </c>
      <c r="G268" s="13" t="n">
        <v>250</v>
      </c>
      <c r="H268" s="13" t="inlineStr">
        <is>
          <t>Street address or PO box</t>
        </is>
      </c>
    </row>
    <row r="269">
      <c r="A269" s="13" t="inlineStr">
        <is>
          <t>H030</t>
        </is>
      </c>
      <c r="B269" s="13" t="inlineStr">
        <is>
          <t>Gift to a slate candidate</t>
        </is>
      </c>
      <c r="C269" s="13" t="inlineStr">
        <is>
          <t>Eli for Portland</t>
        </is>
      </c>
      <c r="D269" s="13" t="inlineStr">
        <is>
          <t>23295</t>
        </is>
      </c>
      <c r="E269" s="13" t="inlineStr">
        <is>
          <t>4926094</t>
        </is>
      </c>
      <c r="F269" s="13" t="inlineStr">
        <is>
          <t>2024-05-04</t>
        </is>
      </c>
      <c r="G269" s="13" t="n">
        <v>250</v>
      </c>
      <c r="H269" s="13" t="inlineStr"/>
    </row>
    <row r="270">
      <c r="A270" s="13" t="inlineStr">
        <is>
          <t>H030</t>
        </is>
      </c>
      <c r="B270" s="13" t="inlineStr">
        <is>
          <t>Republican gift</t>
        </is>
      </c>
      <c r="C270" s="13" t="inlineStr">
        <is>
          <t>Knute Buehler for Secretary of State</t>
        </is>
      </c>
      <c r="D270" s="13" t="inlineStr">
        <is>
          <t>15192</t>
        </is>
      </c>
      <c r="E270" s="13" t="inlineStr">
        <is>
          <t>1381781</t>
        </is>
      </c>
      <c r="F270" s="13" t="inlineStr">
        <is>
          <t>2012-10-15</t>
        </is>
      </c>
      <c r="G270" s="13" t="n">
        <v>500</v>
      </c>
      <c r="H270" s="13" t="inlineStr">
        <is>
          <t>Street address or PO box</t>
        </is>
      </c>
    </row>
    <row r="271">
      <c r="A271" s="13" t="inlineStr">
        <is>
          <t>H030</t>
        </is>
      </c>
      <c r="B271" s="13" t="inlineStr">
        <is>
          <t>Republican gift</t>
        </is>
      </c>
      <c r="C271" s="13" t="inlineStr">
        <is>
          <t>Knute Buehler for Secretary of State</t>
        </is>
      </c>
      <c r="D271" s="13" t="inlineStr">
        <is>
          <t>15192</t>
        </is>
      </c>
      <c r="E271" s="13" t="inlineStr">
        <is>
          <t>1398516</t>
        </is>
      </c>
      <c r="F271" s="13" t="inlineStr">
        <is>
          <t>2012-10-25</t>
        </is>
      </c>
      <c r="G271" s="13" t="n">
        <v>250</v>
      </c>
      <c r="H271" s="13" t="inlineStr">
        <is>
          <t>Street address or PO box</t>
        </is>
      </c>
    </row>
    <row r="272">
      <c r="A272" s="13" t="inlineStr">
        <is>
          <t>H030</t>
        </is>
      </c>
      <c r="B272" s="13" t="inlineStr">
        <is>
          <t>Republican gift</t>
        </is>
      </c>
      <c r="C272" s="13" t="inlineStr">
        <is>
          <t>Citizens to Elect Dennis Richardson</t>
        </is>
      </c>
      <c r="D272" s="13" t="inlineStr">
        <is>
          <t>4155</t>
        </is>
      </c>
      <c r="E272" s="13" t="inlineStr">
        <is>
          <t>1798136</t>
        </is>
      </c>
      <c r="F272" s="13" t="inlineStr">
        <is>
          <t>2014-08-20</t>
        </is>
      </c>
      <c r="G272" s="13" t="n">
        <v>2000</v>
      </c>
      <c r="H272" s="13" t="inlineStr">
        <is>
          <t>Street address or PO box</t>
        </is>
      </c>
    </row>
    <row r="273">
      <c r="A273" s="13" t="inlineStr">
        <is>
          <t>H030</t>
        </is>
      </c>
      <c r="B273" s="13" t="inlineStr">
        <is>
          <t>Republican gift</t>
        </is>
      </c>
      <c r="C273" s="13" t="inlineStr">
        <is>
          <t>Knute for Governor</t>
        </is>
      </c>
      <c r="D273" s="13" t="inlineStr">
        <is>
          <t>15192</t>
        </is>
      </c>
      <c r="E273" s="13" t="inlineStr">
        <is>
          <t>2888905</t>
        </is>
      </c>
      <c r="F273" s="13" t="inlineStr">
        <is>
          <t>2018-07-07</t>
        </is>
      </c>
      <c r="G273" s="13" t="n">
        <v>5000</v>
      </c>
      <c r="H273" s="13" t="inlineStr">
        <is>
          <t>Street address or PO box</t>
        </is>
      </c>
    </row>
    <row r="274">
      <c r="A274" s="13" t="inlineStr">
        <is>
          <t>H030</t>
        </is>
      </c>
      <c r="B274" s="13" t="inlineStr">
        <is>
          <t>Republican gift</t>
        </is>
      </c>
      <c r="C274" s="13" t="inlineStr">
        <is>
          <t>Knute for Governor</t>
        </is>
      </c>
      <c r="D274" s="13" t="inlineStr">
        <is>
          <t>15192</t>
        </is>
      </c>
      <c r="E274" s="13" t="inlineStr">
        <is>
          <t>2985679</t>
        </is>
      </c>
      <c r="F274" s="13" t="inlineStr">
        <is>
          <t>2018-09-27</t>
        </is>
      </c>
      <c r="G274" s="13" t="n">
        <v>9000</v>
      </c>
      <c r="H274" s="13" t="inlineStr">
        <is>
          <t>Street address or PO box</t>
        </is>
      </c>
    </row>
    <row r="275">
      <c r="A275" s="13" t="inlineStr">
        <is>
          <t>H030</t>
        </is>
      </c>
      <c r="B275" s="13" t="inlineStr">
        <is>
          <t>Republican gift</t>
        </is>
      </c>
      <c r="C275" s="13" t="inlineStr">
        <is>
          <t>Knute for Governor</t>
        </is>
      </c>
      <c r="D275" s="13" t="inlineStr">
        <is>
          <t>15192</t>
        </is>
      </c>
      <c r="E275" s="13" t="inlineStr">
        <is>
          <t>3012966</t>
        </is>
      </c>
      <c r="F275" s="13" t="inlineStr">
        <is>
          <t>2018-10-03</t>
        </is>
      </c>
      <c r="G275" s="13" t="n">
        <v>20000</v>
      </c>
      <c r="H275" s="13" t="inlineStr">
        <is>
          <t>Street address or PO box</t>
        </is>
      </c>
    </row>
    <row r="276">
      <c r="A276" s="13" t="inlineStr">
        <is>
          <t>H030</t>
        </is>
      </c>
      <c r="B276" s="13" t="inlineStr">
        <is>
          <t>Republican gift</t>
        </is>
      </c>
      <c r="C276" s="13" t="inlineStr">
        <is>
          <t>Friends of Christine Drazan</t>
        </is>
      </c>
      <c r="D276" s="13" t="inlineStr">
        <is>
          <t>19050</t>
        </is>
      </c>
      <c r="E276" s="13" t="inlineStr">
        <is>
          <t>4397781</t>
        </is>
      </c>
      <c r="F276" s="13" t="inlineStr">
        <is>
          <t>2022-10-30</t>
        </is>
      </c>
      <c r="G276" s="13" t="n">
        <v>500</v>
      </c>
      <c r="H276" s="13" t="inlineStr">
        <is>
          <t>Street address or PO box</t>
        </is>
      </c>
    </row>
    <row r="277">
      <c r="A277" s="13" t="inlineStr">
        <is>
          <t>H031</t>
        </is>
      </c>
      <c r="B277" s="13" t="inlineStr">
        <is>
          <t>Gift to a slate candidate</t>
        </is>
      </c>
      <c r="C277" s="13" t="inlineStr">
        <is>
          <t>Friends of Julia Brim-Edwards</t>
        </is>
      </c>
      <c r="D277" s="13" t="inlineStr">
        <is>
          <t>21206</t>
        </is>
      </c>
      <c r="E277" s="13" t="inlineStr">
        <is>
          <t>4530557</t>
        </is>
      </c>
      <c r="F277" s="13" t="inlineStr">
        <is>
          <t>2023-03-13</t>
        </is>
      </c>
      <c r="G277" s="13" t="n">
        <v>250</v>
      </c>
      <c r="H277" s="13" t="inlineStr"/>
    </row>
    <row r="278">
      <c r="A278" s="13" t="inlineStr">
        <is>
          <t>H031</t>
        </is>
      </c>
      <c r="B278" s="13" t="inlineStr">
        <is>
          <t>Gift to a slate candidate</t>
        </is>
      </c>
      <c r="C278" s="13" t="inlineStr">
        <is>
          <t>Novick for Portland</t>
        </is>
      </c>
      <c r="D278" s="13" t="inlineStr">
        <is>
          <t>15109</t>
        </is>
      </c>
      <c r="E278" s="13" t="inlineStr">
        <is>
          <t>4813722</t>
        </is>
      </c>
      <c r="F278" s="13" t="inlineStr">
        <is>
          <t>2024-03-07</t>
        </is>
      </c>
      <c r="G278" s="13" t="n">
        <v>250</v>
      </c>
      <c r="H278" s="13" t="inlineStr"/>
    </row>
    <row r="279">
      <c r="A279" s="13" t="inlineStr">
        <is>
          <t>H031</t>
        </is>
      </c>
      <c r="B279" s="13" t="inlineStr">
        <is>
          <t>Gift to a slate candidate</t>
        </is>
      </c>
      <c r="C279" s="13" t="inlineStr">
        <is>
          <t>Friends of Julia Brim-Edwards</t>
        </is>
      </c>
      <c r="D279" s="13" t="inlineStr">
        <is>
          <t>21206</t>
        </is>
      </c>
      <c r="E279" s="13" t="inlineStr">
        <is>
          <t>4853139</t>
        </is>
      </c>
      <c r="F279" s="13" t="inlineStr">
        <is>
          <t>2024-04-08</t>
        </is>
      </c>
      <c r="G279" s="13" t="n">
        <v>250</v>
      </c>
      <c r="H279" s="13" t="inlineStr"/>
    </row>
    <row r="280">
      <c r="A280" s="13" t="inlineStr">
        <is>
          <t>H031</t>
        </is>
      </c>
      <c r="B280" s="13" t="inlineStr">
        <is>
          <t>Gift to a slate candidate</t>
        </is>
      </c>
      <c r="C280" s="13" t="inlineStr">
        <is>
          <t>Friends of Olivia</t>
        </is>
      </c>
      <c r="D280" s="13" t="inlineStr">
        <is>
          <t>23199</t>
        </is>
      </c>
      <c r="E280" s="13" t="inlineStr">
        <is>
          <t>4907904</t>
        </is>
      </c>
      <c r="F280" s="13" t="inlineStr">
        <is>
          <t>2024-05-06</t>
        </is>
      </c>
      <c r="G280" s="13" t="n">
        <v>250</v>
      </c>
      <c r="H280" s="13" t="inlineStr"/>
    </row>
    <row r="281">
      <c r="A281" s="13" t="inlineStr">
        <is>
          <t>H031</t>
        </is>
      </c>
      <c r="B281" s="13" t="inlineStr">
        <is>
          <t>Gift to a slate candidate</t>
        </is>
      </c>
      <c r="C281" s="13" t="inlineStr">
        <is>
          <t>Novick for Portland</t>
        </is>
      </c>
      <c r="D281" s="13" t="inlineStr">
        <is>
          <t>15109</t>
        </is>
      </c>
      <c r="E281" s="13" t="inlineStr">
        <is>
          <t>5080567</t>
        </is>
      </c>
      <c r="F281" s="13" t="inlineStr">
        <is>
          <t>2024-10-02</t>
        </is>
      </c>
      <c r="G281" s="13" t="n">
        <v>250</v>
      </c>
      <c r="H281" s="13" t="inlineStr"/>
    </row>
    <row r="282">
      <c r="A282" s="13" t="inlineStr">
        <is>
          <t>H031</t>
        </is>
      </c>
      <c r="B282" s="13" t="inlineStr">
        <is>
          <t>Gift to a slate candidate</t>
        </is>
      </c>
      <c r="C282" s="13" t="inlineStr">
        <is>
          <t>Novick for Portland</t>
        </is>
      </c>
      <c r="D282" s="13" t="inlineStr">
        <is>
          <t>15109</t>
        </is>
      </c>
      <c r="E282" s="13" t="inlineStr">
        <is>
          <t>5503410</t>
        </is>
      </c>
      <c r="F282" s="13" t="inlineStr">
        <is>
          <t>2026-01-05</t>
        </is>
      </c>
      <c r="G282" s="13" t="n">
        <v>250</v>
      </c>
      <c r="H282" s="13" t="inlineStr"/>
    </row>
    <row r="283">
      <c r="A283" s="13" t="inlineStr">
        <is>
          <t>H031</t>
        </is>
      </c>
      <c r="B283" s="13" t="inlineStr">
        <is>
          <t>Gift to a slate candidate</t>
        </is>
      </c>
      <c r="C283" s="13" t="inlineStr">
        <is>
          <t>Friends of Julia Brim-Edwards</t>
        </is>
      </c>
      <c r="D283" s="13" t="inlineStr">
        <is>
          <t>21206</t>
        </is>
      </c>
      <c r="E283" s="13" t="inlineStr">
        <is>
          <t>5555028</t>
        </is>
      </c>
      <c r="F283" s="13" t="inlineStr">
        <is>
          <t>2026-02-12</t>
        </is>
      </c>
      <c r="G283" s="13" t="n">
        <v>500</v>
      </c>
      <c r="H283" s="13" t="inlineStr"/>
    </row>
    <row r="284">
      <c r="A284" s="13" t="inlineStr">
        <is>
          <t>H031</t>
        </is>
      </c>
      <c r="B284" s="13" t="inlineStr">
        <is>
          <t>Gift to a slate candidate</t>
        </is>
      </c>
      <c r="C284" s="13" t="inlineStr">
        <is>
          <t>Friends of Olivia</t>
        </is>
      </c>
      <c r="D284" s="13" t="inlineStr">
        <is>
          <t>23199</t>
        </is>
      </c>
      <c r="E284" s="13" t="inlineStr">
        <is>
          <t>5844271</t>
        </is>
      </c>
      <c r="F284" s="13" t="inlineStr">
        <is>
          <t>2026-09-22</t>
        </is>
      </c>
      <c r="G284" s="13" t="n">
        <v>250</v>
      </c>
      <c r="H284" s="13" t="inlineStr"/>
    </row>
    <row r="285">
      <c r="A285" s="13" t="inlineStr">
        <is>
          <t>H031</t>
        </is>
      </c>
      <c r="B285" s="13" t="inlineStr">
        <is>
          <t>Gift to a slate candidate</t>
        </is>
      </c>
      <c r="C285" s="13" t="inlineStr">
        <is>
          <t>Eli for Portland</t>
        </is>
      </c>
      <c r="D285" s="13" t="inlineStr">
        <is>
          <t>23295</t>
        </is>
      </c>
      <c r="E285" s="13" t="inlineStr">
        <is>
          <t>5865555</t>
        </is>
      </c>
      <c r="F285" s="13" t="inlineStr">
        <is>
          <t>2026-10-04</t>
        </is>
      </c>
      <c r="G285" s="13" t="n">
        <v>250</v>
      </c>
      <c r="H285" s="13" t="inlineStr"/>
    </row>
    <row r="286">
      <c r="A286" s="13" t="inlineStr">
        <is>
          <t>H031</t>
        </is>
      </c>
      <c r="B286" s="13" t="inlineStr">
        <is>
          <t>Republican gift</t>
        </is>
      </c>
      <c r="C286" s="13" t="inlineStr">
        <is>
          <t>Friends of Jeff Helfrich</t>
        </is>
      </c>
      <c r="D286" s="13" t="inlineStr">
        <is>
          <t>15984</t>
        </is>
      </c>
      <c r="E286" s="13" t="inlineStr">
        <is>
          <t>1379009</t>
        </is>
      </c>
      <c r="F286" s="13" t="inlineStr">
        <is>
          <t>2012-10-16</t>
        </is>
      </c>
      <c r="G286" s="13" t="n">
        <v>250</v>
      </c>
      <c r="H286" s="13" t="inlineStr">
        <is>
          <t>Street address or PO box</t>
        </is>
      </c>
    </row>
    <row r="287">
      <c r="A287" s="13" t="inlineStr">
        <is>
          <t>H031</t>
        </is>
      </c>
      <c r="B287" s="13" t="inlineStr">
        <is>
          <t>Republican gift</t>
        </is>
      </c>
      <c r="C287" s="13" t="inlineStr">
        <is>
          <t>Friends of Jeff Helfrich</t>
        </is>
      </c>
      <c r="D287" s="13" t="inlineStr">
        <is>
          <t>15984</t>
        </is>
      </c>
      <c r="E287" s="13" t="inlineStr">
        <is>
          <t>5516614</t>
        </is>
      </c>
      <c r="F287" s="13" t="inlineStr">
        <is>
          <t>2026-01-05</t>
        </is>
      </c>
      <c r="G287" s="13" t="n">
        <v>250</v>
      </c>
      <c r="H287" s="13" t="inlineStr">
        <is>
          <t>Street address or PO box</t>
        </is>
      </c>
    </row>
    <row r="288">
      <c r="A288" s="13" t="inlineStr">
        <is>
          <t>H032</t>
        </is>
      </c>
      <c r="B288" s="13" t="inlineStr">
        <is>
          <t>Gift to a slate candidate</t>
        </is>
      </c>
      <c r="C288" s="13" t="inlineStr">
        <is>
          <t>Friends of Julia Brim-Edwards</t>
        </is>
      </c>
      <c r="D288" s="13" t="inlineStr">
        <is>
          <t>21206</t>
        </is>
      </c>
      <c r="E288" s="13" t="inlineStr">
        <is>
          <t>5627280</t>
        </is>
      </c>
      <c r="F288" s="13" t="inlineStr">
        <is>
          <t>2026-03-30</t>
        </is>
      </c>
      <c r="G288" s="13" t="n">
        <v>250</v>
      </c>
      <c r="H288" s="13" t="inlineStr"/>
    </row>
    <row r="289">
      <c r="A289" s="13" t="inlineStr">
        <is>
          <t>H032</t>
        </is>
      </c>
      <c r="B289" s="13" t="inlineStr">
        <is>
          <t>Republican gift</t>
        </is>
      </c>
      <c r="C289" s="13" t="inlineStr">
        <is>
          <t>Knute Buehler for Secretary of State</t>
        </is>
      </c>
      <c r="D289" s="13" t="inlineStr">
        <is>
          <t>15192</t>
        </is>
      </c>
      <c r="E289" s="13" t="inlineStr">
        <is>
          <t>1414427</t>
        </is>
      </c>
      <c r="F289" s="13" t="inlineStr">
        <is>
          <t>2012-11-01</t>
        </is>
      </c>
      <c r="G289" s="13" t="n">
        <v>500</v>
      </c>
      <c r="H289" s="13" t="inlineStr">
        <is>
          <t>ZIP + employer</t>
        </is>
      </c>
    </row>
    <row r="290">
      <c r="A290" s="13" t="inlineStr">
        <is>
          <t>H033</t>
        </is>
      </c>
      <c r="B290" s="13" t="inlineStr">
        <is>
          <t>Gift to a slate candidate</t>
        </is>
      </c>
      <c r="C290" s="13" t="inlineStr">
        <is>
          <t>Friends of Julia Brim-Edwards</t>
        </is>
      </c>
      <c r="D290" s="13" t="inlineStr">
        <is>
          <t>21206</t>
        </is>
      </c>
      <c r="E290" s="13" t="inlineStr">
        <is>
          <t>4530484</t>
        </is>
      </c>
      <c r="F290" s="13" t="inlineStr">
        <is>
          <t>2023-03-06</t>
        </is>
      </c>
      <c r="G290" s="13" t="n">
        <v>500</v>
      </c>
      <c r="H290" s="13" t="inlineStr"/>
    </row>
    <row r="291">
      <c r="A291" s="13" t="inlineStr">
        <is>
          <t>H033</t>
        </is>
      </c>
      <c r="B291" s="13" t="inlineStr">
        <is>
          <t>Gift to a slate candidate</t>
        </is>
      </c>
      <c r="C291" s="13" t="inlineStr">
        <is>
          <t>Friends of Julia Brim-Edwards</t>
        </is>
      </c>
      <c r="D291" s="13" t="inlineStr">
        <is>
          <t>21206</t>
        </is>
      </c>
      <c r="E291" s="13" t="inlineStr">
        <is>
          <t>5497844</t>
        </is>
      </c>
      <c r="F291" s="13" t="inlineStr">
        <is>
          <t>2025-12-11</t>
        </is>
      </c>
      <c r="G291" s="13" t="n">
        <v>500</v>
      </c>
      <c r="H291" s="13" t="inlineStr"/>
    </row>
    <row r="292">
      <c r="A292" s="13" t="inlineStr">
        <is>
          <t>H033</t>
        </is>
      </c>
      <c r="B292" s="13" t="inlineStr">
        <is>
          <t>Gift to a slate candidate</t>
        </is>
      </c>
      <c r="C292" s="13" t="inlineStr">
        <is>
          <t>Friends of Eric Zimmerman</t>
        </is>
      </c>
      <c r="D292" s="13" t="inlineStr">
        <is>
          <t>17629</t>
        </is>
      </c>
      <c r="E292" s="13" t="inlineStr">
        <is>
          <t>5679849</t>
        </is>
      </c>
      <c r="F292" s="13" t="inlineStr">
        <is>
          <t>2026-05-07</t>
        </is>
      </c>
      <c r="G292" s="13" t="n">
        <v>250</v>
      </c>
      <c r="H292" s="13" t="inlineStr"/>
    </row>
    <row r="293">
      <c r="A293" s="13" t="inlineStr">
        <is>
          <t>H033</t>
        </is>
      </c>
      <c r="B293" s="13" t="inlineStr">
        <is>
          <t>Gift to a slate candidate</t>
        </is>
      </c>
      <c r="C293" s="13" t="inlineStr">
        <is>
          <t>Novick for Portland</t>
        </is>
      </c>
      <c r="D293" s="13" t="inlineStr">
        <is>
          <t>15109</t>
        </is>
      </c>
      <c r="E293" s="13" t="inlineStr">
        <is>
          <t>5830354</t>
        </is>
      </c>
      <c r="F293" s="13" t="inlineStr">
        <is>
          <t>2026-09-16</t>
        </is>
      </c>
      <c r="G293" s="13" t="n">
        <v>250</v>
      </c>
      <c r="H293" s="13" t="inlineStr"/>
    </row>
    <row r="294">
      <c r="A294" s="13" t="inlineStr">
        <is>
          <t>H033</t>
        </is>
      </c>
      <c r="B294" s="13" t="inlineStr">
        <is>
          <t>Gift to a slate candidate</t>
        </is>
      </c>
      <c r="C294" s="13" t="inlineStr">
        <is>
          <t>Friends of Olivia</t>
        </is>
      </c>
      <c r="D294" s="13" t="inlineStr">
        <is>
          <t>23199</t>
        </is>
      </c>
      <c r="E294" s="13" t="inlineStr">
        <is>
          <t>5844238</t>
        </is>
      </c>
      <c r="F294" s="13" t="inlineStr">
        <is>
          <t>2026-09-16</t>
        </is>
      </c>
      <c r="G294" s="13" t="n">
        <v>250</v>
      </c>
      <c r="H294" s="13" t="inlineStr"/>
    </row>
    <row r="295">
      <c r="A295" s="13" t="inlineStr">
        <is>
          <t>H033</t>
        </is>
      </c>
      <c r="B295" s="13" t="inlineStr">
        <is>
          <t>Gift to a slate candidate</t>
        </is>
      </c>
      <c r="C295" s="13" t="inlineStr">
        <is>
          <t>Eli for Portland</t>
        </is>
      </c>
      <c r="D295" s="13" t="inlineStr">
        <is>
          <t>23295</t>
        </is>
      </c>
      <c r="E295" s="13" t="inlineStr">
        <is>
          <t>5821161</t>
        </is>
      </c>
      <c r="F295" s="13" t="inlineStr">
        <is>
          <t>2026-09-16</t>
        </is>
      </c>
      <c r="G295" s="13" t="n">
        <v>250</v>
      </c>
      <c r="H295" s="13" t="inlineStr"/>
    </row>
    <row r="296">
      <c r="A296" s="13" t="inlineStr">
        <is>
          <t>H033</t>
        </is>
      </c>
      <c r="B296" s="13" t="inlineStr">
        <is>
          <t>Gift to a slate candidate</t>
        </is>
      </c>
      <c r="C296" s="13" t="inlineStr">
        <is>
          <t>Kellie Torres for Portland</t>
        </is>
      </c>
      <c r="D296" s="13" t="inlineStr">
        <is>
          <t>24897</t>
        </is>
      </c>
      <c r="E296" s="13" t="inlineStr">
        <is>
          <t>5846650</t>
        </is>
      </c>
      <c r="F296" s="13" t="inlineStr">
        <is>
          <t>2026-09-20</t>
        </is>
      </c>
      <c r="G296" s="13" t="n">
        <v>250</v>
      </c>
      <c r="H296" s="13" t="inlineStr"/>
    </row>
    <row r="297">
      <c r="A297" s="13" t="inlineStr">
        <is>
          <t>H033</t>
        </is>
      </c>
      <c r="B297" s="13" t="inlineStr">
        <is>
          <t>Republican gift</t>
        </is>
      </c>
      <c r="C297" s="13" t="inlineStr">
        <is>
          <t>Bruce Starr for State Senate Committee</t>
        </is>
      </c>
      <c r="D297" s="13" t="inlineStr">
        <is>
          <t>2752</t>
        </is>
      </c>
      <c r="E297" s="13" t="inlineStr">
        <is>
          <t>1797354</t>
        </is>
      </c>
      <c r="F297" s="13" t="inlineStr">
        <is>
          <t>2014-07-26</t>
        </is>
      </c>
      <c r="G297" s="13" t="n">
        <v>250</v>
      </c>
      <c r="H297" s="13" t="inlineStr">
        <is>
          <t>Hand review</t>
        </is>
      </c>
    </row>
    <row r="298">
      <c r="A298" s="13" t="inlineStr">
        <is>
          <t>H034</t>
        </is>
      </c>
      <c r="B298" s="13" t="inlineStr">
        <is>
          <t>Gift to a slate candidate</t>
        </is>
      </c>
      <c r="C298" s="13" t="inlineStr">
        <is>
          <t>Friends of Julia Brim-Edwards</t>
        </is>
      </c>
      <c r="D298" s="13" t="inlineStr">
        <is>
          <t>21206</t>
        </is>
      </c>
      <c r="E298" s="13" t="inlineStr">
        <is>
          <t>4574705</t>
        </is>
      </c>
      <c r="F298" s="13" t="inlineStr">
        <is>
          <t>2023-05-09</t>
        </is>
      </c>
      <c r="G298" s="13" t="n">
        <v>500</v>
      </c>
      <c r="H298" s="13" t="inlineStr"/>
    </row>
    <row r="299">
      <c r="A299" s="13" t="inlineStr">
        <is>
          <t>H034</t>
        </is>
      </c>
      <c r="B299" s="13" t="inlineStr">
        <is>
          <t>Republican gift</t>
        </is>
      </c>
      <c r="C299" s="13" t="inlineStr">
        <is>
          <t>Bruce Starr for State Senate Committee</t>
        </is>
      </c>
      <c r="D299" s="13" t="inlineStr">
        <is>
          <t>2752</t>
        </is>
      </c>
      <c r="E299" s="13" t="inlineStr">
        <is>
          <t>1856576</t>
        </is>
      </c>
      <c r="F299" s="13" t="inlineStr">
        <is>
          <t>2014-10-01</t>
        </is>
      </c>
      <c r="G299" s="13" t="n">
        <v>1000</v>
      </c>
      <c r="H299" s="13" t="inlineStr">
        <is>
          <t>Street address or PO box</t>
        </is>
      </c>
    </row>
    <row r="300">
      <c r="A300" s="13" t="inlineStr">
        <is>
          <t>H035</t>
        </is>
      </c>
      <c r="B300" s="13" t="inlineStr">
        <is>
          <t>Gift to a slate candidate</t>
        </is>
      </c>
      <c r="C300" s="13" t="inlineStr">
        <is>
          <t>Friends of Julia Brim-Edwards</t>
        </is>
      </c>
      <c r="D300" s="13" t="inlineStr">
        <is>
          <t>21206</t>
        </is>
      </c>
      <c r="E300" s="13" t="inlineStr">
        <is>
          <t>4551187</t>
        </is>
      </c>
      <c r="F300" s="13" t="inlineStr">
        <is>
          <t>2023-04-04</t>
        </is>
      </c>
      <c r="G300" s="13" t="n">
        <v>500</v>
      </c>
      <c r="H300" s="13" t="inlineStr"/>
    </row>
    <row r="301">
      <c r="A301" s="13" t="inlineStr">
        <is>
          <t>H035</t>
        </is>
      </c>
      <c r="B301" s="13" t="inlineStr">
        <is>
          <t>Gift to a slate candidate</t>
        </is>
      </c>
      <c r="C301" s="13" t="inlineStr">
        <is>
          <t>Novick for Portland</t>
        </is>
      </c>
      <c r="D301" s="13" t="inlineStr">
        <is>
          <t>15109</t>
        </is>
      </c>
      <c r="E301" s="13" t="inlineStr">
        <is>
          <t>4725902</t>
        </is>
      </c>
      <c r="F301" s="13" t="inlineStr">
        <is>
          <t>2023-12-15</t>
        </is>
      </c>
      <c r="G301" s="13" t="n">
        <v>250</v>
      </c>
      <c r="H301" s="13" t="inlineStr"/>
    </row>
    <row r="302">
      <c r="A302" s="13" t="inlineStr">
        <is>
          <t>H035</t>
        </is>
      </c>
      <c r="B302" s="13" t="inlineStr">
        <is>
          <t>Gift to a slate candidate</t>
        </is>
      </c>
      <c r="C302" s="13" t="inlineStr">
        <is>
          <t>Friends of Olivia</t>
        </is>
      </c>
      <c r="D302" s="13" t="inlineStr">
        <is>
          <t>23199</t>
        </is>
      </c>
      <c r="E302" s="13" t="inlineStr">
        <is>
          <t>5473723</t>
        </is>
      </c>
      <c r="F302" s="13" t="inlineStr">
        <is>
          <t>2025-12-05</t>
        </is>
      </c>
      <c r="G302" s="13" t="n">
        <v>250</v>
      </c>
      <c r="H302" s="13" t="inlineStr"/>
    </row>
    <row r="303">
      <c r="A303" s="13" t="inlineStr">
        <is>
          <t>H035</t>
        </is>
      </c>
      <c r="B303" s="13" t="inlineStr">
        <is>
          <t>Gift to a slate candidate</t>
        </is>
      </c>
      <c r="C303" s="13" t="inlineStr">
        <is>
          <t>Eli for Portland</t>
        </is>
      </c>
      <c r="D303" s="13" t="inlineStr">
        <is>
          <t>23295</t>
        </is>
      </c>
      <c r="E303" s="13" t="inlineStr">
        <is>
          <t>5554616</t>
        </is>
      </c>
      <c r="F303" s="13" t="inlineStr">
        <is>
          <t>2026-02-02</t>
        </is>
      </c>
      <c r="G303" s="13" t="n">
        <v>250</v>
      </c>
      <c r="H303" s="13" t="inlineStr"/>
    </row>
    <row r="304">
      <c r="A304" s="13" t="inlineStr">
        <is>
          <t>H035</t>
        </is>
      </c>
      <c r="B304" s="13" t="inlineStr">
        <is>
          <t>Gift to a slate candidate</t>
        </is>
      </c>
      <c r="C304" s="13" t="inlineStr">
        <is>
          <t>Friends of Julia Brim-Edwards</t>
        </is>
      </c>
      <c r="D304" s="13" t="inlineStr">
        <is>
          <t>21206</t>
        </is>
      </c>
      <c r="E304" s="13" t="inlineStr">
        <is>
          <t>5555055</t>
        </is>
      </c>
      <c r="F304" s="13" t="inlineStr">
        <is>
          <t>2026-02-17</t>
        </is>
      </c>
      <c r="G304" s="13" t="n">
        <v>500</v>
      </c>
      <c r="H304" s="13" t="inlineStr"/>
    </row>
    <row r="305">
      <c r="A305" s="13" t="inlineStr">
        <is>
          <t>H035</t>
        </is>
      </c>
      <c r="B305" s="13" t="inlineStr">
        <is>
          <t>Gift to a slate candidate</t>
        </is>
      </c>
      <c r="C305" s="13" t="inlineStr">
        <is>
          <t>Kellie Torres for Portland</t>
        </is>
      </c>
      <c r="D305" s="13" t="inlineStr">
        <is>
          <t>24897</t>
        </is>
      </c>
      <c r="E305" s="13" t="inlineStr">
        <is>
          <t>5633829</t>
        </is>
      </c>
      <c r="F305" s="13" t="inlineStr">
        <is>
          <t>2026-04-19</t>
        </is>
      </c>
      <c r="G305" s="13" t="n">
        <v>250</v>
      </c>
      <c r="H305" s="13" t="inlineStr"/>
    </row>
    <row r="306">
      <c r="A306" s="13" t="inlineStr">
        <is>
          <t>H035</t>
        </is>
      </c>
      <c r="B306" s="13" t="inlineStr">
        <is>
          <t>Gift to a slate candidate</t>
        </is>
      </c>
      <c r="C306" s="13" t="inlineStr">
        <is>
          <t>Novick for Portland</t>
        </is>
      </c>
      <c r="D306" s="13" t="inlineStr">
        <is>
          <t>15109</t>
        </is>
      </c>
      <c r="E306" s="13" t="inlineStr">
        <is>
          <t>5685083</t>
        </is>
      </c>
      <c r="F306" s="13" t="inlineStr">
        <is>
          <t>2026-06-04</t>
        </is>
      </c>
      <c r="G306" s="13" t="n">
        <v>250</v>
      </c>
      <c r="H306" s="13" t="inlineStr"/>
    </row>
    <row r="307">
      <c r="A307" s="13" t="inlineStr">
        <is>
          <t>H035</t>
        </is>
      </c>
      <c r="B307" s="13" t="inlineStr">
        <is>
          <t>Gift to a slate candidate</t>
        </is>
      </c>
      <c r="C307" s="13" t="inlineStr">
        <is>
          <t>Friends of Eric Zimmerman</t>
        </is>
      </c>
      <c r="D307" s="13" t="inlineStr">
        <is>
          <t>17629</t>
        </is>
      </c>
      <c r="E307" s="13" t="inlineStr">
        <is>
          <t>5778131</t>
        </is>
      </c>
      <c r="F307" s="13" t="inlineStr">
        <is>
          <t>2026-08-21</t>
        </is>
      </c>
      <c r="G307" s="13" t="n">
        <v>250</v>
      </c>
      <c r="H307" s="13" t="inlineStr"/>
    </row>
    <row r="308">
      <c r="A308" s="13" t="inlineStr">
        <is>
          <t>H035</t>
        </is>
      </c>
      <c r="B308" s="13" t="inlineStr">
        <is>
          <t>Gift to a slate candidate</t>
        </is>
      </c>
      <c r="C308" s="13" t="inlineStr">
        <is>
          <t>Eli for Portland</t>
        </is>
      </c>
      <c r="D308" s="13" t="inlineStr">
        <is>
          <t>23295</t>
        </is>
      </c>
      <c r="E308" s="13" t="inlineStr">
        <is>
          <t>5850163</t>
        </is>
      </c>
      <c r="F308" s="13" t="inlineStr">
        <is>
          <t>2026-09-29</t>
        </is>
      </c>
      <c r="G308" s="13" t="n">
        <v>250</v>
      </c>
      <c r="H308" s="13" t="inlineStr"/>
    </row>
    <row r="309">
      <c r="A309" s="13" t="inlineStr">
        <is>
          <t>H035</t>
        </is>
      </c>
      <c r="B309" s="13" t="inlineStr">
        <is>
          <t>Republican gift</t>
        </is>
      </c>
      <c r="C309" s="13" t="inlineStr">
        <is>
          <t>Bruce Starr for State Senate Committee</t>
        </is>
      </c>
      <c r="D309" s="13" t="inlineStr">
        <is>
          <t>2752</t>
        </is>
      </c>
      <c r="E309" s="13" t="inlineStr">
        <is>
          <t>1873970</t>
        </is>
      </c>
      <c r="F309" s="13" t="inlineStr">
        <is>
          <t>2014-10-09</t>
        </is>
      </c>
      <c r="G309" s="13" t="n">
        <v>250</v>
      </c>
      <c r="H309" s="13" t="inlineStr">
        <is>
          <t>Street address or PO box</t>
        </is>
      </c>
    </row>
    <row r="310">
      <c r="A310" s="13" t="inlineStr">
        <is>
          <t>H036</t>
        </is>
      </c>
      <c r="B310" s="13" t="inlineStr">
        <is>
          <t>Gift to a slate candidate</t>
        </is>
      </c>
      <c r="C310" s="13" t="inlineStr">
        <is>
          <t>Novick for Portland</t>
        </is>
      </c>
      <c r="D310" s="13" t="inlineStr">
        <is>
          <t>15109</t>
        </is>
      </c>
      <c r="E310" s="13" t="inlineStr">
        <is>
          <t>4865093</t>
        </is>
      </c>
      <c r="F310" s="13" t="inlineStr">
        <is>
          <t>2024-04-22</t>
        </is>
      </c>
      <c r="G310" s="13" t="n">
        <v>250</v>
      </c>
      <c r="H310" s="13" t="inlineStr"/>
    </row>
    <row r="311">
      <c r="A311" s="13" t="inlineStr">
        <is>
          <t>H036</t>
        </is>
      </c>
      <c r="B311" s="13" t="inlineStr">
        <is>
          <t>Republican gift</t>
        </is>
      </c>
      <c r="C311" s="13" t="inlineStr">
        <is>
          <t>Citizens to Elect Dennis Richardson</t>
        </is>
      </c>
      <c r="D311" s="13" t="inlineStr">
        <is>
          <t>4155</t>
        </is>
      </c>
      <c r="E311" s="13" t="inlineStr">
        <is>
          <t>1868276</t>
        </is>
      </c>
      <c r="F311" s="13" t="inlineStr">
        <is>
          <t>2014-10-13</t>
        </is>
      </c>
      <c r="G311" s="13" t="n">
        <v>250</v>
      </c>
      <c r="H311" s="13" t="inlineStr">
        <is>
          <t>Street address or PO box</t>
        </is>
      </c>
    </row>
    <row r="312">
      <c r="A312" s="13" t="inlineStr">
        <is>
          <t>H037</t>
        </is>
      </c>
      <c r="B312" s="13" t="inlineStr">
        <is>
          <t>Gift to a slate candidate</t>
        </is>
      </c>
      <c r="C312" s="13" t="inlineStr">
        <is>
          <t>Friends of Julia Brim-Edwards</t>
        </is>
      </c>
      <c r="D312" s="13" t="inlineStr">
        <is>
          <t>21206</t>
        </is>
      </c>
      <c r="E312" s="13" t="inlineStr">
        <is>
          <t>4530522</t>
        </is>
      </c>
      <c r="F312" s="13" t="inlineStr">
        <is>
          <t>2023-03-15</t>
        </is>
      </c>
      <c r="G312" s="13" t="n">
        <v>500</v>
      </c>
      <c r="H312" s="13" t="inlineStr"/>
    </row>
    <row r="313">
      <c r="A313" s="13" t="inlineStr">
        <is>
          <t>H037</t>
        </is>
      </c>
      <c r="B313" s="13" t="inlineStr">
        <is>
          <t>Gift to a slate candidate</t>
        </is>
      </c>
      <c r="C313" s="13" t="inlineStr">
        <is>
          <t>Friends of Julia Brim-Edwards</t>
        </is>
      </c>
      <c r="D313" s="13" t="inlineStr">
        <is>
          <t>21206</t>
        </is>
      </c>
      <c r="E313" s="13" t="inlineStr">
        <is>
          <t>4853068</t>
        </is>
      </c>
      <c r="F313" s="13" t="inlineStr">
        <is>
          <t>2024-04-01</t>
        </is>
      </c>
      <c r="G313" s="13" t="n">
        <v>500</v>
      </c>
      <c r="H313" s="13" t="inlineStr"/>
    </row>
    <row r="314">
      <c r="A314" s="13" t="inlineStr">
        <is>
          <t>H037</t>
        </is>
      </c>
      <c r="B314" s="13" t="inlineStr">
        <is>
          <t>Gift to a slate candidate</t>
        </is>
      </c>
      <c r="C314" s="13" t="inlineStr">
        <is>
          <t>Friends of Julia Brim-Edwards</t>
        </is>
      </c>
      <c r="D314" s="13" t="inlineStr">
        <is>
          <t>21206</t>
        </is>
      </c>
      <c r="E314" s="13" t="inlineStr">
        <is>
          <t>5554984</t>
        </is>
      </c>
      <c r="F314" s="13" t="inlineStr">
        <is>
          <t>2026-02-10</t>
        </is>
      </c>
      <c r="G314" s="13" t="n">
        <v>500</v>
      </c>
      <c r="H314" s="13" t="inlineStr"/>
    </row>
    <row r="315">
      <c r="A315" s="13" t="inlineStr">
        <is>
          <t>H037</t>
        </is>
      </c>
      <c r="B315" s="13" t="inlineStr">
        <is>
          <t>Gift to a slate candidate</t>
        </is>
      </c>
      <c r="C315" s="13" t="inlineStr">
        <is>
          <t>Eli for Portland</t>
        </is>
      </c>
      <c r="D315" s="13" t="inlineStr">
        <is>
          <t>23295</t>
        </is>
      </c>
      <c r="E315" s="13" t="inlineStr">
        <is>
          <t>5704060</t>
        </is>
      </c>
      <c r="F315" s="13" t="inlineStr">
        <is>
          <t>2026-06-19</t>
        </is>
      </c>
      <c r="G315" s="13" t="n">
        <v>250</v>
      </c>
      <c r="H315" s="13" t="inlineStr"/>
    </row>
    <row r="316">
      <c r="A316" s="13" t="inlineStr">
        <is>
          <t>H037</t>
        </is>
      </c>
      <c r="B316" s="13" t="inlineStr">
        <is>
          <t>Gift to a slate candidate</t>
        </is>
      </c>
      <c r="C316" s="13" t="inlineStr">
        <is>
          <t>Friends of Eric Zimmerman</t>
        </is>
      </c>
      <c r="D316" s="13" t="inlineStr">
        <is>
          <t>17629</t>
        </is>
      </c>
      <c r="E316" s="13" t="inlineStr">
        <is>
          <t>5778130</t>
        </is>
      </c>
      <c r="F316" s="13" t="inlineStr">
        <is>
          <t>2026-08-21</t>
        </is>
      </c>
      <c r="G316" s="13" t="n">
        <v>250</v>
      </c>
      <c r="H316" s="13" t="inlineStr"/>
    </row>
    <row r="317">
      <c r="A317" s="13" t="inlineStr">
        <is>
          <t>H037</t>
        </is>
      </c>
      <c r="B317" s="13" t="inlineStr">
        <is>
          <t>Republican gift</t>
        </is>
      </c>
      <c r="C317" s="13" t="inlineStr">
        <is>
          <t>Bruce Starr for State Senate Committee</t>
        </is>
      </c>
      <c r="D317" s="13" t="inlineStr">
        <is>
          <t>2752</t>
        </is>
      </c>
      <c r="E317" s="13" t="inlineStr">
        <is>
          <t>1896834</t>
        </is>
      </c>
      <c r="F317" s="13" t="inlineStr">
        <is>
          <t>2014-10-23</t>
        </is>
      </c>
      <c r="G317" s="13" t="n">
        <v>500</v>
      </c>
      <c r="H317" s="13" t="inlineStr">
        <is>
          <t>Street address or PO box</t>
        </is>
      </c>
    </row>
    <row r="318">
      <c r="A318" s="13" t="inlineStr">
        <is>
          <t>H037</t>
        </is>
      </c>
      <c r="B318" s="13" t="inlineStr">
        <is>
          <t>Republican gift</t>
        </is>
      </c>
      <c r="C318" s="13" t="inlineStr">
        <is>
          <t>Knute for Governor</t>
        </is>
      </c>
      <c r="D318" s="13" t="inlineStr">
        <is>
          <t>15192</t>
        </is>
      </c>
      <c r="E318" s="13" t="inlineStr">
        <is>
          <t>2652081</t>
        </is>
      </c>
      <c r="F318" s="13" t="inlineStr">
        <is>
          <t>2017-10-30</t>
        </is>
      </c>
      <c r="G318" s="13" t="n">
        <v>3000</v>
      </c>
      <c r="H318" s="13" t="inlineStr">
        <is>
          <t>Street address or PO box</t>
        </is>
      </c>
    </row>
    <row r="319">
      <c r="A319" s="13" t="inlineStr">
        <is>
          <t>H037</t>
        </is>
      </c>
      <c r="B319" s="13" t="inlineStr">
        <is>
          <t>Republican gift</t>
        </is>
      </c>
      <c r="C319" s="13" t="inlineStr">
        <is>
          <t>Knute for Governor</t>
        </is>
      </c>
      <c r="D319" s="13" t="inlineStr">
        <is>
          <t>15192</t>
        </is>
      </c>
      <c r="E319" s="13" t="inlineStr">
        <is>
          <t>2784661</t>
        </is>
      </c>
      <c r="F319" s="13" t="inlineStr">
        <is>
          <t>2018-03-26</t>
        </is>
      </c>
      <c r="G319" s="13" t="n">
        <v>2000</v>
      </c>
      <c r="H319" s="13" t="inlineStr">
        <is>
          <t>Street address or PO box</t>
        </is>
      </c>
    </row>
    <row r="320">
      <c r="A320" s="13" t="inlineStr">
        <is>
          <t>H037</t>
        </is>
      </c>
      <c r="B320" s="13" t="inlineStr">
        <is>
          <t>Republican gift</t>
        </is>
      </c>
      <c r="C320" s="13" t="inlineStr">
        <is>
          <t>Knute for Governor</t>
        </is>
      </c>
      <c r="D320" s="13" t="inlineStr">
        <is>
          <t>15192</t>
        </is>
      </c>
      <c r="E320" s="13" t="inlineStr">
        <is>
          <t>2853284</t>
        </is>
      </c>
      <c r="F320" s="13" t="inlineStr">
        <is>
          <t>2018-05-22</t>
        </is>
      </c>
      <c r="G320" s="13" t="n">
        <v>1000</v>
      </c>
      <c r="H320" s="13" t="inlineStr">
        <is>
          <t>Street address or PO box</t>
        </is>
      </c>
    </row>
    <row r="321">
      <c r="A321" s="13" t="inlineStr">
        <is>
          <t>H037</t>
        </is>
      </c>
      <c r="B321" s="13" t="inlineStr">
        <is>
          <t>Republican gift</t>
        </is>
      </c>
      <c r="C321" s="13" t="inlineStr">
        <is>
          <t>Knute for Governor</t>
        </is>
      </c>
      <c r="D321" s="13" t="inlineStr">
        <is>
          <t>15192</t>
        </is>
      </c>
      <c r="E321" s="13" t="inlineStr">
        <is>
          <t>3021279</t>
        </is>
      </c>
      <c r="F321" s="13" t="inlineStr">
        <is>
          <t>2018-10-11</t>
        </is>
      </c>
      <c r="G321" s="13" t="n">
        <v>2000</v>
      </c>
      <c r="H321" s="13" t="inlineStr">
        <is>
          <t>Street address or PO box</t>
        </is>
      </c>
    </row>
    <row r="322">
      <c r="A322" s="13" t="inlineStr">
        <is>
          <t>H038</t>
        </is>
      </c>
      <c r="B322" s="13" t="inlineStr">
        <is>
          <t>Gift to a slate candidate</t>
        </is>
      </c>
      <c r="C322" s="13" t="inlineStr">
        <is>
          <t>Friends of Olivia</t>
        </is>
      </c>
      <c r="D322" s="13" t="inlineStr">
        <is>
          <t>23199</t>
        </is>
      </c>
      <c r="E322" s="13" t="inlineStr">
        <is>
          <t>4778888</t>
        </is>
      </c>
      <c r="F322" s="13" t="inlineStr">
        <is>
          <t>2024-01-22</t>
        </is>
      </c>
      <c r="G322" s="13" t="n">
        <v>250</v>
      </c>
      <c r="H322" s="13" t="inlineStr"/>
    </row>
    <row r="323">
      <c r="A323" s="13" t="inlineStr">
        <is>
          <t>H038</t>
        </is>
      </c>
      <c r="B323" s="13" t="inlineStr">
        <is>
          <t>Republican gift</t>
        </is>
      </c>
      <c r="C323" s="13" t="inlineStr">
        <is>
          <t>Bruce Starr for State Senate Committee</t>
        </is>
      </c>
      <c r="D323" s="13" t="inlineStr">
        <is>
          <t>2752</t>
        </is>
      </c>
      <c r="E323" s="13" t="inlineStr">
        <is>
          <t>1909054</t>
        </is>
      </c>
      <c r="F323" s="13" t="inlineStr">
        <is>
          <t>2014-10-29</t>
        </is>
      </c>
      <c r="G323" s="13" t="n">
        <v>250</v>
      </c>
      <c r="H323" s="13" t="inlineStr">
        <is>
          <t>Street address or PO box</t>
        </is>
      </c>
    </row>
    <row r="324">
      <c r="A324" s="13" t="inlineStr">
        <is>
          <t>H039</t>
        </is>
      </c>
      <c r="B324" s="13" t="inlineStr">
        <is>
          <t>Gift to a slate candidate</t>
        </is>
      </c>
      <c r="C324" s="13" t="inlineStr">
        <is>
          <t>Novick for Portland</t>
        </is>
      </c>
      <c r="D324" s="13" t="inlineStr">
        <is>
          <t>15109</t>
        </is>
      </c>
      <c r="E324" s="13" t="inlineStr">
        <is>
          <t>5717564</t>
        </is>
      </c>
      <c r="F324" s="13" t="inlineStr">
        <is>
          <t>2026-06-23</t>
        </is>
      </c>
      <c r="G324" s="13" t="n">
        <v>250</v>
      </c>
      <c r="H324" s="13" t="inlineStr"/>
    </row>
    <row r="325">
      <c r="A325" s="13" t="inlineStr">
        <is>
          <t>H039</t>
        </is>
      </c>
      <c r="B325" s="13" t="inlineStr">
        <is>
          <t>Republican gift</t>
        </is>
      </c>
      <c r="C325" s="13" t="inlineStr">
        <is>
          <t>Buehler For a United Oregon</t>
        </is>
      </c>
      <c r="D325" s="13" t="inlineStr">
        <is>
          <t>15192</t>
        </is>
      </c>
      <c r="E325" s="13" t="inlineStr">
        <is>
          <t>2050275</t>
        </is>
      </c>
      <c r="F325" s="13" t="inlineStr">
        <is>
          <t>2015-07-14</t>
        </is>
      </c>
      <c r="G325" s="13" t="n">
        <v>500</v>
      </c>
      <c r="H325" s="13" t="inlineStr">
        <is>
          <t>Street address or PO box</t>
        </is>
      </c>
    </row>
    <row r="326">
      <c r="A326" s="13" t="inlineStr">
        <is>
          <t>H039</t>
        </is>
      </c>
      <c r="B326" s="13" t="inlineStr">
        <is>
          <t>Republican gift</t>
        </is>
      </c>
      <c r="C326" s="13" t="inlineStr">
        <is>
          <t>Buehler For a United Oregon</t>
        </is>
      </c>
      <c r="D326" s="13" t="inlineStr">
        <is>
          <t>15192</t>
        </is>
      </c>
      <c r="E326" s="13" t="inlineStr">
        <is>
          <t>2439372</t>
        </is>
      </c>
      <c r="F326" s="13" t="inlineStr">
        <is>
          <t>2016-10-30</t>
        </is>
      </c>
      <c r="G326" s="13" t="n">
        <v>250</v>
      </c>
      <c r="H326" s="13" t="inlineStr">
        <is>
          <t>Street address or PO box</t>
        </is>
      </c>
    </row>
    <row r="327">
      <c r="A327" s="13" t="inlineStr">
        <is>
          <t>H039</t>
        </is>
      </c>
      <c r="B327" s="13" t="inlineStr">
        <is>
          <t>Republican gift</t>
        </is>
      </c>
      <c r="C327" s="13" t="inlineStr">
        <is>
          <t>Buehler For a United Oregon</t>
        </is>
      </c>
      <c r="D327" s="13" t="inlineStr">
        <is>
          <t>15192</t>
        </is>
      </c>
      <c r="E327" s="13" t="inlineStr">
        <is>
          <t>2469224</t>
        </is>
      </c>
      <c r="F327" s="13" t="inlineStr">
        <is>
          <t>2016-11-30</t>
        </is>
      </c>
      <c r="G327" s="13" t="n">
        <v>250</v>
      </c>
      <c r="H327" s="13" t="inlineStr">
        <is>
          <t>Street address or PO box</t>
        </is>
      </c>
    </row>
    <row r="328">
      <c r="A328" s="13" t="inlineStr">
        <is>
          <t>H039</t>
        </is>
      </c>
      <c r="B328" s="13" t="inlineStr">
        <is>
          <t>Republican gift</t>
        </is>
      </c>
      <c r="C328" s="13" t="inlineStr">
        <is>
          <t>Buehler For a United Oregon</t>
        </is>
      </c>
      <c r="D328" s="13" t="inlineStr">
        <is>
          <t>15192</t>
        </is>
      </c>
      <c r="E328" s="13" t="inlineStr">
        <is>
          <t>2478470</t>
        </is>
      </c>
      <c r="F328" s="13" t="inlineStr">
        <is>
          <t>2016-12-31</t>
        </is>
      </c>
      <c r="G328" s="13" t="n">
        <v>250</v>
      </c>
      <c r="H328" s="13" t="inlineStr">
        <is>
          <t>Street address or PO box</t>
        </is>
      </c>
    </row>
    <row r="329">
      <c r="A329" s="13" t="inlineStr">
        <is>
          <t>H039</t>
        </is>
      </c>
      <c r="B329" s="13" t="inlineStr">
        <is>
          <t>Republican gift</t>
        </is>
      </c>
      <c r="C329" s="13" t="inlineStr">
        <is>
          <t>Knute for Governor</t>
        </is>
      </c>
      <c r="D329" s="13" t="inlineStr">
        <is>
          <t>15192</t>
        </is>
      </c>
      <c r="E329" s="13" t="inlineStr">
        <is>
          <t>2606110</t>
        </is>
      </c>
      <c r="F329" s="13" t="inlineStr">
        <is>
          <t>2017-08-24</t>
        </is>
      </c>
      <c r="G329" s="13" t="n">
        <v>250</v>
      </c>
      <c r="H329" s="13" t="inlineStr">
        <is>
          <t>Street address or PO box</t>
        </is>
      </c>
    </row>
    <row r="330">
      <c r="A330" s="13" t="inlineStr">
        <is>
          <t>H039</t>
        </is>
      </c>
      <c r="B330" s="13" t="inlineStr">
        <is>
          <t>Republican gift</t>
        </is>
      </c>
      <c r="C330" s="13" t="inlineStr">
        <is>
          <t>Knute for Governor</t>
        </is>
      </c>
      <c r="D330" s="13" t="inlineStr">
        <is>
          <t>15192</t>
        </is>
      </c>
      <c r="E330" s="13" t="inlineStr">
        <is>
          <t>2623651</t>
        </is>
      </c>
      <c r="F330" s="13" t="inlineStr">
        <is>
          <t>2017-09-24</t>
        </is>
      </c>
      <c r="G330" s="13" t="n">
        <v>250</v>
      </c>
      <c r="H330" s="13" t="inlineStr">
        <is>
          <t>Street address or PO box</t>
        </is>
      </c>
    </row>
    <row r="331">
      <c r="A331" s="13" t="inlineStr">
        <is>
          <t>H039</t>
        </is>
      </c>
      <c r="B331" s="13" t="inlineStr">
        <is>
          <t>Republican gift</t>
        </is>
      </c>
      <c r="C331" s="13" t="inlineStr">
        <is>
          <t>Knute for Governor</t>
        </is>
      </c>
      <c r="D331" s="13" t="inlineStr">
        <is>
          <t>15192</t>
        </is>
      </c>
      <c r="E331" s="13" t="inlineStr">
        <is>
          <t>2647182</t>
        </is>
      </c>
      <c r="F331" s="13" t="inlineStr">
        <is>
          <t>2017-10-24</t>
        </is>
      </c>
      <c r="G331" s="13" t="n">
        <v>250</v>
      </c>
      <c r="H331" s="13" t="inlineStr">
        <is>
          <t>Street address or PO box</t>
        </is>
      </c>
    </row>
    <row r="332">
      <c r="A332" s="13" t="inlineStr">
        <is>
          <t>H039</t>
        </is>
      </c>
      <c r="B332" s="13" t="inlineStr">
        <is>
          <t>Republican gift</t>
        </is>
      </c>
      <c r="C332" s="13" t="inlineStr">
        <is>
          <t>Knute for Governor</t>
        </is>
      </c>
      <c r="D332" s="13" t="inlineStr">
        <is>
          <t>15192</t>
        </is>
      </c>
      <c r="E332" s="13" t="inlineStr">
        <is>
          <t>2674053</t>
        </is>
      </c>
      <c r="F332" s="13" t="inlineStr">
        <is>
          <t>2017-11-24</t>
        </is>
      </c>
      <c r="G332" s="13" t="n">
        <v>250</v>
      </c>
      <c r="H332" s="13" t="inlineStr">
        <is>
          <t>Street address or PO box</t>
        </is>
      </c>
    </row>
    <row r="333">
      <c r="A333" s="13" t="inlineStr">
        <is>
          <t>H039</t>
        </is>
      </c>
      <c r="B333" s="13" t="inlineStr">
        <is>
          <t>Republican gift</t>
        </is>
      </c>
      <c r="C333" s="13" t="inlineStr">
        <is>
          <t>Knute for Governor</t>
        </is>
      </c>
      <c r="D333" s="13" t="inlineStr">
        <is>
          <t>15192</t>
        </is>
      </c>
      <c r="E333" s="13" t="inlineStr">
        <is>
          <t>2703283</t>
        </is>
      </c>
      <c r="F333" s="13" t="inlineStr">
        <is>
          <t>2017-12-24</t>
        </is>
      </c>
      <c r="G333" s="13" t="n">
        <v>250</v>
      </c>
      <c r="H333" s="13" t="inlineStr">
        <is>
          <t>Street address or PO box</t>
        </is>
      </c>
    </row>
    <row r="334">
      <c r="A334" s="13" t="inlineStr">
        <is>
          <t>H040</t>
        </is>
      </c>
      <c r="B334" s="13" t="inlineStr">
        <is>
          <t>Gift to a slate candidate</t>
        </is>
      </c>
      <c r="C334" s="13" t="inlineStr">
        <is>
          <t>Novick for Portland</t>
        </is>
      </c>
      <c r="D334" s="13" t="inlineStr">
        <is>
          <t>15109</t>
        </is>
      </c>
      <c r="E334" s="13" t="inlineStr">
        <is>
          <t>5830477</t>
        </is>
      </c>
      <c r="F334" s="13" t="inlineStr">
        <is>
          <t>2026-09-21</t>
        </is>
      </c>
      <c r="G334" s="13" t="n">
        <v>250</v>
      </c>
      <c r="H334" s="13" t="inlineStr"/>
    </row>
    <row r="335">
      <c r="A335" s="13" t="inlineStr">
        <is>
          <t>H040</t>
        </is>
      </c>
      <c r="B335" s="13" t="inlineStr">
        <is>
          <t>Gift to a slate candidate</t>
        </is>
      </c>
      <c r="C335" s="13" t="inlineStr">
        <is>
          <t>Friends of Olivia</t>
        </is>
      </c>
      <c r="D335" s="13" t="inlineStr">
        <is>
          <t>23199</t>
        </is>
      </c>
      <c r="E335" s="13" t="inlineStr">
        <is>
          <t>5844270</t>
        </is>
      </c>
      <c r="F335" s="13" t="inlineStr">
        <is>
          <t>2026-09-21</t>
        </is>
      </c>
      <c r="G335" s="13" t="n">
        <v>250</v>
      </c>
      <c r="H335" s="13" t="inlineStr"/>
    </row>
    <row r="336">
      <c r="A336" s="13" t="inlineStr">
        <is>
          <t>H040</t>
        </is>
      </c>
      <c r="B336" s="13" t="inlineStr">
        <is>
          <t>Gift to a slate candidate</t>
        </is>
      </c>
      <c r="C336" s="13" t="inlineStr">
        <is>
          <t>Friends of Eric Zimmerman</t>
        </is>
      </c>
      <c r="D336" s="13" t="inlineStr">
        <is>
          <t>17629</t>
        </is>
      </c>
      <c r="E336" s="13" t="inlineStr">
        <is>
          <t>5828875</t>
        </is>
      </c>
      <c r="F336" s="13" t="inlineStr">
        <is>
          <t>2026-09-21</t>
        </is>
      </c>
      <c r="G336" s="13" t="n">
        <v>250</v>
      </c>
      <c r="H336" s="13" t="inlineStr"/>
    </row>
    <row r="337">
      <c r="A337" s="13" t="inlineStr">
        <is>
          <t>H040</t>
        </is>
      </c>
      <c r="B337" s="13" t="inlineStr">
        <is>
          <t>Gift to a slate candidate</t>
        </is>
      </c>
      <c r="C337" s="13" t="inlineStr">
        <is>
          <t>Kellie Torres for Portland</t>
        </is>
      </c>
      <c r="D337" s="13" t="inlineStr">
        <is>
          <t>24897</t>
        </is>
      </c>
      <c r="E337" s="13" t="inlineStr">
        <is>
          <t>5850025</t>
        </is>
      </c>
      <c r="F337" s="13" t="inlineStr">
        <is>
          <t>2026-09-30</t>
        </is>
      </c>
      <c r="G337" s="13" t="n">
        <v>250</v>
      </c>
      <c r="H337" s="13" t="inlineStr"/>
    </row>
    <row r="338">
      <c r="A338" s="13" t="inlineStr">
        <is>
          <t>H040</t>
        </is>
      </c>
      <c r="B338" s="13" t="inlineStr">
        <is>
          <t>Republican gift</t>
        </is>
      </c>
      <c r="C338" s="13" t="inlineStr">
        <is>
          <t>Buehler For a United Oregon</t>
        </is>
      </c>
      <c r="D338" s="13" t="inlineStr">
        <is>
          <t>15192</t>
        </is>
      </c>
      <c r="E338" s="13" t="inlineStr">
        <is>
          <t>2101867</t>
        </is>
      </c>
      <c r="F338" s="13" t="inlineStr">
        <is>
          <t>2015-10-28</t>
        </is>
      </c>
      <c r="G338" s="13" t="n">
        <v>1000</v>
      </c>
      <c r="H338" s="13" t="inlineStr">
        <is>
          <t>Street address or PO box</t>
        </is>
      </c>
    </row>
    <row r="339">
      <c r="A339" s="13" t="inlineStr">
        <is>
          <t>H040</t>
        </is>
      </c>
      <c r="B339" s="13" t="inlineStr">
        <is>
          <t>Republican gift</t>
        </is>
      </c>
      <c r="C339" s="13" t="inlineStr">
        <is>
          <t>Citizens to Elect Dennis Richardson</t>
        </is>
      </c>
      <c r="D339" s="13" t="inlineStr">
        <is>
          <t>4155</t>
        </is>
      </c>
      <c r="E339" s="13" t="inlineStr">
        <is>
          <t>2265543</t>
        </is>
      </c>
      <c r="F339" s="13" t="inlineStr">
        <is>
          <t>2016-06-03</t>
        </is>
      </c>
      <c r="G339" s="13" t="n">
        <v>1000</v>
      </c>
      <c r="H339" s="13" t="inlineStr">
        <is>
          <t>Street address or PO box</t>
        </is>
      </c>
    </row>
    <row r="340">
      <c r="A340" s="13" t="inlineStr">
        <is>
          <t>H040</t>
        </is>
      </c>
      <c r="B340" s="13" t="inlineStr">
        <is>
          <t>Republican gift</t>
        </is>
      </c>
      <c r="C340" s="13" t="inlineStr">
        <is>
          <t>Friends of Courtney Bangs</t>
        </is>
      </c>
      <c r="D340" s="13" t="inlineStr">
        <is>
          <t>20246</t>
        </is>
      </c>
      <c r="E340" s="13" t="inlineStr">
        <is>
          <t>3426791</t>
        </is>
      </c>
      <c r="F340" s="13" t="inlineStr">
        <is>
          <t>2020-04-09</t>
        </is>
      </c>
      <c r="G340" s="13" t="n">
        <v>250</v>
      </c>
      <c r="H340" s="13" t="inlineStr">
        <is>
          <t>Street address or PO box</t>
        </is>
      </c>
    </row>
    <row r="341">
      <c r="A341" s="13" t="inlineStr">
        <is>
          <t>H041</t>
        </is>
      </c>
      <c r="B341" s="13" t="inlineStr">
        <is>
          <t>Gift to a slate candidate</t>
        </is>
      </c>
      <c r="C341" s="13" t="inlineStr">
        <is>
          <t>Friends of Julia Brim-Edwards</t>
        </is>
      </c>
      <c r="D341" s="13" t="inlineStr">
        <is>
          <t>21206</t>
        </is>
      </c>
      <c r="E341" s="13" t="inlineStr">
        <is>
          <t>4551199</t>
        </is>
      </c>
      <c r="F341" s="13" t="inlineStr">
        <is>
          <t>2023-04-07</t>
        </is>
      </c>
      <c r="G341" s="13" t="n">
        <v>500</v>
      </c>
      <c r="H341" s="13" t="inlineStr"/>
    </row>
    <row r="342">
      <c r="A342" s="13" t="inlineStr">
        <is>
          <t>H041</t>
        </is>
      </c>
      <c r="B342" s="13" t="inlineStr">
        <is>
          <t>Gift to a slate candidate</t>
        </is>
      </c>
      <c r="C342" s="13" t="inlineStr">
        <is>
          <t>Friends of Julia Brim-Edwards</t>
        </is>
      </c>
      <c r="D342" s="13" t="inlineStr">
        <is>
          <t>21206</t>
        </is>
      </c>
      <c r="E342" s="13" t="inlineStr">
        <is>
          <t>4853149</t>
        </is>
      </c>
      <c r="F342" s="13" t="inlineStr">
        <is>
          <t>2024-03-26</t>
        </is>
      </c>
      <c r="G342" s="13" t="n">
        <v>500</v>
      </c>
      <c r="H342" s="13" t="inlineStr"/>
    </row>
    <row r="343">
      <c r="A343" s="13" t="inlineStr">
        <is>
          <t>H041</t>
        </is>
      </c>
      <c r="B343" s="13" t="inlineStr">
        <is>
          <t>Gift to a slate candidate</t>
        </is>
      </c>
      <c r="C343" s="13" t="inlineStr">
        <is>
          <t>Friends of Julia Brim-Edwards</t>
        </is>
      </c>
      <c r="D343" s="13" t="inlineStr">
        <is>
          <t>21206</t>
        </is>
      </c>
      <c r="E343" s="13" t="inlineStr">
        <is>
          <t>4909928</t>
        </is>
      </c>
      <c r="F343" s="13" t="inlineStr">
        <is>
          <t>2024-05-07</t>
        </is>
      </c>
      <c r="G343" s="13" t="n">
        <v>250</v>
      </c>
      <c r="H343" s="13" t="inlineStr"/>
    </row>
    <row r="344">
      <c r="A344" s="13" t="inlineStr">
        <is>
          <t>H041</t>
        </is>
      </c>
      <c r="B344" s="13" t="inlineStr">
        <is>
          <t>Republican gift</t>
        </is>
      </c>
      <c r="C344" s="13" t="inlineStr">
        <is>
          <t>Friends of Allen Alley</t>
        </is>
      </c>
      <c r="D344" s="13" t="inlineStr">
        <is>
          <t>12878</t>
        </is>
      </c>
      <c r="E344" s="13" t="inlineStr">
        <is>
          <t>2228615</t>
        </is>
      </c>
      <c r="F344" s="13" t="inlineStr">
        <is>
          <t>2016-04-21</t>
        </is>
      </c>
      <c r="G344" s="13" t="n">
        <v>250</v>
      </c>
      <c r="H344" s="13" t="inlineStr">
        <is>
          <t>Street address or PO box</t>
        </is>
      </c>
    </row>
    <row r="345">
      <c r="A345" s="13" t="inlineStr">
        <is>
          <t>H042</t>
        </is>
      </c>
      <c r="B345" s="13" t="inlineStr">
        <is>
          <t>Gift to a slate candidate</t>
        </is>
      </c>
      <c r="C345" s="13" t="inlineStr">
        <is>
          <t>Friends of Julia Brim-Edwards</t>
        </is>
      </c>
      <c r="D345" s="13" t="inlineStr">
        <is>
          <t>21206</t>
        </is>
      </c>
      <c r="E345" s="13" t="inlineStr">
        <is>
          <t>5678169</t>
        </is>
      </c>
      <c r="F345" s="13" t="inlineStr">
        <is>
          <t>2026-05-05</t>
        </is>
      </c>
      <c r="G345" s="13" t="n">
        <v>500</v>
      </c>
      <c r="H345" s="13" t="inlineStr"/>
    </row>
    <row r="346">
      <c r="A346" s="13" t="inlineStr">
        <is>
          <t>H042</t>
        </is>
      </c>
      <c r="B346" s="13" t="inlineStr">
        <is>
          <t>Republican gift</t>
        </is>
      </c>
      <c r="C346" s="13" t="inlineStr">
        <is>
          <t>Friends of Allen Alley</t>
        </is>
      </c>
      <c r="D346" s="13" t="inlineStr">
        <is>
          <t>12878</t>
        </is>
      </c>
      <c r="E346" s="13" t="inlineStr">
        <is>
          <t>2235689</t>
        </is>
      </c>
      <c r="F346" s="13" t="inlineStr">
        <is>
          <t>2016-04-25</t>
        </is>
      </c>
      <c r="G346" s="13" t="n">
        <v>1000</v>
      </c>
      <c r="H346" s="13" t="inlineStr">
        <is>
          <t>Street address or PO box</t>
        </is>
      </c>
    </row>
    <row r="347">
      <c r="A347" s="13" t="inlineStr">
        <is>
          <t>H042</t>
        </is>
      </c>
      <c r="B347" s="13" t="inlineStr">
        <is>
          <t>Republican gift</t>
        </is>
      </c>
      <c r="C347" s="13" t="inlineStr">
        <is>
          <t>Citizens to Elect Dennis Richardson</t>
        </is>
      </c>
      <c r="D347" s="13" t="inlineStr">
        <is>
          <t>4155</t>
        </is>
      </c>
      <c r="E347" s="13" t="inlineStr">
        <is>
          <t>2400857</t>
        </is>
      </c>
      <c r="F347" s="13" t="inlineStr">
        <is>
          <t>2016-10-14</t>
        </is>
      </c>
      <c r="G347" s="13" t="n">
        <v>1000</v>
      </c>
      <c r="H347" s="13" t="inlineStr">
        <is>
          <t>Street address or PO box</t>
        </is>
      </c>
    </row>
    <row r="348">
      <c r="A348" s="13" t="inlineStr">
        <is>
          <t>H042</t>
        </is>
      </c>
      <c r="B348" s="13" t="inlineStr">
        <is>
          <t>Republican gift</t>
        </is>
      </c>
      <c r="C348" s="13" t="inlineStr">
        <is>
          <t>Knute for Governor</t>
        </is>
      </c>
      <c r="D348" s="13" t="inlineStr">
        <is>
          <t>15192</t>
        </is>
      </c>
      <c r="E348" s="13" t="inlineStr">
        <is>
          <t>2636276</t>
        </is>
      </c>
      <c r="F348" s="13" t="inlineStr">
        <is>
          <t>2017-10-12</t>
        </is>
      </c>
      <c r="G348" s="13" t="n">
        <v>1000</v>
      </c>
      <c r="H348" s="13" t="inlineStr">
        <is>
          <t>Street address or PO box</t>
        </is>
      </c>
    </row>
    <row r="349">
      <c r="A349" s="13" t="inlineStr">
        <is>
          <t>H042</t>
        </is>
      </c>
      <c r="B349" s="13" t="inlineStr">
        <is>
          <t>Republican gift</t>
        </is>
      </c>
      <c r="C349" s="13" t="inlineStr">
        <is>
          <t>Knute for Governor</t>
        </is>
      </c>
      <c r="D349" s="13" t="inlineStr">
        <is>
          <t>15192</t>
        </is>
      </c>
      <c r="E349" s="13" t="inlineStr">
        <is>
          <t>2712241</t>
        </is>
      </c>
      <c r="F349" s="13" t="inlineStr">
        <is>
          <t>2017-12-30</t>
        </is>
      </c>
      <c r="G349" s="13" t="n">
        <v>1000</v>
      </c>
      <c r="H349" s="13" t="inlineStr">
        <is>
          <t>Street address or PO box</t>
        </is>
      </c>
    </row>
    <row r="350">
      <c r="A350" s="13" t="inlineStr">
        <is>
          <t>H042</t>
        </is>
      </c>
      <c r="B350" s="13" t="inlineStr">
        <is>
          <t>Republican gift</t>
        </is>
      </c>
      <c r="C350" s="13" t="inlineStr">
        <is>
          <t>Knute for Governor</t>
        </is>
      </c>
      <c r="D350" s="13" t="inlineStr">
        <is>
          <t>15192</t>
        </is>
      </c>
      <c r="E350" s="13" t="inlineStr">
        <is>
          <t>3004434</t>
        </is>
      </c>
      <c r="F350" s="13" t="inlineStr">
        <is>
          <t>2018-09-29</t>
        </is>
      </c>
      <c r="G350" s="13" t="n">
        <v>1000</v>
      </c>
      <c r="H350" s="13" t="inlineStr">
        <is>
          <t>Street address or PO box</t>
        </is>
      </c>
    </row>
    <row r="351">
      <c r="A351" s="13" t="inlineStr">
        <is>
          <t>H043</t>
        </is>
      </c>
      <c r="B351" s="13" t="inlineStr">
        <is>
          <t>Gift to a slate candidate</t>
        </is>
      </c>
      <c r="C351" s="13" t="inlineStr">
        <is>
          <t>Friends of Julia Brim-Edwards</t>
        </is>
      </c>
      <c r="D351" s="13" t="inlineStr">
        <is>
          <t>21206</t>
        </is>
      </c>
      <c r="E351" s="13" t="inlineStr">
        <is>
          <t>4572194</t>
        </is>
      </c>
      <c r="F351" s="13" t="inlineStr">
        <is>
          <t>2023-05-06</t>
        </is>
      </c>
      <c r="G351" s="13" t="n">
        <v>500</v>
      </c>
      <c r="H351" s="13" t="inlineStr"/>
    </row>
    <row r="352">
      <c r="A352" s="13" t="inlineStr">
        <is>
          <t>H043</t>
        </is>
      </c>
      <c r="B352" s="13" t="inlineStr">
        <is>
          <t>Gift to a slate candidate</t>
        </is>
      </c>
      <c r="C352" s="13" t="inlineStr">
        <is>
          <t>Eli for Portland</t>
        </is>
      </c>
      <c r="D352" s="13" t="inlineStr">
        <is>
          <t>23295</t>
        </is>
      </c>
      <c r="E352" s="13" t="inlineStr">
        <is>
          <t>4926096</t>
        </is>
      </c>
      <c r="F352" s="13" t="inlineStr">
        <is>
          <t>2024-04-29</t>
        </is>
      </c>
      <c r="G352" s="13" t="n">
        <v>250</v>
      </c>
      <c r="H352" s="13" t="inlineStr"/>
    </row>
    <row r="353">
      <c r="A353" s="13" t="inlineStr">
        <is>
          <t>H043</t>
        </is>
      </c>
      <c r="B353" s="13" t="inlineStr">
        <is>
          <t>Gift to a slate candidate</t>
        </is>
      </c>
      <c r="C353" s="13" t="inlineStr">
        <is>
          <t>Eli for Portland</t>
        </is>
      </c>
      <c r="D353" s="13" t="inlineStr">
        <is>
          <t>23295</t>
        </is>
      </c>
      <c r="E353" s="13" t="inlineStr">
        <is>
          <t>4943195</t>
        </is>
      </c>
      <c r="F353" s="13" t="inlineStr">
        <is>
          <t>2024-06-19</t>
        </is>
      </c>
      <c r="G353" s="13" t="n">
        <v>250</v>
      </c>
      <c r="H353" s="13" t="inlineStr"/>
    </row>
    <row r="354">
      <c r="A354" s="13" t="inlineStr">
        <is>
          <t>H043</t>
        </is>
      </c>
      <c r="B354" s="13" t="inlineStr">
        <is>
          <t>Gift to a slate candidate</t>
        </is>
      </c>
      <c r="C354" s="13" t="inlineStr">
        <is>
          <t>Novick for Portland</t>
        </is>
      </c>
      <c r="D354" s="13" t="inlineStr">
        <is>
          <t>15109</t>
        </is>
      </c>
      <c r="E354" s="13" t="inlineStr">
        <is>
          <t>5021873</t>
        </is>
      </c>
      <c r="F354" s="13" t="inlineStr">
        <is>
          <t>2024-08-25</t>
        </is>
      </c>
      <c r="G354" s="13" t="n">
        <v>250</v>
      </c>
      <c r="H354" s="13" t="inlineStr"/>
    </row>
    <row r="355">
      <c r="A355" s="13" t="inlineStr">
        <is>
          <t>H043</t>
        </is>
      </c>
      <c r="B355" s="13" t="inlineStr">
        <is>
          <t>Gift to a slate candidate</t>
        </is>
      </c>
      <c r="C355" s="13" t="inlineStr">
        <is>
          <t>Friends of Julia Brim-Edwards</t>
        </is>
      </c>
      <c r="D355" s="13" t="inlineStr">
        <is>
          <t>21206</t>
        </is>
      </c>
      <c r="E355" s="13" t="inlineStr">
        <is>
          <t>5555057</t>
        </is>
      </c>
      <c r="F355" s="13" t="inlineStr">
        <is>
          <t>2026-02-17</t>
        </is>
      </c>
      <c r="G355" s="13" t="n">
        <v>500</v>
      </c>
      <c r="H355" s="13" t="inlineStr"/>
    </row>
    <row r="356">
      <c r="A356" s="13" t="inlineStr">
        <is>
          <t>H043</t>
        </is>
      </c>
      <c r="B356" s="13" t="inlineStr">
        <is>
          <t>Gift to a slate candidate</t>
        </is>
      </c>
      <c r="C356" s="13" t="inlineStr">
        <is>
          <t>Kellie Torres for Portland</t>
        </is>
      </c>
      <c r="D356" s="13" t="inlineStr">
        <is>
          <t>24897</t>
        </is>
      </c>
      <c r="E356" s="13" t="inlineStr">
        <is>
          <t>5733633</t>
        </is>
      </c>
      <c r="F356" s="13" t="inlineStr">
        <is>
          <t>2026-07-21</t>
        </is>
      </c>
      <c r="G356" s="13" t="n">
        <v>250</v>
      </c>
      <c r="H356" s="13" t="inlineStr"/>
    </row>
    <row r="357">
      <c r="A357" s="13" t="inlineStr">
        <is>
          <t>H043</t>
        </is>
      </c>
      <c r="B357" s="13" t="inlineStr">
        <is>
          <t>Gift to a slate candidate</t>
        </is>
      </c>
      <c r="C357" s="13" t="inlineStr">
        <is>
          <t>Eli for Portland</t>
        </is>
      </c>
      <c r="D357" s="13" t="inlineStr">
        <is>
          <t>23295</t>
        </is>
      </c>
      <c r="E357" s="13" t="inlineStr">
        <is>
          <t>5820948</t>
        </is>
      </c>
      <c r="F357" s="13" t="inlineStr">
        <is>
          <t>2026-09-16</t>
        </is>
      </c>
      <c r="G357" s="13" t="n">
        <v>250</v>
      </c>
      <c r="H357" s="13" t="inlineStr"/>
    </row>
    <row r="358">
      <c r="A358" s="13" t="inlineStr">
        <is>
          <t>H043</t>
        </is>
      </c>
      <c r="B358" s="13" t="inlineStr">
        <is>
          <t>Gift to a slate candidate</t>
        </is>
      </c>
      <c r="C358" s="13" t="inlineStr">
        <is>
          <t>Friends of Eric Zimmerman</t>
        </is>
      </c>
      <c r="D358" s="13" t="inlineStr">
        <is>
          <t>17629</t>
        </is>
      </c>
      <c r="E358" s="13" t="inlineStr">
        <is>
          <t>5828801</t>
        </is>
      </c>
      <c r="F358" s="13" t="inlineStr">
        <is>
          <t>2026-09-18</t>
        </is>
      </c>
      <c r="G358" s="13" t="n">
        <v>250</v>
      </c>
      <c r="H358" s="13" t="inlineStr"/>
    </row>
    <row r="359">
      <c r="A359" s="13" t="inlineStr">
        <is>
          <t>H043</t>
        </is>
      </c>
      <c r="B359" s="13" t="inlineStr">
        <is>
          <t>Gift to a slate candidate</t>
        </is>
      </c>
      <c r="C359" s="13" t="inlineStr">
        <is>
          <t>Novick for Portland</t>
        </is>
      </c>
      <c r="D359" s="13" t="inlineStr">
        <is>
          <t>15109</t>
        </is>
      </c>
      <c r="E359" s="13" t="inlineStr">
        <is>
          <t>5830533</t>
        </is>
      </c>
      <c r="F359" s="13" t="inlineStr">
        <is>
          <t>2026-09-24</t>
        </is>
      </c>
      <c r="G359" s="13" t="n">
        <v>250</v>
      </c>
      <c r="H359" s="13" t="inlineStr"/>
    </row>
    <row r="360">
      <c r="A360" s="13" t="inlineStr">
        <is>
          <t>H043</t>
        </is>
      </c>
      <c r="B360" s="13" t="inlineStr">
        <is>
          <t>Republican gift</t>
        </is>
      </c>
      <c r="C360" s="13" t="inlineStr">
        <is>
          <t>Friends of Allen Alley</t>
        </is>
      </c>
      <c r="D360" s="13" t="inlineStr">
        <is>
          <t>12878</t>
        </is>
      </c>
      <c r="E360" s="13" t="inlineStr">
        <is>
          <t>2235669</t>
        </is>
      </c>
      <c r="F360" s="13" t="inlineStr">
        <is>
          <t>2016-04-29</t>
        </is>
      </c>
      <c r="G360" s="13" t="n">
        <v>1000</v>
      </c>
      <c r="H360" s="13" t="inlineStr">
        <is>
          <t>Street address or PO box</t>
        </is>
      </c>
    </row>
    <row r="361">
      <c r="A361" s="13" t="inlineStr">
        <is>
          <t>H043</t>
        </is>
      </c>
      <c r="B361" s="13" t="inlineStr">
        <is>
          <t>Republican gift</t>
        </is>
      </c>
      <c r="C361" s="13" t="inlineStr">
        <is>
          <t>Friends of Will Lathrop</t>
        </is>
      </c>
      <c r="D361" s="13" t="inlineStr">
        <is>
          <t>21896</t>
        </is>
      </c>
      <c r="E361" s="13" t="inlineStr">
        <is>
          <t>5123848</t>
        </is>
      </c>
      <c r="F361" s="13" t="inlineStr">
        <is>
          <t>2024-10-24</t>
        </is>
      </c>
      <c r="G361" s="13" t="n">
        <v>500</v>
      </c>
      <c r="H361" s="13" t="inlineStr">
        <is>
          <t>Street address or PO box</t>
        </is>
      </c>
    </row>
    <row r="362">
      <c r="A362" s="13" t="inlineStr">
        <is>
          <t>H044</t>
        </is>
      </c>
      <c r="B362" s="13" t="inlineStr">
        <is>
          <t>Gift to a slate candidate</t>
        </is>
      </c>
      <c r="C362" s="13" t="inlineStr">
        <is>
          <t>Novick for Portland</t>
        </is>
      </c>
      <c r="D362" s="13" t="inlineStr">
        <is>
          <t>15109</t>
        </is>
      </c>
      <c r="E362" s="13" t="inlineStr">
        <is>
          <t>5022052</t>
        </is>
      </c>
      <c r="F362" s="13" t="inlineStr">
        <is>
          <t>2024-08-13</t>
        </is>
      </c>
      <c r="G362" s="13" t="n">
        <v>250</v>
      </c>
      <c r="H362" s="13" t="inlineStr"/>
    </row>
    <row r="363">
      <c r="A363" s="13" t="inlineStr">
        <is>
          <t>H044</t>
        </is>
      </c>
      <c r="B363" s="13" t="inlineStr">
        <is>
          <t>Gift to a slate candidate</t>
        </is>
      </c>
      <c r="C363" s="13" t="inlineStr">
        <is>
          <t>Novick for Portland</t>
        </is>
      </c>
      <c r="D363" s="13" t="inlineStr">
        <is>
          <t>15109</t>
        </is>
      </c>
      <c r="E363" s="13" t="inlineStr">
        <is>
          <t>5760170</t>
        </is>
      </c>
      <c r="F363" s="13" t="inlineStr">
        <is>
          <t>2026-08-01</t>
        </is>
      </c>
      <c r="G363" s="13" t="n">
        <v>250</v>
      </c>
      <c r="H363" s="13" t="inlineStr"/>
    </row>
    <row r="364">
      <c r="A364" s="13" t="inlineStr">
        <is>
          <t>H044</t>
        </is>
      </c>
      <c r="B364" s="13" t="inlineStr">
        <is>
          <t>Republican gift</t>
        </is>
      </c>
      <c r="C364" s="13" t="inlineStr">
        <is>
          <t>Citizens to Elect Dennis Richardson</t>
        </is>
      </c>
      <c r="D364" s="13" t="inlineStr">
        <is>
          <t>4155</t>
        </is>
      </c>
      <c r="E364" s="13" t="inlineStr">
        <is>
          <t>2300689</t>
        </is>
      </c>
      <c r="F364" s="13" t="inlineStr">
        <is>
          <t>2016-07-25</t>
        </is>
      </c>
      <c r="G364" s="13" t="n">
        <v>250</v>
      </c>
      <c r="H364" s="13" t="inlineStr">
        <is>
          <t>Street address or PO box</t>
        </is>
      </c>
    </row>
    <row r="365">
      <c r="A365" s="13" t="inlineStr">
        <is>
          <t>H044</t>
        </is>
      </c>
      <c r="B365" s="13" t="inlineStr">
        <is>
          <t>Republican gift</t>
        </is>
      </c>
      <c r="C365" s="13" t="inlineStr">
        <is>
          <t>Knute for Governor</t>
        </is>
      </c>
      <c r="D365" s="13" t="inlineStr">
        <is>
          <t>15192</t>
        </is>
      </c>
      <c r="E365" s="13" t="inlineStr">
        <is>
          <t>2816873</t>
        </is>
      </c>
      <c r="F365" s="13" t="inlineStr">
        <is>
          <t>2018-04-20</t>
        </is>
      </c>
      <c r="G365" s="13" t="n">
        <v>250</v>
      </c>
      <c r="H365" s="13" t="inlineStr">
        <is>
          <t>Street address or PO box</t>
        </is>
      </c>
    </row>
    <row r="366">
      <c r="A366" s="13" t="inlineStr">
        <is>
          <t>H044</t>
        </is>
      </c>
      <c r="B366" s="13" t="inlineStr">
        <is>
          <t>Republican gift</t>
        </is>
      </c>
      <c r="C366" s="13" t="inlineStr">
        <is>
          <t>Knute for Governor</t>
        </is>
      </c>
      <c r="D366" s="13" t="inlineStr">
        <is>
          <t>15192</t>
        </is>
      </c>
      <c r="E366" s="13" t="inlineStr">
        <is>
          <t>2923654</t>
        </is>
      </c>
      <c r="F366" s="13" t="inlineStr">
        <is>
          <t>2018-08-10</t>
        </is>
      </c>
      <c r="G366" s="13" t="n">
        <v>500</v>
      </c>
      <c r="H366" s="13" t="inlineStr">
        <is>
          <t>Street address or PO box</t>
        </is>
      </c>
    </row>
    <row r="367">
      <c r="A367" s="13" t="inlineStr">
        <is>
          <t>H044</t>
        </is>
      </c>
      <c r="B367" s="13" t="inlineStr">
        <is>
          <t>Republican gift</t>
        </is>
      </c>
      <c r="C367" s="13" t="inlineStr">
        <is>
          <t>Knute for Governor</t>
        </is>
      </c>
      <c r="D367" s="13" t="inlineStr">
        <is>
          <t>15192</t>
        </is>
      </c>
      <c r="E367" s="13" t="inlineStr">
        <is>
          <t>2958374</t>
        </is>
      </c>
      <c r="F367" s="13" t="inlineStr">
        <is>
          <t>2018-09-11</t>
        </is>
      </c>
      <c r="G367" s="13" t="n">
        <v>250</v>
      </c>
      <c r="H367" s="13" t="inlineStr">
        <is>
          <t>Street address or PO box</t>
        </is>
      </c>
    </row>
    <row r="368">
      <c r="A368" s="13" t="inlineStr">
        <is>
          <t>H045</t>
        </is>
      </c>
      <c r="B368" s="13" t="inlineStr">
        <is>
          <t>Gift to a slate candidate</t>
        </is>
      </c>
      <c r="C368" s="13" t="inlineStr">
        <is>
          <t>Friends of Olivia</t>
        </is>
      </c>
      <c r="D368" s="13" t="inlineStr">
        <is>
          <t>23199</t>
        </is>
      </c>
      <c r="E368" s="13" t="inlineStr">
        <is>
          <t>4712048</t>
        </is>
      </c>
      <c r="F368" s="13" t="inlineStr">
        <is>
          <t>2023-12-06</t>
        </is>
      </c>
      <c r="G368" s="13" t="n">
        <v>250</v>
      </c>
      <c r="H368" s="13" t="inlineStr"/>
    </row>
    <row r="369">
      <c r="A369" s="13" t="inlineStr">
        <is>
          <t>H045</t>
        </is>
      </c>
      <c r="B369" s="13" t="inlineStr">
        <is>
          <t>Gift to a slate candidate</t>
        </is>
      </c>
      <c r="C369" s="13" t="inlineStr">
        <is>
          <t>Friends of Olivia</t>
        </is>
      </c>
      <c r="D369" s="13" t="inlineStr">
        <is>
          <t>23199</t>
        </is>
      </c>
      <c r="E369" s="13" t="inlineStr">
        <is>
          <t>5685641</t>
        </is>
      </c>
      <c r="F369" s="13" t="inlineStr">
        <is>
          <t>2026-06-09</t>
        </is>
      </c>
      <c r="G369" s="13" t="n">
        <v>250</v>
      </c>
      <c r="H369" s="13" t="inlineStr"/>
    </row>
    <row r="370">
      <c r="A370" s="13" t="inlineStr">
        <is>
          <t>H045</t>
        </is>
      </c>
      <c r="B370" s="13" t="inlineStr">
        <is>
          <t>Republican gift</t>
        </is>
      </c>
      <c r="C370" s="13" t="inlineStr">
        <is>
          <t>Bud Pierce for a Better Oregon</t>
        </is>
      </c>
      <c r="D370" s="13" t="inlineStr">
        <is>
          <t>17397</t>
        </is>
      </c>
      <c r="E370" s="13" t="inlineStr">
        <is>
          <t>2311460</t>
        </is>
      </c>
      <c r="F370" s="13" t="inlineStr">
        <is>
          <t>2016-08-07</t>
        </is>
      </c>
      <c r="G370" s="13" t="n">
        <v>250</v>
      </c>
      <c r="H370" s="13" t="inlineStr">
        <is>
          <t>Street address or PO box</t>
        </is>
      </c>
    </row>
    <row r="371">
      <c r="A371" s="13" t="inlineStr">
        <is>
          <t>H046</t>
        </is>
      </c>
      <c r="B371" s="13" t="inlineStr">
        <is>
          <t>Gift to a slate candidate</t>
        </is>
      </c>
      <c r="C371" s="13" t="inlineStr">
        <is>
          <t>Friends of Eric Zimmerman</t>
        </is>
      </c>
      <c r="D371" s="13" t="inlineStr">
        <is>
          <t>17629</t>
        </is>
      </c>
      <c r="E371" s="13" t="inlineStr">
        <is>
          <t>4928139</t>
        </is>
      </c>
      <c r="F371" s="13" t="inlineStr">
        <is>
          <t>2024-05-15</t>
        </is>
      </c>
      <c r="G371" s="13" t="n">
        <v>250</v>
      </c>
      <c r="H371" s="13" t="inlineStr"/>
    </row>
    <row r="372">
      <c r="A372" s="13" t="inlineStr">
        <is>
          <t>H046</t>
        </is>
      </c>
      <c r="B372" s="13" t="inlineStr">
        <is>
          <t>Gift to a slate candidate</t>
        </is>
      </c>
      <c r="C372" s="13" t="inlineStr">
        <is>
          <t>Friends of Eric Zimmerman</t>
        </is>
      </c>
      <c r="D372" s="13" t="inlineStr">
        <is>
          <t>17629</t>
        </is>
      </c>
      <c r="E372" s="13" t="inlineStr">
        <is>
          <t>4993338</t>
        </is>
      </c>
      <c r="F372" s="13" t="inlineStr">
        <is>
          <t>2024-08-08</t>
        </is>
      </c>
      <c r="G372" s="13" t="n">
        <v>250</v>
      </c>
      <c r="H372" s="13" t="inlineStr"/>
    </row>
    <row r="373">
      <c r="A373" s="13" t="inlineStr">
        <is>
          <t>H046</t>
        </is>
      </c>
      <c r="B373" s="13" t="inlineStr">
        <is>
          <t>Gift to a slate candidate</t>
        </is>
      </c>
      <c r="C373" s="13" t="inlineStr">
        <is>
          <t>Friends of Eric Zimmerman</t>
        </is>
      </c>
      <c r="D373" s="13" t="inlineStr">
        <is>
          <t>17629</t>
        </is>
      </c>
      <c r="E373" s="13" t="inlineStr">
        <is>
          <t>5778116</t>
        </is>
      </c>
      <c r="F373" s="13" t="inlineStr">
        <is>
          <t>2026-08-18</t>
        </is>
      </c>
      <c r="G373" s="13" t="n">
        <v>250</v>
      </c>
      <c r="H373" s="13" t="inlineStr"/>
    </row>
    <row r="374">
      <c r="A374" s="13" t="inlineStr">
        <is>
          <t>H046</t>
        </is>
      </c>
      <c r="B374" s="13" t="inlineStr">
        <is>
          <t>Gift to a slate candidate</t>
        </is>
      </c>
      <c r="C374" s="13" t="inlineStr">
        <is>
          <t>Friends of Eric Zimmerman</t>
        </is>
      </c>
      <c r="D374" s="13" t="inlineStr">
        <is>
          <t>17629</t>
        </is>
      </c>
      <c r="E374" s="13" t="inlineStr">
        <is>
          <t>5813942</t>
        </is>
      </c>
      <c r="F374" s="13" t="inlineStr">
        <is>
          <t>2026-09-13</t>
        </is>
      </c>
      <c r="G374" s="13" t="n">
        <v>250</v>
      </c>
      <c r="H374" s="13" t="inlineStr"/>
    </row>
    <row r="375">
      <c r="A375" s="13" t="inlineStr">
        <is>
          <t>H046</t>
        </is>
      </c>
      <c r="B375" s="13" t="inlineStr">
        <is>
          <t>Republican gift</t>
        </is>
      </c>
      <c r="C375" s="13" t="inlineStr">
        <is>
          <t>Buehler For a United Oregon</t>
        </is>
      </c>
      <c r="D375" s="13" t="inlineStr">
        <is>
          <t>15192</t>
        </is>
      </c>
      <c r="E375" s="13" t="inlineStr">
        <is>
          <t>2372574</t>
        </is>
      </c>
      <c r="F375" s="13" t="inlineStr">
        <is>
          <t>2016-08-30</t>
        </is>
      </c>
      <c r="G375" s="13" t="n">
        <v>250</v>
      </c>
      <c r="H375" s="13" t="inlineStr">
        <is>
          <t>Street address or PO box</t>
        </is>
      </c>
    </row>
    <row r="376">
      <c r="A376" s="13" t="inlineStr">
        <is>
          <t>H046</t>
        </is>
      </c>
      <c r="B376" s="13" t="inlineStr">
        <is>
          <t>Republican gift</t>
        </is>
      </c>
      <c r="C376" s="13" t="inlineStr">
        <is>
          <t>Buehler For a United Oregon</t>
        </is>
      </c>
      <c r="D376" s="13" t="inlineStr">
        <is>
          <t>15192</t>
        </is>
      </c>
      <c r="E376" s="13" t="inlineStr">
        <is>
          <t>2385463</t>
        </is>
      </c>
      <c r="F376" s="13" t="inlineStr">
        <is>
          <t>2016-09-30</t>
        </is>
      </c>
      <c r="G376" s="13" t="n">
        <v>250</v>
      </c>
      <c r="H376" s="13" t="inlineStr">
        <is>
          <t>Street address or PO box</t>
        </is>
      </c>
    </row>
    <row r="377">
      <c r="A377" s="13" t="inlineStr">
        <is>
          <t>H046</t>
        </is>
      </c>
      <c r="B377" s="13" t="inlineStr">
        <is>
          <t>Republican gift</t>
        </is>
      </c>
      <c r="C377" s="13" t="inlineStr">
        <is>
          <t>Buehler For a United Oregon</t>
        </is>
      </c>
      <c r="D377" s="13" t="inlineStr">
        <is>
          <t>15192</t>
        </is>
      </c>
      <c r="E377" s="13" t="inlineStr">
        <is>
          <t>2439363</t>
        </is>
      </c>
      <c r="F377" s="13" t="inlineStr">
        <is>
          <t>2016-10-30</t>
        </is>
      </c>
      <c r="G377" s="13" t="n">
        <v>250</v>
      </c>
      <c r="H377" s="13" t="inlineStr">
        <is>
          <t>Street address or PO box</t>
        </is>
      </c>
    </row>
    <row r="378">
      <c r="A378" s="13" t="inlineStr">
        <is>
          <t>H046</t>
        </is>
      </c>
      <c r="B378" s="13" t="inlineStr">
        <is>
          <t>Republican gift</t>
        </is>
      </c>
      <c r="C378" s="13" t="inlineStr">
        <is>
          <t>Buehler For a United Oregon</t>
        </is>
      </c>
      <c r="D378" s="13" t="inlineStr">
        <is>
          <t>15192</t>
        </is>
      </c>
      <c r="E378" s="13" t="inlineStr">
        <is>
          <t>2469214</t>
        </is>
      </c>
      <c r="F378" s="13" t="inlineStr">
        <is>
          <t>2016-11-30</t>
        </is>
      </c>
      <c r="G378" s="13" t="n">
        <v>250</v>
      </c>
      <c r="H378" s="13" t="inlineStr">
        <is>
          <t>Street address or PO box</t>
        </is>
      </c>
    </row>
    <row r="379">
      <c r="A379" s="13" t="inlineStr">
        <is>
          <t>H046</t>
        </is>
      </c>
      <c r="B379" s="13" t="inlineStr">
        <is>
          <t>Republican gift</t>
        </is>
      </c>
      <c r="C379" s="13" t="inlineStr">
        <is>
          <t>Buehler For a United Oregon</t>
        </is>
      </c>
      <c r="D379" s="13" t="inlineStr">
        <is>
          <t>15192</t>
        </is>
      </c>
      <c r="E379" s="13" t="inlineStr">
        <is>
          <t>2478440</t>
        </is>
      </c>
      <c r="F379" s="13" t="inlineStr">
        <is>
          <t>2016-12-30</t>
        </is>
      </c>
      <c r="G379" s="13" t="n">
        <v>250</v>
      </c>
      <c r="H379" s="13" t="inlineStr">
        <is>
          <t>Street address or PO box</t>
        </is>
      </c>
    </row>
    <row r="380">
      <c r="A380" s="13" t="inlineStr">
        <is>
          <t>H047</t>
        </is>
      </c>
      <c r="B380" s="13" t="inlineStr">
        <is>
          <t>Gift to a slate candidate</t>
        </is>
      </c>
      <c r="C380" s="13" t="inlineStr">
        <is>
          <t>Friends of Julia Brim-Edwards</t>
        </is>
      </c>
      <c r="D380" s="13" t="inlineStr">
        <is>
          <t>21206</t>
        </is>
      </c>
      <c r="E380" s="13" t="inlineStr">
        <is>
          <t>4536311</t>
        </is>
      </c>
      <c r="F380" s="13" t="inlineStr">
        <is>
          <t>2023-03-17</t>
        </is>
      </c>
      <c r="G380" s="13" t="n">
        <v>500</v>
      </c>
      <c r="H380" s="13" t="inlineStr"/>
    </row>
    <row r="381">
      <c r="A381" s="13" t="inlineStr">
        <is>
          <t>H047</t>
        </is>
      </c>
      <c r="B381" s="13" t="inlineStr">
        <is>
          <t>Gift to a slate candidate</t>
        </is>
      </c>
      <c r="C381" s="13" t="inlineStr">
        <is>
          <t>Friends of Julia Brim-Edwards</t>
        </is>
      </c>
      <c r="D381" s="13" t="inlineStr">
        <is>
          <t>21206</t>
        </is>
      </c>
      <c r="E381" s="13" t="inlineStr">
        <is>
          <t>4591203</t>
        </is>
      </c>
      <c r="F381" s="13" t="inlineStr">
        <is>
          <t>2023-05-18</t>
        </is>
      </c>
      <c r="G381" s="13" t="n">
        <v>500</v>
      </c>
      <c r="H381" s="13" t="inlineStr"/>
    </row>
    <row r="382">
      <c r="A382" s="13" t="inlineStr">
        <is>
          <t>H047</t>
        </is>
      </c>
      <c r="B382" s="13" t="inlineStr">
        <is>
          <t>Gift to a slate candidate</t>
        </is>
      </c>
      <c r="C382" s="13" t="inlineStr">
        <is>
          <t>Friends of Julia Brim-Edwards</t>
        </is>
      </c>
      <c r="D382" s="13" t="inlineStr">
        <is>
          <t>21206</t>
        </is>
      </c>
      <c r="E382" s="13" t="inlineStr">
        <is>
          <t>4909921</t>
        </is>
      </c>
      <c r="F382" s="13" t="inlineStr">
        <is>
          <t>2024-05-12</t>
        </is>
      </c>
      <c r="G382" s="13" t="n">
        <v>500</v>
      </c>
      <c r="H382" s="13" t="inlineStr"/>
    </row>
    <row r="383">
      <c r="A383" s="13" t="inlineStr">
        <is>
          <t>H047</t>
        </is>
      </c>
      <c r="B383" s="13" t="inlineStr">
        <is>
          <t>Gift to a slate candidate</t>
        </is>
      </c>
      <c r="C383" s="13" t="inlineStr">
        <is>
          <t>Friends of Julia Brim-Edwards</t>
        </is>
      </c>
      <c r="D383" s="13" t="inlineStr">
        <is>
          <t>21206</t>
        </is>
      </c>
      <c r="E383" s="13" t="inlineStr">
        <is>
          <t>5567236</t>
        </is>
      </c>
      <c r="F383" s="13" t="inlineStr">
        <is>
          <t>2026-03-09</t>
        </is>
      </c>
      <c r="G383" s="13" t="n">
        <v>500</v>
      </c>
      <c r="H383" s="13" t="inlineStr"/>
    </row>
    <row r="384">
      <c r="A384" s="13" t="inlineStr">
        <is>
          <t>H047</t>
        </is>
      </c>
      <c r="B384" s="13" t="inlineStr">
        <is>
          <t>Republican gift</t>
        </is>
      </c>
      <c r="C384" s="13" t="inlineStr">
        <is>
          <t>Buehler For a United Oregon</t>
        </is>
      </c>
      <c r="D384" s="13" t="inlineStr">
        <is>
          <t>15192</t>
        </is>
      </c>
      <c r="E384" s="13" t="inlineStr">
        <is>
          <t>2377910</t>
        </is>
      </c>
      <c r="F384" s="13" t="inlineStr">
        <is>
          <t>2016-09-07</t>
        </is>
      </c>
      <c r="G384" s="13" t="n">
        <v>500</v>
      </c>
      <c r="H384" s="13" t="inlineStr">
        <is>
          <t>Street address or PO box</t>
        </is>
      </c>
    </row>
    <row r="385">
      <c r="A385" s="13" t="inlineStr">
        <is>
          <t>H047</t>
        </is>
      </c>
      <c r="B385" s="13" t="inlineStr">
        <is>
          <t>Republican gift</t>
        </is>
      </c>
      <c r="C385" s="13" t="inlineStr">
        <is>
          <t>Knute for Governor</t>
        </is>
      </c>
      <c r="D385" s="13" t="inlineStr">
        <is>
          <t>15192</t>
        </is>
      </c>
      <c r="E385" s="13" t="inlineStr">
        <is>
          <t>2888479</t>
        </is>
      </c>
      <c r="F385" s="13" t="inlineStr">
        <is>
          <t>2018-07-06</t>
        </is>
      </c>
      <c r="G385" s="13" t="n">
        <v>1000</v>
      </c>
      <c r="H385" s="13" t="inlineStr">
        <is>
          <t>Street address or PO box</t>
        </is>
      </c>
    </row>
    <row r="386">
      <c r="A386" s="13" t="inlineStr">
        <is>
          <t>H047</t>
        </is>
      </c>
      <c r="B386" s="13" t="inlineStr">
        <is>
          <t>Republican gift</t>
        </is>
      </c>
      <c r="C386" s="13" t="inlineStr">
        <is>
          <t>Knute for Governor</t>
        </is>
      </c>
      <c r="D386" s="13" t="inlineStr">
        <is>
          <t>15192</t>
        </is>
      </c>
      <c r="E386" s="13" t="inlineStr">
        <is>
          <t>3043318</t>
        </is>
      </c>
      <c r="F386" s="13" t="inlineStr">
        <is>
          <t>2018-10-18</t>
        </is>
      </c>
      <c r="G386" s="13" t="n">
        <v>5000</v>
      </c>
      <c r="H386" s="13" t="inlineStr">
        <is>
          <t>Street address or PO box</t>
        </is>
      </c>
    </row>
    <row r="387">
      <c r="A387" s="13" t="inlineStr">
        <is>
          <t>H047</t>
        </is>
      </c>
      <c r="B387" s="13" t="inlineStr">
        <is>
          <t>Republican gift</t>
        </is>
      </c>
      <c r="C387" s="13" t="inlineStr">
        <is>
          <t>Knute for Governor</t>
        </is>
      </c>
      <c r="D387" s="13" t="inlineStr">
        <is>
          <t>15192</t>
        </is>
      </c>
      <c r="E387" s="13" t="inlineStr">
        <is>
          <t>3065142</t>
        </is>
      </c>
      <c r="F387" s="13" t="inlineStr">
        <is>
          <t>2018-10-29</t>
        </is>
      </c>
      <c r="G387" s="13" t="n">
        <v>5000</v>
      </c>
      <c r="H387" s="13" t="inlineStr">
        <is>
          <t>Street address or PO box</t>
        </is>
      </c>
    </row>
    <row r="388">
      <c r="A388" s="13" t="inlineStr">
        <is>
          <t>H048</t>
        </is>
      </c>
      <c r="B388" s="13" t="inlineStr">
        <is>
          <t>Gift to a slate candidate</t>
        </is>
      </c>
      <c r="C388" s="13" t="inlineStr">
        <is>
          <t>Eli for Portland</t>
        </is>
      </c>
      <c r="D388" s="13" t="inlineStr">
        <is>
          <t>23295</t>
        </is>
      </c>
      <c r="E388" s="13" t="inlineStr">
        <is>
          <t>4926099</t>
        </is>
      </c>
      <c r="F388" s="13" t="inlineStr">
        <is>
          <t>2024-05-04</t>
        </is>
      </c>
      <c r="G388" s="13" t="n">
        <v>250</v>
      </c>
      <c r="H388" s="13" t="inlineStr"/>
    </row>
    <row r="389">
      <c r="A389" s="13" t="inlineStr">
        <is>
          <t>H048</t>
        </is>
      </c>
      <c r="B389" s="13" t="inlineStr">
        <is>
          <t>Republican gift</t>
        </is>
      </c>
      <c r="C389" s="13" t="inlineStr">
        <is>
          <t>Bud Pierce for a Better Oregon</t>
        </is>
      </c>
      <c r="D389" s="13" t="inlineStr">
        <is>
          <t>17397</t>
        </is>
      </c>
      <c r="E389" s="13" t="inlineStr">
        <is>
          <t>2347630</t>
        </is>
      </c>
      <c r="F389" s="13" t="inlineStr">
        <is>
          <t>2016-09-14</t>
        </is>
      </c>
      <c r="G389" s="13" t="n">
        <v>1000</v>
      </c>
      <c r="H389" s="13" t="inlineStr">
        <is>
          <t>Street address or PO box</t>
        </is>
      </c>
    </row>
    <row r="390">
      <c r="A390" s="13" t="inlineStr">
        <is>
          <t>H049</t>
        </is>
      </c>
      <c r="B390" s="13" t="inlineStr">
        <is>
          <t>Gift to a slate candidate</t>
        </is>
      </c>
      <c r="C390" s="13" t="inlineStr">
        <is>
          <t>Novick for Portland</t>
        </is>
      </c>
      <c r="D390" s="13" t="inlineStr">
        <is>
          <t>15109</t>
        </is>
      </c>
      <c r="E390" s="13" t="inlineStr">
        <is>
          <t>5845072</t>
        </is>
      </c>
      <c r="F390" s="13" t="inlineStr">
        <is>
          <t>2026-09-28</t>
        </is>
      </c>
      <c r="G390" s="13" t="n">
        <v>250</v>
      </c>
      <c r="H390" s="13" t="inlineStr"/>
    </row>
    <row r="391">
      <c r="A391" s="13" t="inlineStr">
        <is>
          <t>H049</t>
        </is>
      </c>
      <c r="B391" s="13" t="inlineStr">
        <is>
          <t>Gift to a slate candidate</t>
        </is>
      </c>
      <c r="C391" s="13" t="inlineStr">
        <is>
          <t>Kellie Torres for Portland</t>
        </is>
      </c>
      <c r="D391" s="13" t="inlineStr">
        <is>
          <t>24897</t>
        </is>
      </c>
      <c r="E391" s="13" t="inlineStr">
        <is>
          <t>5873463</t>
        </is>
      </c>
      <c r="F391" s="13" t="inlineStr">
        <is>
          <t>2026-10-05</t>
        </is>
      </c>
      <c r="G391" s="13" t="n">
        <v>250</v>
      </c>
      <c r="H391" s="13" t="inlineStr"/>
    </row>
    <row r="392">
      <c r="A392" s="13" t="inlineStr">
        <is>
          <t>H049</t>
        </is>
      </c>
      <c r="B392" s="13" t="inlineStr">
        <is>
          <t>Republican gift</t>
        </is>
      </c>
      <c r="C392" s="13" t="inlineStr">
        <is>
          <t>Bud Pierce for a Better Oregon</t>
        </is>
      </c>
      <c r="D392" s="13" t="inlineStr">
        <is>
          <t>17397</t>
        </is>
      </c>
      <c r="E392" s="13" t="inlineStr">
        <is>
          <t>2428778</t>
        </is>
      </c>
      <c r="F392" s="13" t="inlineStr">
        <is>
          <t>2016-11-01</t>
        </is>
      </c>
      <c r="G392" s="13" t="n">
        <v>1000</v>
      </c>
      <c r="H392" s="13" t="inlineStr">
        <is>
          <t>Street address or PO box</t>
        </is>
      </c>
    </row>
    <row r="393">
      <c r="A393" s="13" t="inlineStr">
        <is>
          <t>H049</t>
        </is>
      </c>
      <c r="B393" s="13" t="inlineStr">
        <is>
          <t>Republican gift</t>
        </is>
      </c>
      <c r="C393" s="13" t="inlineStr">
        <is>
          <t>Knute for Governor</t>
        </is>
      </c>
      <c r="D393" s="13" t="inlineStr">
        <is>
          <t>15192</t>
        </is>
      </c>
      <c r="E393" s="13" t="inlineStr">
        <is>
          <t>2598132</t>
        </is>
      </c>
      <c r="F393" s="13" t="inlineStr">
        <is>
          <t>2017-08-16</t>
        </is>
      </c>
      <c r="G393" s="13" t="n">
        <v>500</v>
      </c>
      <c r="H393" s="13" t="inlineStr">
        <is>
          <t>Street address or PO box</t>
        </is>
      </c>
    </row>
    <row r="394">
      <c r="A394" s="13" t="inlineStr">
        <is>
          <t>H049</t>
        </is>
      </c>
      <c r="B394" s="13" t="inlineStr">
        <is>
          <t>Republican gift</t>
        </is>
      </c>
      <c r="C394" s="13" t="inlineStr">
        <is>
          <t>Knute for Governor</t>
        </is>
      </c>
      <c r="D394" s="13" t="inlineStr">
        <is>
          <t>15192</t>
        </is>
      </c>
      <c r="E394" s="13" t="inlineStr">
        <is>
          <t>2897641</t>
        </is>
      </c>
      <c r="F394" s="13" t="inlineStr">
        <is>
          <t>2018-07-18</t>
        </is>
      </c>
      <c r="G394" s="13" t="n">
        <v>500</v>
      </c>
      <c r="H394" s="13" t="inlineStr">
        <is>
          <t>Street address or PO box</t>
        </is>
      </c>
    </row>
    <row r="395">
      <c r="A395" s="13" t="inlineStr">
        <is>
          <t>H049</t>
        </is>
      </c>
      <c r="B395" s="13" t="inlineStr">
        <is>
          <t>Republican gift</t>
        </is>
      </c>
      <c r="C395" s="13" t="inlineStr">
        <is>
          <t>Knute for Governor</t>
        </is>
      </c>
      <c r="D395" s="13" t="inlineStr">
        <is>
          <t>15192</t>
        </is>
      </c>
      <c r="E395" s="13" t="inlineStr">
        <is>
          <t>3061372</t>
        </is>
      </c>
      <c r="F395" s="13" t="inlineStr">
        <is>
          <t>2018-10-26</t>
        </is>
      </c>
      <c r="G395" s="13" t="n">
        <v>500</v>
      </c>
      <c r="H395" s="13" t="inlineStr">
        <is>
          <t>Street address or PO box</t>
        </is>
      </c>
    </row>
    <row r="396">
      <c r="A396" s="13" t="inlineStr">
        <is>
          <t>H050</t>
        </is>
      </c>
      <c r="B396" s="13" t="inlineStr">
        <is>
          <t>Gift to a slate candidate</t>
        </is>
      </c>
      <c r="C396" s="13" t="inlineStr">
        <is>
          <t>Friends of Julia Brim-Edwards</t>
        </is>
      </c>
      <c r="D396" s="13" t="inlineStr">
        <is>
          <t>21206</t>
        </is>
      </c>
      <c r="E396" s="13" t="inlineStr">
        <is>
          <t>4921371</t>
        </is>
      </c>
      <c r="F396" s="13" t="inlineStr">
        <is>
          <t>2024-05-17</t>
        </is>
      </c>
      <c r="G396" s="13" t="n">
        <v>500</v>
      </c>
      <c r="H396" s="13" t="inlineStr"/>
    </row>
    <row r="397">
      <c r="A397" s="13" t="inlineStr">
        <is>
          <t>H050</t>
        </is>
      </c>
      <c r="B397" s="13" t="inlineStr">
        <is>
          <t>Republican gift</t>
        </is>
      </c>
      <c r="C397" s="13" t="inlineStr">
        <is>
          <t>Buehler For a United Oregon</t>
        </is>
      </c>
      <c r="D397" s="13" t="inlineStr">
        <is>
          <t>15192</t>
        </is>
      </c>
      <c r="E397" s="13" t="inlineStr">
        <is>
          <t>2446180</t>
        </is>
      </c>
      <c r="F397" s="13" t="inlineStr">
        <is>
          <t>2016-11-07</t>
        </is>
      </c>
      <c r="G397" s="13" t="n">
        <v>500</v>
      </c>
      <c r="H397" s="13" t="inlineStr">
        <is>
          <t>Street address or PO box</t>
        </is>
      </c>
    </row>
    <row r="398">
      <c r="A398" s="13" t="inlineStr">
        <is>
          <t>H050</t>
        </is>
      </c>
      <c r="B398" s="13" t="inlineStr">
        <is>
          <t>Republican gift</t>
        </is>
      </c>
      <c r="C398" s="13" t="inlineStr">
        <is>
          <t>The Leadership Fund</t>
        </is>
      </c>
      <c r="D398" s="13" t="inlineStr">
        <is>
          <t>2690</t>
        </is>
      </c>
      <c r="E398" s="13" t="inlineStr">
        <is>
          <t>2441264</t>
        </is>
      </c>
      <c r="F398" s="13" t="inlineStr">
        <is>
          <t>2016-11-07</t>
        </is>
      </c>
      <c r="G398" s="13" t="n">
        <v>500</v>
      </c>
      <c r="H398" s="13" t="inlineStr">
        <is>
          <t>Street address or PO box</t>
        </is>
      </c>
    </row>
    <row r="399">
      <c r="A399" s="13" t="inlineStr">
        <is>
          <t>H051</t>
        </is>
      </c>
      <c r="B399" s="13" t="inlineStr">
        <is>
          <t>Gift to a slate candidate</t>
        </is>
      </c>
      <c r="C399" s="13" t="inlineStr">
        <is>
          <t>Friends of Julia Brim-Edwards</t>
        </is>
      </c>
      <c r="D399" s="13" t="inlineStr">
        <is>
          <t>21206</t>
        </is>
      </c>
      <c r="E399" s="13" t="inlineStr">
        <is>
          <t>5567230</t>
        </is>
      </c>
      <c r="F399" s="13" t="inlineStr">
        <is>
          <t>2026-03-07</t>
        </is>
      </c>
      <c r="G399" s="13" t="n">
        <v>500</v>
      </c>
      <c r="H399" s="13" t="inlineStr"/>
    </row>
    <row r="400">
      <c r="A400" s="13" t="inlineStr">
        <is>
          <t>H051</t>
        </is>
      </c>
      <c r="B400" s="13" t="inlineStr">
        <is>
          <t>Gift to a slate candidate</t>
        </is>
      </c>
      <c r="C400" s="13" t="inlineStr">
        <is>
          <t>Friends of Olivia</t>
        </is>
      </c>
      <c r="D400" s="13" t="inlineStr">
        <is>
          <t>23199</t>
        </is>
      </c>
      <c r="E400" s="13" t="inlineStr">
        <is>
          <t>5844241</t>
        </is>
      </c>
      <c r="F400" s="13" t="inlineStr">
        <is>
          <t>2026-09-15</t>
        </is>
      </c>
      <c r="G400" s="13" t="n">
        <v>250</v>
      </c>
      <c r="H400" s="13" t="inlineStr"/>
    </row>
    <row r="401">
      <c r="A401" s="13" t="inlineStr">
        <is>
          <t>H051</t>
        </is>
      </c>
      <c r="B401" s="13" t="inlineStr">
        <is>
          <t>Gift to a slate candidate</t>
        </is>
      </c>
      <c r="C401" s="13" t="inlineStr">
        <is>
          <t>Friends of Eric Zimmerman</t>
        </is>
      </c>
      <c r="D401" s="13" t="inlineStr">
        <is>
          <t>17629</t>
        </is>
      </c>
      <c r="E401" s="13" t="inlineStr">
        <is>
          <t>5813995</t>
        </is>
      </c>
      <c r="F401" s="13" t="inlineStr">
        <is>
          <t>2026-09-15</t>
        </is>
      </c>
      <c r="G401" s="13" t="n">
        <v>250</v>
      </c>
      <c r="H401" s="13" t="inlineStr"/>
    </row>
    <row r="402">
      <c r="A402" s="13" t="inlineStr">
        <is>
          <t>H051</t>
        </is>
      </c>
      <c r="B402" s="13" t="inlineStr">
        <is>
          <t>Republican gift</t>
        </is>
      </c>
      <c r="C402" s="13" t="inlineStr">
        <is>
          <t>Knute for Governor</t>
        </is>
      </c>
      <c r="D402" s="13" t="inlineStr">
        <is>
          <t>15192</t>
        </is>
      </c>
      <c r="E402" s="13" t="inlineStr">
        <is>
          <t>2598126</t>
        </is>
      </c>
      <c r="F402" s="13" t="inlineStr">
        <is>
          <t>2017-08-16</t>
        </is>
      </c>
      <c r="G402" s="13" t="n">
        <v>250</v>
      </c>
      <c r="H402" s="13" t="inlineStr">
        <is>
          <t>Street address or PO box</t>
        </is>
      </c>
    </row>
    <row r="403">
      <c r="A403" s="13" t="inlineStr">
        <is>
          <t>H051</t>
        </is>
      </c>
      <c r="B403" s="13" t="inlineStr">
        <is>
          <t>Republican gift</t>
        </is>
      </c>
      <c r="C403" s="13" t="inlineStr">
        <is>
          <t>Knute for Governor</t>
        </is>
      </c>
      <c r="D403" s="13" t="inlineStr">
        <is>
          <t>15192</t>
        </is>
      </c>
      <c r="E403" s="13" t="inlineStr">
        <is>
          <t>2631877</t>
        </is>
      </c>
      <c r="F403" s="13" t="inlineStr">
        <is>
          <t>2017-10-04</t>
        </is>
      </c>
      <c r="G403" s="13" t="n">
        <v>250</v>
      </c>
      <c r="H403" s="13" t="inlineStr">
        <is>
          <t>Street address or PO box</t>
        </is>
      </c>
    </row>
    <row r="404">
      <c r="A404" s="13" t="inlineStr">
        <is>
          <t>H051</t>
        </is>
      </c>
      <c r="B404" s="13" t="inlineStr">
        <is>
          <t>Republican gift</t>
        </is>
      </c>
      <c r="C404" s="13" t="inlineStr">
        <is>
          <t>Knute for Governor</t>
        </is>
      </c>
      <c r="D404" s="13" t="inlineStr">
        <is>
          <t>15192</t>
        </is>
      </c>
      <c r="E404" s="13" t="inlineStr">
        <is>
          <t>2732002</t>
        </is>
      </c>
      <c r="F404" s="13" t="inlineStr">
        <is>
          <t>2018-01-22</t>
        </is>
      </c>
      <c r="G404" s="13" t="n">
        <v>250</v>
      </c>
      <c r="H404" s="13" t="inlineStr">
        <is>
          <t>Street address or PO box</t>
        </is>
      </c>
    </row>
    <row r="405">
      <c r="A405" s="13" t="inlineStr">
        <is>
          <t>H051</t>
        </is>
      </c>
      <c r="B405" s="13" t="inlineStr">
        <is>
          <t>Republican gift</t>
        </is>
      </c>
      <c r="C405" s="13" t="inlineStr">
        <is>
          <t>Knute for Governor</t>
        </is>
      </c>
      <c r="D405" s="13" t="inlineStr">
        <is>
          <t>15192</t>
        </is>
      </c>
      <c r="E405" s="13" t="inlineStr">
        <is>
          <t>2965588</t>
        </is>
      </c>
      <c r="F405" s="13" t="inlineStr">
        <is>
          <t>2018-09-06</t>
        </is>
      </c>
      <c r="G405" s="13" t="n">
        <v>250</v>
      </c>
      <c r="H405" s="13" t="inlineStr">
        <is>
          <t>Street address or PO box</t>
        </is>
      </c>
    </row>
    <row r="406">
      <c r="A406" s="13" t="inlineStr">
        <is>
          <t>H052</t>
        </is>
      </c>
      <c r="B406" s="13" t="inlineStr">
        <is>
          <t>Gift to a slate candidate</t>
        </is>
      </c>
      <c r="C406" s="13" t="inlineStr">
        <is>
          <t>Friends of Olivia</t>
        </is>
      </c>
      <c r="D406" s="13" t="inlineStr">
        <is>
          <t>23199</t>
        </is>
      </c>
      <c r="E406" s="13" t="inlineStr">
        <is>
          <t>5868475</t>
        </is>
      </c>
      <c r="F406" s="13" t="inlineStr">
        <is>
          <t>2026-10-05</t>
        </is>
      </c>
      <c r="G406" s="13" t="n">
        <v>250</v>
      </c>
      <c r="H406" s="13" t="inlineStr"/>
    </row>
    <row r="407">
      <c r="A407" s="13" t="inlineStr">
        <is>
          <t>H052</t>
        </is>
      </c>
      <c r="B407" s="13" t="inlineStr">
        <is>
          <t>Republican gift</t>
        </is>
      </c>
      <c r="C407" s="13" t="inlineStr">
        <is>
          <t>Knute for Governor</t>
        </is>
      </c>
      <c r="D407" s="13" t="inlineStr">
        <is>
          <t>15192</t>
        </is>
      </c>
      <c r="E407" s="13" t="inlineStr">
        <is>
          <t>2607747</t>
        </is>
      </c>
      <c r="F407" s="13" t="inlineStr">
        <is>
          <t>2017-09-03</t>
        </is>
      </c>
      <c r="G407" s="13" t="n">
        <v>250</v>
      </c>
      <c r="H407" s="13" t="inlineStr">
        <is>
          <t>Street address or PO box</t>
        </is>
      </c>
    </row>
    <row r="408">
      <c r="A408" s="13" t="inlineStr">
        <is>
          <t>H052</t>
        </is>
      </c>
      <c r="B408" s="13" t="inlineStr">
        <is>
          <t>Republican gift</t>
        </is>
      </c>
      <c r="C408" s="13" t="inlineStr">
        <is>
          <t>Knute for Governor</t>
        </is>
      </c>
      <c r="D408" s="13" t="inlineStr">
        <is>
          <t>15192</t>
        </is>
      </c>
      <c r="E408" s="13" t="inlineStr">
        <is>
          <t>2631507</t>
        </is>
      </c>
      <c r="F408" s="13" t="inlineStr">
        <is>
          <t>2017-10-03</t>
        </is>
      </c>
      <c r="G408" s="13" t="n">
        <v>250</v>
      </c>
      <c r="H408" s="13" t="inlineStr">
        <is>
          <t>Street address or PO box</t>
        </is>
      </c>
    </row>
    <row r="409">
      <c r="A409" s="13" t="inlineStr">
        <is>
          <t>H053</t>
        </is>
      </c>
      <c r="B409" s="13" t="inlineStr">
        <is>
          <t>Gift to a slate candidate</t>
        </is>
      </c>
      <c r="C409" s="13" t="inlineStr">
        <is>
          <t>Kellie Torres for Portland</t>
        </is>
      </c>
      <c r="D409" s="13" t="inlineStr">
        <is>
          <t>24897</t>
        </is>
      </c>
      <c r="E409" s="13" t="inlineStr">
        <is>
          <t>5873390</t>
        </is>
      </c>
      <c r="F409" s="13" t="inlineStr">
        <is>
          <t>2026-10-05</t>
        </is>
      </c>
      <c r="G409" s="13" t="n">
        <v>250</v>
      </c>
      <c r="H409" s="13" t="inlineStr"/>
    </row>
    <row r="410">
      <c r="A410" s="13" t="inlineStr">
        <is>
          <t>H053</t>
        </is>
      </c>
      <c r="B410" s="13" t="inlineStr">
        <is>
          <t>Republican gift</t>
        </is>
      </c>
      <c r="C410" s="13" t="inlineStr">
        <is>
          <t>Knute for Governor</t>
        </is>
      </c>
      <c r="D410" s="13" t="inlineStr">
        <is>
          <t>15192</t>
        </is>
      </c>
      <c r="E410" s="13" t="inlineStr">
        <is>
          <t>2622423</t>
        </is>
      </c>
      <c r="F410" s="13" t="inlineStr">
        <is>
          <t>2017-09-22</t>
        </is>
      </c>
      <c r="G410" s="13" t="n">
        <v>250</v>
      </c>
      <c r="H410" s="13" t="inlineStr">
        <is>
          <t>Street address or PO box</t>
        </is>
      </c>
    </row>
    <row r="411">
      <c r="A411" s="13" t="inlineStr">
        <is>
          <t>H053</t>
        </is>
      </c>
      <c r="B411" s="13" t="inlineStr">
        <is>
          <t>Republican gift</t>
        </is>
      </c>
      <c r="C411" s="13" t="inlineStr">
        <is>
          <t>Knute for Governor</t>
        </is>
      </c>
      <c r="D411" s="13" t="inlineStr">
        <is>
          <t>15192</t>
        </is>
      </c>
      <c r="E411" s="13" t="inlineStr">
        <is>
          <t>2948048</t>
        </is>
      </c>
      <c r="F411" s="13" t="inlineStr">
        <is>
          <t>2018-09-03</t>
        </is>
      </c>
      <c r="G411" s="13" t="n">
        <v>250</v>
      </c>
      <c r="H411" s="13" t="inlineStr">
        <is>
          <t>Street address or PO box</t>
        </is>
      </c>
    </row>
    <row r="412">
      <c r="A412" s="13" t="inlineStr">
        <is>
          <t>H054</t>
        </is>
      </c>
      <c r="B412" s="13" t="inlineStr">
        <is>
          <t>Gift to a slate candidate</t>
        </is>
      </c>
      <c r="C412" s="13" t="inlineStr">
        <is>
          <t>Kellie Torres for Portland</t>
        </is>
      </c>
      <c r="D412" s="13" t="inlineStr">
        <is>
          <t>24897</t>
        </is>
      </c>
      <c r="E412" s="13" t="inlineStr">
        <is>
          <t>5780403</t>
        </is>
      </c>
      <c r="F412" s="13" t="inlineStr">
        <is>
          <t>2026-08-09</t>
        </is>
      </c>
      <c r="G412" s="13" t="n">
        <v>250</v>
      </c>
      <c r="H412" s="13" t="inlineStr"/>
    </row>
    <row r="413">
      <c r="A413" s="13" t="inlineStr">
        <is>
          <t>H054</t>
        </is>
      </c>
      <c r="B413" s="13" t="inlineStr">
        <is>
          <t>Republican gift</t>
        </is>
      </c>
      <c r="C413" s="13" t="inlineStr">
        <is>
          <t>Knute for Governor</t>
        </is>
      </c>
      <c r="D413" s="13" t="inlineStr">
        <is>
          <t>15192</t>
        </is>
      </c>
      <c r="E413" s="13" t="inlineStr">
        <is>
          <t>2626751</t>
        </is>
      </c>
      <c r="F413" s="13" t="inlineStr">
        <is>
          <t>2017-09-26</t>
        </is>
      </c>
      <c r="G413" s="13" t="n">
        <v>5000</v>
      </c>
      <c r="H413" s="13" t="inlineStr">
        <is>
          <t>Street address or PO box</t>
        </is>
      </c>
    </row>
    <row r="414">
      <c r="A414" s="13" t="inlineStr">
        <is>
          <t>H055</t>
        </is>
      </c>
      <c r="B414" s="13" t="inlineStr">
        <is>
          <t>Gift to a slate candidate</t>
        </is>
      </c>
      <c r="C414" s="13" t="inlineStr">
        <is>
          <t>Friends of Julia Brim-Edwards</t>
        </is>
      </c>
      <c r="D414" s="13" t="inlineStr">
        <is>
          <t>21206</t>
        </is>
      </c>
      <c r="E414" s="13" t="inlineStr">
        <is>
          <t>4530510</t>
        </is>
      </c>
      <c r="F414" s="13" t="inlineStr">
        <is>
          <t>2023-03-14</t>
        </is>
      </c>
      <c r="G414" s="13" t="n">
        <v>500</v>
      </c>
      <c r="H414" s="13" t="inlineStr"/>
    </row>
    <row r="415">
      <c r="A415" s="13" t="inlineStr">
        <is>
          <t>H055</t>
        </is>
      </c>
      <c r="B415" s="13" t="inlineStr">
        <is>
          <t>Gift to a slate candidate</t>
        </is>
      </c>
      <c r="C415" s="13" t="inlineStr">
        <is>
          <t>Novick for Portland</t>
        </is>
      </c>
      <c r="D415" s="13" t="inlineStr">
        <is>
          <t>15109</t>
        </is>
      </c>
      <c r="E415" s="13" t="inlineStr">
        <is>
          <t>4772833</t>
        </is>
      </c>
      <c r="F415" s="13" t="inlineStr">
        <is>
          <t>2024-01-26</t>
        </is>
      </c>
      <c r="G415" s="13" t="n">
        <v>250</v>
      </c>
      <c r="H415" s="13" t="inlineStr"/>
    </row>
    <row r="416">
      <c r="A416" s="13" t="inlineStr">
        <is>
          <t>H055</t>
        </is>
      </c>
      <c r="B416" s="13" t="inlineStr">
        <is>
          <t>Gift to a slate candidate</t>
        </is>
      </c>
      <c r="C416" s="13" t="inlineStr">
        <is>
          <t>Friends of Julia Brim-Edwards</t>
        </is>
      </c>
      <c r="D416" s="13" t="inlineStr">
        <is>
          <t>21206</t>
        </is>
      </c>
      <c r="E416" s="13" t="inlineStr">
        <is>
          <t>4853064</t>
        </is>
      </c>
      <c r="F416" s="13" t="inlineStr">
        <is>
          <t>2024-03-25</t>
        </is>
      </c>
      <c r="G416" s="13" t="n">
        <v>500</v>
      </c>
      <c r="H416" s="13" t="inlineStr"/>
    </row>
    <row r="417">
      <c r="A417" s="13" t="inlineStr">
        <is>
          <t>H055</t>
        </is>
      </c>
      <c r="B417" s="13" t="inlineStr">
        <is>
          <t>Gift to a slate candidate</t>
        </is>
      </c>
      <c r="C417" s="13" t="inlineStr">
        <is>
          <t>Friends of Olivia</t>
        </is>
      </c>
      <c r="D417" s="13" t="inlineStr">
        <is>
          <t>23199</t>
        </is>
      </c>
      <c r="E417" s="13" t="inlineStr">
        <is>
          <t>5005001</t>
        </is>
      </c>
      <c r="F417" s="13" t="inlineStr">
        <is>
          <t>2024-08-02</t>
        </is>
      </c>
      <c r="G417" s="13" t="n">
        <v>250</v>
      </c>
      <c r="H417" s="13" t="inlineStr"/>
    </row>
    <row r="418">
      <c r="A418" s="13" t="inlineStr">
        <is>
          <t>H055</t>
        </is>
      </c>
      <c r="B418" s="13" t="inlineStr">
        <is>
          <t>Gift to a slate candidate</t>
        </is>
      </c>
      <c r="C418" s="13" t="inlineStr">
        <is>
          <t>Friends of Eric Zimmerman</t>
        </is>
      </c>
      <c r="D418" s="13" t="inlineStr">
        <is>
          <t>17629</t>
        </is>
      </c>
      <c r="E418" s="13" t="inlineStr">
        <is>
          <t>4993430</t>
        </is>
      </c>
      <c r="F418" s="13" t="inlineStr">
        <is>
          <t>2024-08-11</t>
        </is>
      </c>
      <c r="G418" s="13" t="n">
        <v>250</v>
      </c>
      <c r="H418" s="13" t="inlineStr"/>
    </row>
    <row r="419">
      <c r="A419" s="13" t="inlineStr">
        <is>
          <t>H055</t>
        </is>
      </c>
      <c r="B419" s="13" t="inlineStr">
        <is>
          <t>Gift to a slate candidate</t>
        </is>
      </c>
      <c r="C419" s="13" t="inlineStr">
        <is>
          <t>Eli for Portland</t>
        </is>
      </c>
      <c r="D419" s="13" t="inlineStr">
        <is>
          <t>23295</t>
        </is>
      </c>
      <c r="E419" s="13" t="inlineStr">
        <is>
          <t>4993300</t>
        </is>
      </c>
      <c r="F419" s="13" t="inlineStr">
        <is>
          <t>2024-08-15</t>
        </is>
      </c>
      <c r="G419" s="13" t="n">
        <v>250</v>
      </c>
      <c r="H419" s="13" t="inlineStr"/>
    </row>
    <row r="420">
      <c r="A420" s="13" t="inlineStr">
        <is>
          <t>H055</t>
        </is>
      </c>
      <c r="B420" s="13" t="inlineStr">
        <is>
          <t>Gift to a slate candidate</t>
        </is>
      </c>
      <c r="C420" s="13" t="inlineStr">
        <is>
          <t>Friends of Olivia</t>
        </is>
      </c>
      <c r="D420" s="13" t="inlineStr">
        <is>
          <t>23199</t>
        </is>
      </c>
      <c r="E420" s="13" t="inlineStr">
        <is>
          <t>5375098</t>
        </is>
      </c>
      <c r="F420" s="13" t="inlineStr">
        <is>
          <t>2025-08-21</t>
        </is>
      </c>
      <c r="G420" s="13" t="n">
        <v>250</v>
      </c>
      <c r="H420" s="13" t="inlineStr"/>
    </row>
    <row r="421">
      <c r="A421" s="13" t="inlineStr">
        <is>
          <t>H055</t>
        </is>
      </c>
      <c r="B421" s="13" t="inlineStr">
        <is>
          <t>Gift to a slate candidate</t>
        </is>
      </c>
      <c r="C421" s="13" t="inlineStr">
        <is>
          <t>Friends of Julia Brim-Edwards</t>
        </is>
      </c>
      <c r="D421" s="13" t="inlineStr">
        <is>
          <t>21206</t>
        </is>
      </c>
      <c r="E421" s="13" t="inlineStr">
        <is>
          <t>5555005</t>
        </is>
      </c>
      <c r="F421" s="13" t="inlineStr">
        <is>
          <t>2026-02-13</t>
        </is>
      </c>
      <c r="G421" s="13" t="n">
        <v>500</v>
      </c>
      <c r="H421" s="13" t="inlineStr"/>
    </row>
    <row r="422">
      <c r="A422" s="13" t="inlineStr">
        <is>
          <t>H055</t>
        </is>
      </c>
      <c r="B422" s="13" t="inlineStr">
        <is>
          <t>Gift to a slate candidate</t>
        </is>
      </c>
      <c r="C422" s="13" t="inlineStr">
        <is>
          <t>Novick for Portland</t>
        </is>
      </c>
      <c r="D422" s="13" t="inlineStr">
        <is>
          <t>15109</t>
        </is>
      </c>
      <c r="E422" s="13" t="inlineStr">
        <is>
          <t>5793318</t>
        </is>
      </c>
      <c r="F422" s="13" t="inlineStr">
        <is>
          <t>2026-08-21</t>
        </is>
      </c>
      <c r="G422" s="13" t="n">
        <v>250</v>
      </c>
      <c r="H422" s="13" t="inlineStr"/>
    </row>
    <row r="423">
      <c r="A423" s="13" t="inlineStr">
        <is>
          <t>H055</t>
        </is>
      </c>
      <c r="B423" s="13" t="inlineStr">
        <is>
          <t>Republican gift</t>
        </is>
      </c>
      <c r="C423" s="13" t="inlineStr">
        <is>
          <t>Knute for Governor</t>
        </is>
      </c>
      <c r="D423" s="13" t="inlineStr">
        <is>
          <t>15192</t>
        </is>
      </c>
      <c r="E423" s="13" t="inlineStr">
        <is>
          <t>2670230</t>
        </is>
      </c>
      <c r="F423" s="13" t="inlineStr">
        <is>
          <t>2017-10-25</t>
        </is>
      </c>
      <c r="G423" s="13" t="n">
        <v>1000</v>
      </c>
      <c r="H423" s="13" t="inlineStr">
        <is>
          <t>Street address or PO box</t>
        </is>
      </c>
    </row>
    <row r="424">
      <c r="A424" s="13" t="inlineStr">
        <is>
          <t>H055</t>
        </is>
      </c>
      <c r="B424" s="13" t="inlineStr">
        <is>
          <t>Republican gift</t>
        </is>
      </c>
      <c r="C424" s="13" t="inlineStr">
        <is>
          <t>Knute for Governor</t>
        </is>
      </c>
      <c r="D424" s="13" t="inlineStr">
        <is>
          <t>15192</t>
        </is>
      </c>
      <c r="E424" s="13" t="inlineStr">
        <is>
          <t>2804186</t>
        </is>
      </c>
      <c r="F424" s="13" t="inlineStr">
        <is>
          <t>2018-04-10</t>
        </is>
      </c>
      <c r="G424" s="13" t="n">
        <v>750</v>
      </c>
      <c r="H424" s="13" t="inlineStr">
        <is>
          <t>Street address or PO box</t>
        </is>
      </c>
    </row>
    <row r="425">
      <c r="A425" s="13" t="inlineStr">
        <is>
          <t>H055</t>
        </is>
      </c>
      <c r="B425" s="13" t="inlineStr">
        <is>
          <t>Republican gift</t>
        </is>
      </c>
      <c r="C425" s="13" t="inlineStr">
        <is>
          <t>Knute for Governor</t>
        </is>
      </c>
      <c r="D425" s="13" t="inlineStr">
        <is>
          <t>15192</t>
        </is>
      </c>
      <c r="E425" s="13" t="inlineStr">
        <is>
          <t>2880177</t>
        </is>
      </c>
      <c r="F425" s="13" t="inlineStr">
        <is>
          <t>2018-06-28</t>
        </is>
      </c>
      <c r="G425" s="13" t="n">
        <v>10000</v>
      </c>
      <c r="H425" s="13" t="inlineStr">
        <is>
          <t>Street address or PO box</t>
        </is>
      </c>
    </row>
    <row r="426">
      <c r="A426" s="13" t="inlineStr">
        <is>
          <t>H055</t>
        </is>
      </c>
      <c r="B426" s="13" t="inlineStr">
        <is>
          <t>Republican gift</t>
        </is>
      </c>
      <c r="C426" s="13" t="inlineStr">
        <is>
          <t>Knute for Governor</t>
        </is>
      </c>
      <c r="D426" s="13" t="inlineStr">
        <is>
          <t>15192</t>
        </is>
      </c>
      <c r="E426" s="13" t="inlineStr">
        <is>
          <t>3053028</t>
        </is>
      </c>
      <c r="F426" s="13" t="inlineStr">
        <is>
          <t>2018-10-26</t>
        </is>
      </c>
      <c r="G426" s="13" t="n">
        <v>3000</v>
      </c>
      <c r="H426" s="13" t="inlineStr">
        <is>
          <t>Street address or PO box</t>
        </is>
      </c>
    </row>
    <row r="427">
      <c r="A427" s="13" t="inlineStr">
        <is>
          <t>H056</t>
        </is>
      </c>
      <c r="B427" s="13" t="inlineStr">
        <is>
          <t>Gift to a slate candidate</t>
        </is>
      </c>
      <c r="C427" s="13" t="inlineStr">
        <is>
          <t>Friends of Julia Brim-Edwards</t>
        </is>
      </c>
      <c r="D427" s="13" t="inlineStr">
        <is>
          <t>21206</t>
        </is>
      </c>
      <c r="E427" s="13" t="inlineStr">
        <is>
          <t>4572213</t>
        </is>
      </c>
      <c r="F427" s="13" t="inlineStr">
        <is>
          <t>2023-05-08</t>
        </is>
      </c>
      <c r="G427" s="13" t="n">
        <v>500</v>
      </c>
      <c r="H427" s="13" t="inlineStr"/>
    </row>
    <row r="428">
      <c r="A428" s="13" t="inlineStr">
        <is>
          <t>H056</t>
        </is>
      </c>
      <c r="B428" s="13" t="inlineStr">
        <is>
          <t>Republican gift</t>
        </is>
      </c>
      <c r="C428" s="13" t="inlineStr">
        <is>
          <t>Knute for Governor</t>
        </is>
      </c>
      <c r="D428" s="13" t="inlineStr">
        <is>
          <t>15192</t>
        </is>
      </c>
      <c r="E428" s="13" t="inlineStr">
        <is>
          <t>2652082</t>
        </is>
      </c>
      <c r="F428" s="13" t="inlineStr">
        <is>
          <t>2017-10-30</t>
        </is>
      </c>
      <c r="G428" s="13" t="n">
        <v>3000</v>
      </c>
      <c r="H428" s="13" t="inlineStr">
        <is>
          <t>Street address or PO box</t>
        </is>
      </c>
    </row>
    <row r="429">
      <c r="A429" s="13" t="inlineStr">
        <is>
          <t>H056</t>
        </is>
      </c>
      <c r="B429" s="13" t="inlineStr">
        <is>
          <t>Republican gift</t>
        </is>
      </c>
      <c r="C429" s="13" t="inlineStr">
        <is>
          <t>Knute for Governor</t>
        </is>
      </c>
      <c r="D429" s="13" t="inlineStr">
        <is>
          <t>15192</t>
        </is>
      </c>
      <c r="E429" s="13" t="inlineStr">
        <is>
          <t>3043256</t>
        </is>
      </c>
      <c r="F429" s="13" t="inlineStr">
        <is>
          <t>2018-10-17</t>
        </is>
      </c>
      <c r="G429" s="13" t="n">
        <v>10000</v>
      </c>
      <c r="H429" s="13" t="inlineStr">
        <is>
          <t>Street address or PO box</t>
        </is>
      </c>
    </row>
    <row r="430">
      <c r="A430" s="13" t="inlineStr">
        <is>
          <t>H057</t>
        </is>
      </c>
      <c r="B430" s="13" t="inlineStr">
        <is>
          <t>Gift to a slate candidate</t>
        </is>
      </c>
      <c r="C430" s="13" t="inlineStr">
        <is>
          <t>Kellie Torres for Portland</t>
        </is>
      </c>
      <c r="D430" s="13" t="inlineStr">
        <is>
          <t>24897</t>
        </is>
      </c>
      <c r="E430" s="13" t="inlineStr">
        <is>
          <t>5780404</t>
        </is>
      </c>
      <c r="F430" s="13" t="inlineStr">
        <is>
          <t>2026-08-09</t>
        </is>
      </c>
      <c r="G430" s="13" t="n">
        <v>250</v>
      </c>
      <c r="H430" s="13" t="inlineStr"/>
    </row>
    <row r="431">
      <c r="A431" s="13" t="inlineStr">
        <is>
          <t>H057</t>
        </is>
      </c>
      <c r="B431" s="13" t="inlineStr">
        <is>
          <t>Republican gift</t>
        </is>
      </c>
      <c r="C431" s="13" t="inlineStr">
        <is>
          <t>Knute for Governor</t>
        </is>
      </c>
      <c r="D431" s="13" t="inlineStr">
        <is>
          <t>15192</t>
        </is>
      </c>
      <c r="E431" s="13" t="inlineStr">
        <is>
          <t>2662894</t>
        </is>
      </c>
      <c r="F431" s="13" t="inlineStr">
        <is>
          <t>2017-11-05</t>
        </is>
      </c>
      <c r="G431" s="13" t="n">
        <v>5000</v>
      </c>
      <c r="H431" s="13" t="inlineStr">
        <is>
          <t>Street address or PO box</t>
        </is>
      </c>
    </row>
    <row r="432">
      <c r="A432" s="13" t="inlineStr">
        <is>
          <t>H057</t>
        </is>
      </c>
      <c r="B432" s="13" t="inlineStr">
        <is>
          <t>Republican gift</t>
        </is>
      </c>
      <c r="C432" s="13" t="inlineStr">
        <is>
          <t>Knute for Governor</t>
        </is>
      </c>
      <c r="D432" s="13" t="inlineStr">
        <is>
          <t>15192</t>
        </is>
      </c>
      <c r="E432" s="13" t="inlineStr">
        <is>
          <t>2982743</t>
        </is>
      </c>
      <c r="F432" s="13" t="inlineStr">
        <is>
          <t>2018-09-18</t>
        </is>
      </c>
      <c r="G432" s="13" t="n">
        <v>10000</v>
      </c>
      <c r="H432" s="13" t="inlineStr">
        <is>
          <t>Street address or PO box</t>
        </is>
      </c>
    </row>
    <row r="433">
      <c r="A433" s="13" t="inlineStr">
        <is>
          <t>H058</t>
        </is>
      </c>
      <c r="B433" s="13" t="inlineStr">
        <is>
          <t>Gift to a slate candidate</t>
        </is>
      </c>
      <c r="C433" s="13" t="inlineStr">
        <is>
          <t>Friends of Julia Brim-Edwards</t>
        </is>
      </c>
      <c r="D433" s="13" t="inlineStr">
        <is>
          <t>21206</t>
        </is>
      </c>
      <c r="E433" s="13" t="inlineStr">
        <is>
          <t>4572224</t>
        </is>
      </c>
      <c r="F433" s="13" t="inlineStr">
        <is>
          <t>2023-05-08</t>
        </is>
      </c>
      <c r="G433" s="13" t="n">
        <v>500</v>
      </c>
      <c r="H433" s="13" t="inlineStr"/>
    </row>
    <row r="434">
      <c r="A434" s="13" t="inlineStr">
        <is>
          <t>H058</t>
        </is>
      </c>
      <c r="B434" s="13" t="inlineStr">
        <is>
          <t>Republican gift</t>
        </is>
      </c>
      <c r="C434" s="13" t="inlineStr">
        <is>
          <t>Knute for Governor</t>
        </is>
      </c>
      <c r="D434" s="13" t="inlineStr">
        <is>
          <t>15192</t>
        </is>
      </c>
      <c r="E434" s="13" t="inlineStr">
        <is>
          <t>2715613</t>
        </is>
      </c>
      <c r="F434" s="13" t="inlineStr">
        <is>
          <t>2018-01-08</t>
        </is>
      </c>
      <c r="G434" s="13" t="n">
        <v>10000</v>
      </c>
      <c r="H434" s="13" t="inlineStr">
        <is>
          <t>Street address or PO box</t>
        </is>
      </c>
    </row>
    <row r="435">
      <c r="A435" s="13" t="inlineStr">
        <is>
          <t>H058</t>
        </is>
      </c>
      <c r="B435" s="13" t="inlineStr">
        <is>
          <t>Republican gift</t>
        </is>
      </c>
      <c r="C435" s="13" t="inlineStr">
        <is>
          <t>Knute for Governor</t>
        </is>
      </c>
      <c r="D435" s="13" t="inlineStr">
        <is>
          <t>15192</t>
        </is>
      </c>
      <c r="E435" s="13" t="inlineStr">
        <is>
          <t>3040502</t>
        </is>
      </c>
      <c r="F435" s="13" t="inlineStr">
        <is>
          <t>2018-10-16</t>
        </is>
      </c>
      <c r="G435" s="13" t="n">
        <v>15000</v>
      </c>
      <c r="H435" s="13" t="inlineStr">
        <is>
          <t>Street address or PO box</t>
        </is>
      </c>
    </row>
    <row r="436">
      <c r="A436" s="13" t="inlineStr">
        <is>
          <t>H058</t>
        </is>
      </c>
      <c r="B436" s="13" t="inlineStr">
        <is>
          <t>Republican gift</t>
        </is>
      </c>
      <c r="C436" s="13" t="inlineStr">
        <is>
          <t>Friends of Christine Drazan</t>
        </is>
      </c>
      <c r="D436" s="13" t="inlineStr">
        <is>
          <t>19050</t>
        </is>
      </c>
      <c r="E436" s="13" t="inlineStr">
        <is>
          <t>3637386</t>
        </is>
      </c>
      <c r="F436" s="13" t="inlineStr">
        <is>
          <t>2020-10-16</t>
        </is>
      </c>
      <c r="G436" s="13" t="n">
        <v>10000</v>
      </c>
      <c r="H436" s="13" t="inlineStr">
        <is>
          <t>Street address or PO box</t>
        </is>
      </c>
    </row>
    <row r="437">
      <c r="A437" s="13" t="inlineStr">
        <is>
          <t>H059</t>
        </is>
      </c>
      <c r="B437" s="13" t="inlineStr">
        <is>
          <t>Gift to a slate candidate</t>
        </is>
      </c>
      <c r="C437" s="13" t="inlineStr">
        <is>
          <t>Friends of Julia Brim-Edwards</t>
        </is>
      </c>
      <c r="D437" s="13" t="inlineStr">
        <is>
          <t>21206</t>
        </is>
      </c>
      <c r="E437" s="13" t="inlineStr">
        <is>
          <t>4530521</t>
        </is>
      </c>
      <c r="F437" s="13" t="inlineStr">
        <is>
          <t>2023-03-15</t>
        </is>
      </c>
      <c r="G437" s="13" t="n">
        <v>500</v>
      </c>
      <c r="H437" s="13" t="inlineStr"/>
    </row>
    <row r="438">
      <c r="A438" s="13" t="inlineStr">
        <is>
          <t>H059</t>
        </is>
      </c>
      <c r="B438" s="13" t="inlineStr">
        <is>
          <t>Gift to a slate candidate</t>
        </is>
      </c>
      <c r="C438" s="13" t="inlineStr">
        <is>
          <t>Kellie Torres for Portland</t>
        </is>
      </c>
      <c r="D438" s="13" t="inlineStr">
        <is>
          <t>24897</t>
        </is>
      </c>
      <c r="E438" s="13" t="inlineStr">
        <is>
          <t>5760893</t>
        </is>
      </c>
      <c r="F438" s="13" t="inlineStr">
        <is>
          <t>2026-08-09</t>
        </is>
      </c>
      <c r="G438" s="13" t="n">
        <v>250</v>
      </c>
      <c r="H438" s="13" t="inlineStr"/>
    </row>
    <row r="439">
      <c r="A439" s="13" t="inlineStr">
        <is>
          <t>H059</t>
        </is>
      </c>
      <c r="B439" s="13" t="inlineStr">
        <is>
          <t>Republican gift</t>
        </is>
      </c>
      <c r="C439" s="13" t="inlineStr">
        <is>
          <t>Knute for Governor</t>
        </is>
      </c>
      <c r="D439" s="13" t="inlineStr">
        <is>
          <t>15192</t>
        </is>
      </c>
      <c r="E439" s="13" t="inlineStr">
        <is>
          <t>2777491</t>
        </is>
      </c>
      <c r="F439" s="13" t="inlineStr">
        <is>
          <t>2018-03-15</t>
        </is>
      </c>
      <c r="G439" s="13" t="n">
        <v>500</v>
      </c>
      <c r="H439" s="13" t="inlineStr">
        <is>
          <t>Street address or PO box</t>
        </is>
      </c>
    </row>
    <row r="440">
      <c r="A440" s="13" t="inlineStr">
        <is>
          <t>H060</t>
        </is>
      </c>
      <c r="B440" s="13" t="inlineStr">
        <is>
          <t>Gift to a slate candidate</t>
        </is>
      </c>
      <c r="C440" s="13" t="inlineStr">
        <is>
          <t>Friends of Julia Brim-Edwards</t>
        </is>
      </c>
      <c r="D440" s="13" t="inlineStr">
        <is>
          <t>21206</t>
        </is>
      </c>
      <c r="E440" s="13" t="inlineStr">
        <is>
          <t>5704169</t>
        </is>
      </c>
      <c r="F440" s="13" t="inlineStr">
        <is>
          <t>2026-06-18</t>
        </is>
      </c>
      <c r="G440" s="13" t="n">
        <v>500</v>
      </c>
      <c r="H440" s="13" t="inlineStr"/>
    </row>
    <row r="441">
      <c r="A441" s="13" t="inlineStr">
        <is>
          <t>H060</t>
        </is>
      </c>
      <c r="B441" s="13" t="inlineStr">
        <is>
          <t>Republican gift</t>
        </is>
      </c>
      <c r="C441" s="13" t="inlineStr">
        <is>
          <t>Knute for Governor</t>
        </is>
      </c>
      <c r="D441" s="13" t="inlineStr">
        <is>
          <t>15192</t>
        </is>
      </c>
      <c r="E441" s="13" t="inlineStr">
        <is>
          <t>2787825</t>
        </is>
      </c>
      <c r="F441" s="13" t="inlineStr">
        <is>
          <t>2018-03-28</t>
        </is>
      </c>
      <c r="G441" s="13" t="n">
        <v>250</v>
      </c>
      <c r="H441" s="13" t="inlineStr">
        <is>
          <t>Street address or PO box</t>
        </is>
      </c>
    </row>
    <row r="442">
      <c r="A442" s="13" t="inlineStr">
        <is>
          <t>H060</t>
        </is>
      </c>
      <c r="B442" s="13" t="inlineStr">
        <is>
          <t>Republican gift</t>
        </is>
      </c>
      <c r="C442" s="13" t="inlineStr">
        <is>
          <t>Knute for Governor</t>
        </is>
      </c>
      <c r="D442" s="13" t="inlineStr">
        <is>
          <t>15192</t>
        </is>
      </c>
      <c r="E442" s="13" t="inlineStr">
        <is>
          <t>2825696</t>
        </is>
      </c>
      <c r="F442" s="13" t="inlineStr">
        <is>
          <t>2018-04-26</t>
        </is>
      </c>
      <c r="G442" s="13" t="n">
        <v>250</v>
      </c>
      <c r="H442" s="13" t="inlineStr">
        <is>
          <t>Street address or PO box</t>
        </is>
      </c>
    </row>
    <row r="443">
      <c r="A443" s="13" t="inlineStr">
        <is>
          <t>H060</t>
        </is>
      </c>
      <c r="B443" s="13" t="inlineStr">
        <is>
          <t>Republican gift</t>
        </is>
      </c>
      <c r="C443" s="13" t="inlineStr">
        <is>
          <t>Knute for Governor</t>
        </is>
      </c>
      <c r="D443" s="13" t="inlineStr">
        <is>
          <t>15192</t>
        </is>
      </c>
      <c r="E443" s="13" t="inlineStr">
        <is>
          <t>2832027</t>
        </is>
      </c>
      <c r="F443" s="13" t="inlineStr">
        <is>
          <t>2018-05-03</t>
        </is>
      </c>
      <c r="G443" s="13" t="n">
        <v>250</v>
      </c>
      <c r="H443" s="13" t="inlineStr">
        <is>
          <t>Street address or PO box</t>
        </is>
      </c>
    </row>
    <row r="444">
      <c r="A444" s="13" t="inlineStr">
        <is>
          <t>H060</t>
        </is>
      </c>
      <c r="B444" s="13" t="inlineStr">
        <is>
          <t>Republican gift</t>
        </is>
      </c>
      <c r="C444" s="13" t="inlineStr">
        <is>
          <t>Knute for Governor</t>
        </is>
      </c>
      <c r="D444" s="13" t="inlineStr">
        <is>
          <t>15192</t>
        </is>
      </c>
      <c r="E444" s="13" t="inlineStr">
        <is>
          <t>2836617</t>
        </is>
      </c>
      <c r="F444" s="13" t="inlineStr">
        <is>
          <t>2018-05-08</t>
        </is>
      </c>
      <c r="G444" s="13" t="n">
        <v>250</v>
      </c>
      <c r="H444" s="13" t="inlineStr">
        <is>
          <t>Street address or PO box</t>
        </is>
      </c>
    </row>
    <row r="445">
      <c r="A445" s="13" t="inlineStr">
        <is>
          <t>H060</t>
        </is>
      </c>
      <c r="B445" s="13" t="inlineStr">
        <is>
          <t>Republican gift</t>
        </is>
      </c>
      <c r="C445" s="13" t="inlineStr">
        <is>
          <t>Knute for Governor</t>
        </is>
      </c>
      <c r="D445" s="13" t="inlineStr">
        <is>
          <t>15192</t>
        </is>
      </c>
      <c r="E445" s="13" t="inlineStr">
        <is>
          <t>2843858</t>
        </is>
      </c>
      <c r="F445" s="13" t="inlineStr">
        <is>
          <t>2018-05-11</t>
        </is>
      </c>
      <c r="G445" s="13" t="n">
        <v>250</v>
      </c>
      <c r="H445" s="13" t="inlineStr">
        <is>
          <t>Street address or PO box</t>
        </is>
      </c>
    </row>
    <row r="446">
      <c r="A446" s="13" t="inlineStr">
        <is>
          <t>H060</t>
        </is>
      </c>
      <c r="B446" s="13" t="inlineStr">
        <is>
          <t>Republican gift</t>
        </is>
      </c>
      <c r="C446" s="13" t="inlineStr">
        <is>
          <t>Knute for Governor</t>
        </is>
      </c>
      <c r="D446" s="13" t="inlineStr">
        <is>
          <t>15192</t>
        </is>
      </c>
      <c r="E446" s="13" t="inlineStr">
        <is>
          <t>2888765</t>
        </is>
      </c>
      <c r="F446" s="13" t="inlineStr">
        <is>
          <t>2018-07-06</t>
        </is>
      </c>
      <c r="G446" s="13" t="n">
        <v>250</v>
      </c>
      <c r="H446" s="13" t="inlineStr">
        <is>
          <t>Street address or PO box</t>
        </is>
      </c>
    </row>
    <row r="447">
      <c r="A447" s="13" t="inlineStr">
        <is>
          <t>H060</t>
        </is>
      </c>
      <c r="B447" s="13" t="inlineStr">
        <is>
          <t>Republican gift</t>
        </is>
      </c>
      <c r="C447" s="13" t="inlineStr">
        <is>
          <t>Knute for Governor</t>
        </is>
      </c>
      <c r="D447" s="13" t="inlineStr">
        <is>
          <t>15192</t>
        </is>
      </c>
      <c r="E447" s="13" t="inlineStr">
        <is>
          <t>2888766</t>
        </is>
      </c>
      <c r="F447" s="13" t="inlineStr">
        <is>
          <t>2018-07-06</t>
        </is>
      </c>
      <c r="G447" s="13" t="n">
        <v>250</v>
      </c>
      <c r="H447" s="13" t="inlineStr">
        <is>
          <t>Street address or PO box</t>
        </is>
      </c>
    </row>
    <row r="448">
      <c r="A448" s="13" t="inlineStr">
        <is>
          <t>H060</t>
        </is>
      </c>
      <c r="B448" s="13" t="inlineStr">
        <is>
          <t>Republican gift</t>
        </is>
      </c>
      <c r="C448" s="13" t="inlineStr">
        <is>
          <t>Knute for Governor</t>
        </is>
      </c>
      <c r="D448" s="13" t="inlineStr">
        <is>
          <t>15192</t>
        </is>
      </c>
      <c r="E448" s="13" t="inlineStr">
        <is>
          <t>2897524</t>
        </is>
      </c>
      <c r="F448" s="13" t="inlineStr">
        <is>
          <t>2018-07-18</t>
        </is>
      </c>
      <c r="G448" s="13" t="n">
        <v>250</v>
      </c>
      <c r="H448" s="13" t="inlineStr">
        <is>
          <t>Street address or PO box</t>
        </is>
      </c>
    </row>
    <row r="449">
      <c r="A449" s="13" t="inlineStr">
        <is>
          <t>H060</t>
        </is>
      </c>
      <c r="B449" s="13" t="inlineStr">
        <is>
          <t>Republican gift</t>
        </is>
      </c>
      <c r="C449" s="13" t="inlineStr">
        <is>
          <t>Knute for Governor</t>
        </is>
      </c>
      <c r="D449" s="13" t="inlineStr">
        <is>
          <t>15192</t>
        </is>
      </c>
      <c r="E449" s="13" t="inlineStr">
        <is>
          <t>2904500</t>
        </is>
      </c>
      <c r="F449" s="13" t="inlineStr">
        <is>
          <t>2018-07-28</t>
        </is>
      </c>
      <c r="G449" s="13" t="n">
        <v>1000</v>
      </c>
      <c r="H449" s="13" t="inlineStr">
        <is>
          <t>Street address or PO box</t>
        </is>
      </c>
    </row>
    <row r="450">
      <c r="A450" s="13" t="inlineStr">
        <is>
          <t>H060</t>
        </is>
      </c>
      <c r="B450" s="13" t="inlineStr">
        <is>
          <t>Republican gift</t>
        </is>
      </c>
      <c r="C450" s="13" t="inlineStr">
        <is>
          <t>Knute for Governor</t>
        </is>
      </c>
      <c r="D450" s="13" t="inlineStr">
        <is>
          <t>15192</t>
        </is>
      </c>
      <c r="E450" s="13" t="inlineStr">
        <is>
          <t>2997866</t>
        </is>
      </c>
      <c r="F450" s="13" t="inlineStr">
        <is>
          <t>2018-09-26</t>
        </is>
      </c>
      <c r="G450" s="13" t="n">
        <v>1000</v>
      </c>
      <c r="H450" s="13" t="inlineStr">
        <is>
          <t>Street address or PO box</t>
        </is>
      </c>
    </row>
    <row r="451">
      <c r="A451" s="13" t="inlineStr">
        <is>
          <t>H061</t>
        </is>
      </c>
      <c r="B451" s="13" t="inlineStr">
        <is>
          <t>Gift to a slate candidate</t>
        </is>
      </c>
      <c r="C451" s="13" t="inlineStr">
        <is>
          <t>Novick for Portland</t>
        </is>
      </c>
      <c r="D451" s="13" t="inlineStr">
        <is>
          <t>15109</t>
        </is>
      </c>
      <c r="E451" s="13" t="inlineStr">
        <is>
          <t>4813762</t>
        </is>
      </c>
      <c r="F451" s="13" t="inlineStr">
        <is>
          <t>2024-02-23</t>
        </is>
      </c>
      <c r="G451" s="13" t="n">
        <v>250</v>
      </c>
      <c r="H451" s="13" t="inlineStr"/>
    </row>
    <row r="452">
      <c r="A452" s="13" t="inlineStr">
        <is>
          <t>H061</t>
        </is>
      </c>
      <c r="B452" s="13" t="inlineStr">
        <is>
          <t>Republican gift</t>
        </is>
      </c>
      <c r="C452" s="13" t="inlineStr">
        <is>
          <t>Knute for Governor</t>
        </is>
      </c>
      <c r="D452" s="13" t="inlineStr">
        <is>
          <t>15192</t>
        </is>
      </c>
      <c r="E452" s="13" t="inlineStr">
        <is>
          <t>2804184</t>
        </is>
      </c>
      <c r="F452" s="13" t="inlineStr">
        <is>
          <t>2018-04-10</t>
        </is>
      </c>
      <c r="G452" s="13" t="n">
        <v>1000</v>
      </c>
      <c r="H452" s="13" t="inlineStr">
        <is>
          <t>ZIP + employer</t>
        </is>
      </c>
    </row>
    <row r="453">
      <c r="A453" s="13" t="inlineStr">
        <is>
          <t>H062</t>
        </is>
      </c>
      <c r="B453" s="13" t="inlineStr">
        <is>
          <t>Gift to a slate candidate</t>
        </is>
      </c>
      <c r="C453" s="13" t="inlineStr">
        <is>
          <t>Friends of Julia Brim-Edwards</t>
        </is>
      </c>
      <c r="D453" s="13" t="inlineStr">
        <is>
          <t>21206</t>
        </is>
      </c>
      <c r="E453" s="13" t="inlineStr">
        <is>
          <t>4530518</t>
        </is>
      </c>
      <c r="F453" s="13" t="inlineStr">
        <is>
          <t>2023-03-14</t>
        </is>
      </c>
      <c r="G453" s="13" t="n">
        <v>500</v>
      </c>
      <c r="H453" s="13" t="inlineStr"/>
    </row>
    <row r="454">
      <c r="A454" s="13" t="inlineStr">
        <is>
          <t>H062</t>
        </is>
      </c>
      <c r="B454" s="13" t="inlineStr">
        <is>
          <t>Gift to a slate candidate</t>
        </is>
      </c>
      <c r="C454" s="13" t="inlineStr">
        <is>
          <t>Friends of Julia Brim-Edwards</t>
        </is>
      </c>
      <c r="D454" s="13" t="inlineStr">
        <is>
          <t>21206</t>
        </is>
      </c>
      <c r="E454" s="13" t="inlineStr">
        <is>
          <t>5555100</t>
        </is>
      </c>
      <c r="F454" s="13" t="inlineStr">
        <is>
          <t>2026-02-24</t>
        </is>
      </c>
      <c r="G454" s="13" t="n">
        <v>500</v>
      </c>
      <c r="H454" s="13" t="inlineStr"/>
    </row>
    <row r="455">
      <c r="A455" s="13" t="inlineStr">
        <is>
          <t>H062</t>
        </is>
      </c>
      <c r="B455" s="13" t="inlineStr">
        <is>
          <t>Gift to a slate candidate</t>
        </is>
      </c>
      <c r="C455" s="13" t="inlineStr">
        <is>
          <t>Friends of Eric Zimmerman</t>
        </is>
      </c>
      <c r="D455" s="13" t="inlineStr">
        <is>
          <t>17629</t>
        </is>
      </c>
      <c r="E455" s="13" t="inlineStr">
        <is>
          <t>5778159</t>
        </is>
      </c>
      <c r="F455" s="13" t="inlineStr">
        <is>
          <t>2026-08-24</t>
        </is>
      </c>
      <c r="G455" s="13" t="n">
        <v>250</v>
      </c>
      <c r="H455" s="13" t="inlineStr"/>
    </row>
    <row r="456">
      <c r="A456" s="13" t="inlineStr">
        <is>
          <t>H062</t>
        </is>
      </c>
      <c r="B456" s="13" t="inlineStr">
        <is>
          <t>Republican gift</t>
        </is>
      </c>
      <c r="C456" s="13" t="inlineStr">
        <is>
          <t>Knute for Governor</t>
        </is>
      </c>
      <c r="D456" s="13" t="inlineStr">
        <is>
          <t>15192</t>
        </is>
      </c>
      <c r="E456" s="13" t="inlineStr">
        <is>
          <t>2804189</t>
        </is>
      </c>
      <c r="F456" s="13" t="inlineStr">
        <is>
          <t>2018-04-10</t>
        </is>
      </c>
      <c r="G456" s="13" t="n">
        <v>750</v>
      </c>
      <c r="H456" s="13" t="inlineStr">
        <is>
          <t>Street address or PO box</t>
        </is>
      </c>
    </row>
    <row r="457">
      <c r="A457" s="13" t="inlineStr">
        <is>
          <t>H062</t>
        </is>
      </c>
      <c r="B457" s="13" t="inlineStr">
        <is>
          <t>Republican gift</t>
        </is>
      </c>
      <c r="C457" s="13" t="inlineStr">
        <is>
          <t>Bring Balance to Salem PAC</t>
        </is>
      </c>
      <c r="D457" s="13" t="inlineStr">
        <is>
          <t>21717</t>
        </is>
      </c>
      <c r="E457" s="13" t="inlineStr">
        <is>
          <t>5666459</t>
        </is>
      </c>
      <c r="F457" s="13" t="inlineStr">
        <is>
          <t>2026-05-15</t>
        </is>
      </c>
      <c r="G457" s="13" t="n">
        <v>3000</v>
      </c>
      <c r="H457" s="13" t="inlineStr">
        <is>
          <t>Street address or PO box</t>
        </is>
      </c>
    </row>
    <row r="458">
      <c r="A458" s="13" t="inlineStr">
        <is>
          <t>H063</t>
        </is>
      </c>
      <c r="B458" s="13" t="inlineStr">
        <is>
          <t>Gift to a slate candidate</t>
        </is>
      </c>
      <c r="C458" s="13" t="inlineStr">
        <is>
          <t>Eli for Portland</t>
        </is>
      </c>
      <c r="D458" s="13" t="inlineStr">
        <is>
          <t>23295</t>
        </is>
      </c>
      <c r="E458" s="13" t="inlineStr">
        <is>
          <t>5459859</t>
        </is>
      </c>
      <c r="F458" s="13" t="inlineStr">
        <is>
          <t>2025-11-14</t>
        </is>
      </c>
      <c r="G458" s="13" t="n">
        <v>250</v>
      </c>
      <c r="H458" s="13" t="inlineStr"/>
    </row>
    <row r="459">
      <c r="A459" s="13" t="inlineStr">
        <is>
          <t>H063</t>
        </is>
      </c>
      <c r="B459" s="13" t="inlineStr">
        <is>
          <t>Gift to a slate candidate</t>
        </is>
      </c>
      <c r="C459" s="13" t="inlineStr">
        <is>
          <t>Friends of Eric Zimmerman</t>
        </is>
      </c>
      <c r="D459" s="13" t="inlineStr">
        <is>
          <t>17629</t>
        </is>
      </c>
      <c r="E459" s="13" t="inlineStr">
        <is>
          <t>5704561</t>
        </is>
      </c>
      <c r="F459" s="13" t="inlineStr">
        <is>
          <t>2026-06-03</t>
        </is>
      </c>
      <c r="G459" s="13" t="n">
        <v>250</v>
      </c>
      <c r="H459" s="13" t="inlineStr"/>
    </row>
    <row r="460">
      <c r="A460" s="13" t="inlineStr">
        <is>
          <t>H063</t>
        </is>
      </c>
      <c r="B460" s="13" t="inlineStr">
        <is>
          <t>Gift to a slate candidate</t>
        </is>
      </c>
      <c r="C460" s="13" t="inlineStr">
        <is>
          <t>Friends of Eric Zimmerman</t>
        </is>
      </c>
      <c r="D460" s="13" t="inlineStr">
        <is>
          <t>17629</t>
        </is>
      </c>
      <c r="E460" s="13" t="inlineStr">
        <is>
          <t>5704596</t>
        </is>
      </c>
      <c r="F460" s="13" t="inlineStr">
        <is>
          <t>2026-06-09</t>
        </is>
      </c>
      <c r="G460" s="13" t="n">
        <v>250</v>
      </c>
      <c r="H460" s="13" t="inlineStr"/>
    </row>
    <row r="461">
      <c r="A461" s="13" t="inlineStr">
        <is>
          <t>H063</t>
        </is>
      </c>
      <c r="B461" s="13" t="inlineStr">
        <is>
          <t>Republican gift</t>
        </is>
      </c>
      <c r="C461" s="13" t="inlineStr">
        <is>
          <t>Knute for Governor</t>
        </is>
      </c>
      <c r="D461" s="13" t="inlineStr">
        <is>
          <t>15192</t>
        </is>
      </c>
      <c r="E461" s="13" t="inlineStr">
        <is>
          <t>2832855</t>
        </is>
      </c>
      <c r="F461" s="13" t="inlineStr">
        <is>
          <t>2018-05-05</t>
        </is>
      </c>
      <c r="G461" s="13" t="n">
        <v>500</v>
      </c>
      <c r="H461" s="13" t="inlineStr">
        <is>
          <t>Street address or PO box</t>
        </is>
      </c>
    </row>
    <row r="462">
      <c r="A462" s="13" t="inlineStr">
        <is>
          <t>H063</t>
        </is>
      </c>
      <c r="B462" s="13" t="inlineStr">
        <is>
          <t>Republican gift</t>
        </is>
      </c>
      <c r="C462" s="13" t="inlineStr">
        <is>
          <t>Knute for Governor</t>
        </is>
      </c>
      <c r="D462" s="13" t="inlineStr">
        <is>
          <t>15192</t>
        </is>
      </c>
      <c r="E462" s="13" t="inlineStr">
        <is>
          <t>2895015</t>
        </is>
      </c>
      <c r="F462" s="13" t="inlineStr">
        <is>
          <t>2018-07-20</t>
        </is>
      </c>
      <c r="G462" s="13" t="n">
        <v>250</v>
      </c>
      <c r="H462" s="13" t="inlineStr">
        <is>
          <t>Street address or PO box</t>
        </is>
      </c>
    </row>
    <row r="463">
      <c r="A463" s="13" t="inlineStr">
        <is>
          <t>H063</t>
        </is>
      </c>
      <c r="B463" s="13" t="inlineStr">
        <is>
          <t>Republican gift</t>
        </is>
      </c>
      <c r="C463" s="13" t="inlineStr">
        <is>
          <t>Knute for Governor</t>
        </is>
      </c>
      <c r="D463" s="13" t="inlineStr">
        <is>
          <t>15192</t>
        </is>
      </c>
      <c r="E463" s="13" t="inlineStr">
        <is>
          <t>2924330</t>
        </is>
      </c>
      <c r="F463" s="13" t="inlineStr">
        <is>
          <t>2018-08-14</t>
        </is>
      </c>
      <c r="G463" s="13" t="n">
        <v>250</v>
      </c>
      <c r="H463" s="13" t="inlineStr">
        <is>
          <t>Street address or PO box</t>
        </is>
      </c>
    </row>
    <row r="464">
      <c r="A464" s="13" t="inlineStr">
        <is>
          <t>H063</t>
        </is>
      </c>
      <c r="B464" s="13" t="inlineStr">
        <is>
          <t>Republican gift</t>
        </is>
      </c>
      <c r="C464" s="13" t="inlineStr">
        <is>
          <t>Knute for Governor</t>
        </is>
      </c>
      <c r="D464" s="13" t="inlineStr">
        <is>
          <t>15192</t>
        </is>
      </c>
      <c r="E464" s="13" t="inlineStr">
        <is>
          <t>3018676</t>
        </is>
      </c>
      <c r="F464" s="13" t="inlineStr">
        <is>
          <t>2018-10-05</t>
        </is>
      </c>
      <c r="G464" s="13" t="n">
        <v>250</v>
      </c>
      <c r="H464" s="13" t="inlineStr">
        <is>
          <t>Street address or PO box</t>
        </is>
      </c>
    </row>
    <row r="465">
      <c r="A465" s="13" t="inlineStr">
        <is>
          <t>H063</t>
        </is>
      </c>
      <c r="B465" s="13" t="inlineStr">
        <is>
          <t>Republican gift</t>
        </is>
      </c>
      <c r="C465" s="13" t="inlineStr">
        <is>
          <t>Knute for Governor</t>
        </is>
      </c>
      <c r="D465" s="13" t="inlineStr">
        <is>
          <t>15192</t>
        </is>
      </c>
      <c r="E465" s="13" t="inlineStr">
        <is>
          <t>3073436</t>
        </is>
      </c>
      <c r="F465" s="13" t="inlineStr">
        <is>
          <t>2018-11-01</t>
        </is>
      </c>
      <c r="G465" s="13" t="n">
        <v>250</v>
      </c>
      <c r="H465" s="13" t="inlineStr">
        <is>
          <t>Street address or PO box</t>
        </is>
      </c>
    </row>
    <row r="466">
      <c r="A466" s="13" t="inlineStr">
        <is>
          <t>H063</t>
        </is>
      </c>
      <c r="B466" s="13" t="inlineStr">
        <is>
          <t>Republican gift</t>
        </is>
      </c>
      <c r="C466" s="13" t="inlineStr">
        <is>
          <t>Friends of Christine Drazan</t>
        </is>
      </c>
      <c r="D466" s="13" t="inlineStr">
        <is>
          <t>19050</t>
        </is>
      </c>
      <c r="E466" s="13" t="inlineStr">
        <is>
          <t>4268959</t>
        </is>
      </c>
      <c r="F466" s="13" t="inlineStr">
        <is>
          <t>2022-09-06</t>
        </is>
      </c>
      <c r="G466" s="13" t="n">
        <v>250</v>
      </c>
      <c r="H466" s="13" t="inlineStr">
        <is>
          <t>Street address or PO box</t>
        </is>
      </c>
    </row>
    <row r="467">
      <c r="A467" s="13" t="inlineStr">
        <is>
          <t>H063</t>
        </is>
      </c>
      <c r="B467" s="13" t="inlineStr">
        <is>
          <t>Republican gift</t>
        </is>
      </c>
      <c r="C467" s="13" t="inlineStr">
        <is>
          <t>Friends of Christine Drazan</t>
        </is>
      </c>
      <c r="D467" s="13" t="inlineStr">
        <is>
          <t>19050</t>
        </is>
      </c>
      <c r="E467" s="13" t="inlineStr">
        <is>
          <t>4389026</t>
        </is>
      </c>
      <c r="F467" s="13" t="inlineStr">
        <is>
          <t>2022-10-25</t>
        </is>
      </c>
      <c r="G467" s="13" t="n">
        <v>250</v>
      </c>
      <c r="H467" s="13" t="inlineStr">
        <is>
          <t>Street address or PO box</t>
        </is>
      </c>
    </row>
    <row r="468">
      <c r="A468" s="13" t="inlineStr">
        <is>
          <t>H063</t>
        </is>
      </c>
      <c r="B468" s="13" t="inlineStr">
        <is>
          <t>Republican gift</t>
        </is>
      </c>
      <c r="C468" s="13" t="inlineStr">
        <is>
          <t>Friends of Will Lathrop</t>
        </is>
      </c>
      <c r="D468" s="13" t="inlineStr">
        <is>
          <t>21896</t>
        </is>
      </c>
      <c r="E468" s="13" t="inlineStr">
        <is>
          <t>4741334</t>
        </is>
      </c>
      <c r="F468" s="13" t="inlineStr">
        <is>
          <t>2024-01-08</t>
        </is>
      </c>
      <c r="G468" s="13" t="n">
        <v>1000</v>
      </c>
      <c r="H468" s="13" t="inlineStr">
        <is>
          <t>Street address or PO box</t>
        </is>
      </c>
    </row>
    <row r="469">
      <c r="A469" s="13" t="inlineStr">
        <is>
          <t>H063</t>
        </is>
      </c>
      <c r="B469" s="13" t="inlineStr">
        <is>
          <t>Republican gift</t>
        </is>
      </c>
      <c r="C469" s="13" t="inlineStr">
        <is>
          <t>Friends of Will Lathrop</t>
        </is>
      </c>
      <c r="D469" s="13" t="inlineStr">
        <is>
          <t>21896</t>
        </is>
      </c>
      <c r="E469" s="13" t="inlineStr">
        <is>
          <t>5046509</t>
        </is>
      </c>
      <c r="F469" s="13" t="inlineStr">
        <is>
          <t>2024-09-19</t>
        </is>
      </c>
      <c r="G469" s="13" t="n">
        <v>250</v>
      </c>
      <c r="H469" s="13" t="inlineStr">
        <is>
          <t>Street address or PO box</t>
        </is>
      </c>
    </row>
    <row r="470">
      <c r="A470" s="13" t="inlineStr">
        <is>
          <t>H063</t>
        </is>
      </c>
      <c r="B470" s="13" t="inlineStr">
        <is>
          <t>Republican gift</t>
        </is>
      </c>
      <c r="C470" s="13" t="inlineStr">
        <is>
          <t>Friends of Will Lathrop</t>
        </is>
      </c>
      <c r="D470" s="13" t="inlineStr">
        <is>
          <t>21896</t>
        </is>
      </c>
      <c r="E470" s="13" t="inlineStr">
        <is>
          <t>5123745</t>
        </is>
      </c>
      <c r="F470" s="13" t="inlineStr">
        <is>
          <t>2024-10-23</t>
        </is>
      </c>
      <c r="G470" s="13" t="n">
        <v>1000</v>
      </c>
      <c r="H470" s="13" t="inlineStr">
        <is>
          <t>Street address or PO box</t>
        </is>
      </c>
    </row>
    <row r="471">
      <c r="A471" s="13" t="inlineStr">
        <is>
          <t>H063</t>
        </is>
      </c>
      <c r="B471" s="13" t="inlineStr">
        <is>
          <t>Republican gift</t>
        </is>
      </c>
      <c r="C471" s="13" t="inlineStr">
        <is>
          <t>Friends of Will Lathrop</t>
        </is>
      </c>
      <c r="D471" s="13" t="inlineStr">
        <is>
          <t>21896</t>
        </is>
      </c>
      <c r="E471" s="13" t="inlineStr">
        <is>
          <t>5123947</t>
        </is>
      </c>
      <c r="F471" s="13" t="inlineStr">
        <is>
          <t>2024-10-28</t>
        </is>
      </c>
      <c r="G471" s="13" t="n">
        <v>500</v>
      </c>
      <c r="H471" s="13" t="inlineStr">
        <is>
          <t>Street address or PO box</t>
        </is>
      </c>
    </row>
    <row r="472">
      <c r="A472" s="13" t="inlineStr">
        <is>
          <t>H063</t>
        </is>
      </c>
      <c r="B472" s="13" t="inlineStr">
        <is>
          <t>Republican gift</t>
        </is>
      </c>
      <c r="C472" s="13" t="inlineStr">
        <is>
          <t>Friends of Will Lathrop</t>
        </is>
      </c>
      <c r="D472" s="13" t="inlineStr">
        <is>
          <t>21896</t>
        </is>
      </c>
      <c r="E472" s="13" t="inlineStr">
        <is>
          <t>5134203</t>
        </is>
      </c>
      <c r="F472" s="13" t="inlineStr">
        <is>
          <t>2024-10-31</t>
        </is>
      </c>
      <c r="G472" s="13" t="n">
        <v>500</v>
      </c>
      <c r="H472" s="13" t="inlineStr">
        <is>
          <t>Street address or PO box</t>
        </is>
      </c>
    </row>
    <row r="473">
      <c r="A473" s="13" t="inlineStr">
        <is>
          <t>H063</t>
        </is>
      </c>
      <c r="B473" s="13" t="inlineStr">
        <is>
          <t>Republican gift</t>
        </is>
      </c>
      <c r="C473" s="13" t="inlineStr">
        <is>
          <t>Friends of Will Lathrop</t>
        </is>
      </c>
      <c r="D473" s="13" t="inlineStr">
        <is>
          <t>21896</t>
        </is>
      </c>
      <c r="E473" s="13" t="inlineStr">
        <is>
          <t>5134312</t>
        </is>
      </c>
      <c r="F473" s="13" t="inlineStr">
        <is>
          <t>2024-11-01</t>
        </is>
      </c>
      <c r="G473" s="13" t="n">
        <v>250</v>
      </c>
      <c r="H473" s="13" t="inlineStr">
        <is>
          <t>Street address or PO box</t>
        </is>
      </c>
    </row>
    <row r="474">
      <c r="A474" s="13" t="inlineStr">
        <is>
          <t>H063</t>
        </is>
      </c>
      <c r="B474" s="13" t="inlineStr">
        <is>
          <t>Republican gift</t>
        </is>
      </c>
      <c r="C474" s="13" t="inlineStr">
        <is>
          <t>Friends of Jeff Helfrich</t>
        </is>
      </c>
      <c r="D474" s="13" t="inlineStr">
        <is>
          <t>15984</t>
        </is>
      </c>
      <c r="E474" s="13" t="inlineStr">
        <is>
          <t>5197923</t>
        </is>
      </c>
      <c r="F474" s="13" t="inlineStr">
        <is>
          <t>2025-01-06</t>
        </is>
      </c>
      <c r="G474" s="13" t="n">
        <v>1000</v>
      </c>
      <c r="H474" s="13" t="inlineStr">
        <is>
          <t>Street address or PO box</t>
        </is>
      </c>
    </row>
    <row r="475">
      <c r="A475" s="13" t="inlineStr">
        <is>
          <t>H063</t>
        </is>
      </c>
      <c r="B475" s="13" t="inlineStr">
        <is>
          <t>Republican gift</t>
        </is>
      </c>
      <c r="C475" s="13" t="inlineStr">
        <is>
          <t>Friends of Jeff Helfrich</t>
        </is>
      </c>
      <c r="D475" s="13" t="inlineStr">
        <is>
          <t>15984</t>
        </is>
      </c>
      <c r="E475" s="13" t="inlineStr">
        <is>
          <t>5516634</t>
        </is>
      </c>
      <c r="F475" s="13" t="inlineStr">
        <is>
          <t>2026-01-02</t>
        </is>
      </c>
      <c r="G475" s="13" t="n">
        <v>500</v>
      </c>
      <c r="H475" s="13" t="inlineStr">
        <is>
          <t>Street address or PO box</t>
        </is>
      </c>
    </row>
    <row r="476">
      <c r="A476" s="13" t="inlineStr">
        <is>
          <t>H063</t>
        </is>
      </c>
      <c r="B476" s="13" t="inlineStr">
        <is>
          <t>Republican gift</t>
        </is>
      </c>
      <c r="C476" s="13" t="inlineStr">
        <is>
          <t>Multnomah County Republican Central Committee</t>
        </is>
      </c>
      <c r="D476" s="13" t="inlineStr">
        <is>
          <t>21594</t>
        </is>
      </c>
      <c r="E476" s="13" t="inlineStr">
        <is>
          <t>5548325</t>
        </is>
      </c>
      <c r="F476" s="13" t="inlineStr">
        <is>
          <t>2026-02-20</t>
        </is>
      </c>
      <c r="G476" s="13" t="n">
        <v>1000</v>
      </c>
      <c r="H476" s="13" t="inlineStr">
        <is>
          <t>Street address or PO box</t>
        </is>
      </c>
    </row>
    <row r="477">
      <c r="A477" s="13" t="inlineStr">
        <is>
          <t>H063</t>
        </is>
      </c>
      <c r="B477" s="13" t="inlineStr">
        <is>
          <t>Republican gift</t>
        </is>
      </c>
      <c r="C477" s="13" t="inlineStr">
        <is>
          <t>Friends of Christine Drazan</t>
        </is>
      </c>
      <c r="D477" s="13" t="inlineStr">
        <is>
          <t>19050</t>
        </is>
      </c>
      <c r="E477" s="13" t="inlineStr">
        <is>
          <t>5813334</t>
        </is>
      </c>
      <c r="F477" s="13" t="inlineStr">
        <is>
          <t>2026-09-16</t>
        </is>
      </c>
      <c r="G477" s="13" t="n">
        <v>1000</v>
      </c>
      <c r="H477" s="13" t="inlineStr">
        <is>
          <t>Street address or PO box</t>
        </is>
      </c>
    </row>
    <row r="478">
      <c r="A478" s="13" t="inlineStr">
        <is>
          <t>H063</t>
        </is>
      </c>
      <c r="B478" s="13" t="inlineStr">
        <is>
          <t>Republican gift</t>
        </is>
      </c>
      <c r="C478" s="13" t="inlineStr">
        <is>
          <t>Friends of Christine Drazan</t>
        </is>
      </c>
      <c r="D478" s="13" t="inlineStr">
        <is>
          <t>19050</t>
        </is>
      </c>
      <c r="E478" s="13" t="inlineStr">
        <is>
          <t>5866669</t>
        </is>
      </c>
      <c r="F478" s="13" t="inlineStr">
        <is>
          <t>2026-10-06</t>
        </is>
      </c>
      <c r="G478" s="13" t="n">
        <v>1000</v>
      </c>
      <c r="H478" s="13" t="inlineStr">
        <is>
          <t>Street address or PO box</t>
        </is>
      </c>
    </row>
    <row r="479">
      <c r="A479" s="13" t="inlineStr">
        <is>
          <t>H064</t>
        </is>
      </c>
      <c r="B479" s="13" t="inlineStr">
        <is>
          <t>Gift to a slate candidate</t>
        </is>
      </c>
      <c r="C479" s="13" t="inlineStr">
        <is>
          <t>Friends of Olivia</t>
        </is>
      </c>
      <c r="D479" s="13" t="inlineStr">
        <is>
          <t>23199</t>
        </is>
      </c>
      <c r="E479" s="13" t="inlineStr">
        <is>
          <t>5397308</t>
        </is>
      </c>
      <c r="F479" s="13" t="inlineStr">
        <is>
          <t>2025-09-26</t>
        </is>
      </c>
      <c r="G479" s="13" t="n">
        <v>250</v>
      </c>
      <c r="H479" s="13" t="inlineStr"/>
    </row>
    <row r="480">
      <c r="A480" s="13" t="inlineStr">
        <is>
          <t>H064</t>
        </is>
      </c>
      <c r="B480" s="13" t="inlineStr">
        <is>
          <t>Republican gift</t>
        </is>
      </c>
      <c r="C480" s="13" t="inlineStr">
        <is>
          <t>Knute for Governor</t>
        </is>
      </c>
      <c r="D480" s="13" t="inlineStr">
        <is>
          <t>15192</t>
        </is>
      </c>
      <c r="E480" s="13" t="inlineStr">
        <is>
          <t>2843482</t>
        </is>
      </c>
      <c r="F480" s="13" t="inlineStr">
        <is>
          <t>2018-05-10</t>
        </is>
      </c>
      <c r="G480" s="13" t="n">
        <v>1000</v>
      </c>
      <c r="H480" s="13" t="inlineStr">
        <is>
          <t>Street address or PO box</t>
        </is>
      </c>
    </row>
    <row r="481">
      <c r="A481" s="13" t="inlineStr">
        <is>
          <t>H064</t>
        </is>
      </c>
      <c r="B481" s="13" t="inlineStr">
        <is>
          <t>Republican gift</t>
        </is>
      </c>
      <c r="C481" s="13" t="inlineStr">
        <is>
          <t>Knute for Governor</t>
        </is>
      </c>
      <c r="D481" s="13" t="inlineStr">
        <is>
          <t>15192</t>
        </is>
      </c>
      <c r="E481" s="13" t="inlineStr">
        <is>
          <t>3050136</t>
        </is>
      </c>
      <c r="F481" s="13" t="inlineStr">
        <is>
          <t>2018-10-22</t>
        </is>
      </c>
      <c r="G481" s="13" t="n">
        <v>1000</v>
      </c>
      <c r="H481" s="13" t="inlineStr">
        <is>
          <t>Street address or PO box</t>
        </is>
      </c>
    </row>
    <row r="482">
      <c r="A482" s="13" t="inlineStr">
        <is>
          <t>H065</t>
        </is>
      </c>
      <c r="B482" s="13" t="inlineStr">
        <is>
          <t>Gift to a slate candidate</t>
        </is>
      </c>
      <c r="C482" s="13" t="inlineStr">
        <is>
          <t>Friends of Julia Brim-Edwards</t>
        </is>
      </c>
      <c r="D482" s="13" t="inlineStr">
        <is>
          <t>21206</t>
        </is>
      </c>
      <c r="E482" s="13" t="inlineStr">
        <is>
          <t>4551192</t>
        </is>
      </c>
      <c r="F482" s="13" t="inlineStr">
        <is>
          <t>2023-04-06</t>
        </is>
      </c>
      <c r="G482" s="13" t="n">
        <v>500</v>
      </c>
      <c r="H482" s="13" t="inlineStr"/>
    </row>
    <row r="483">
      <c r="A483" s="13" t="inlineStr">
        <is>
          <t>H065</t>
        </is>
      </c>
      <c r="B483" s="13" t="inlineStr">
        <is>
          <t>Gift to a slate candidate</t>
        </is>
      </c>
      <c r="C483" s="13" t="inlineStr">
        <is>
          <t>Friends of Julia Brim-Edwards</t>
        </is>
      </c>
      <c r="D483" s="13" t="inlineStr">
        <is>
          <t>21206</t>
        </is>
      </c>
      <c r="E483" s="13" t="inlineStr">
        <is>
          <t>4867891</t>
        </is>
      </c>
      <c r="F483" s="13" t="inlineStr">
        <is>
          <t>2024-04-08</t>
        </is>
      </c>
      <c r="G483" s="13" t="n">
        <v>250</v>
      </c>
      <c r="H483" s="13" t="inlineStr"/>
    </row>
    <row r="484">
      <c r="A484" s="13" t="inlineStr">
        <is>
          <t>H065</t>
        </is>
      </c>
      <c r="B484" s="13" t="inlineStr">
        <is>
          <t>Gift to a slate candidate</t>
        </is>
      </c>
      <c r="C484" s="13" t="inlineStr">
        <is>
          <t>Kellie Torres for Portland</t>
        </is>
      </c>
      <c r="D484" s="13" t="inlineStr">
        <is>
          <t>24897</t>
        </is>
      </c>
      <c r="E484" s="13" t="inlineStr">
        <is>
          <t>5780412</t>
        </is>
      </c>
      <c r="F484" s="13" t="inlineStr">
        <is>
          <t>2026-08-09</t>
        </is>
      </c>
      <c r="G484" s="13" t="n">
        <v>250</v>
      </c>
      <c r="H484" s="13" t="inlineStr"/>
    </row>
    <row r="485">
      <c r="A485" s="13" t="inlineStr">
        <is>
          <t>H065</t>
        </is>
      </c>
      <c r="B485" s="13" t="inlineStr">
        <is>
          <t>Republican gift</t>
        </is>
      </c>
      <c r="C485" s="13" t="inlineStr">
        <is>
          <t>Knute for Governor</t>
        </is>
      </c>
      <c r="D485" s="13" t="inlineStr">
        <is>
          <t>15192</t>
        </is>
      </c>
      <c r="E485" s="13" t="inlineStr">
        <is>
          <t>2904945</t>
        </is>
      </c>
      <c r="F485" s="13" t="inlineStr">
        <is>
          <t>2018-07-23</t>
        </is>
      </c>
      <c r="G485" s="13" t="n">
        <v>3000</v>
      </c>
      <c r="H485" s="13" t="inlineStr">
        <is>
          <t>Street address or PO box</t>
        </is>
      </c>
    </row>
    <row r="486">
      <c r="A486" s="13" t="inlineStr">
        <is>
          <t>H066</t>
        </is>
      </c>
      <c r="B486" s="13" t="inlineStr">
        <is>
          <t>Gift to a slate candidate</t>
        </is>
      </c>
      <c r="C486" s="13" t="inlineStr">
        <is>
          <t>Eli for Portland</t>
        </is>
      </c>
      <c r="D486" s="13" t="inlineStr">
        <is>
          <t>23295</t>
        </is>
      </c>
      <c r="E486" s="13" t="inlineStr">
        <is>
          <t>4967797</t>
        </is>
      </c>
      <c r="F486" s="13" t="inlineStr">
        <is>
          <t>2024-07-12</t>
        </is>
      </c>
      <c r="G486" s="13" t="n">
        <v>250</v>
      </c>
      <c r="H486" s="13" t="inlineStr"/>
    </row>
    <row r="487">
      <c r="A487" s="13" t="inlineStr">
        <is>
          <t>H066</t>
        </is>
      </c>
      <c r="B487" s="13" t="inlineStr">
        <is>
          <t>Gift to a slate candidate</t>
        </is>
      </c>
      <c r="C487" s="13" t="inlineStr">
        <is>
          <t>Friends of Eric Zimmerman</t>
        </is>
      </c>
      <c r="D487" s="13" t="inlineStr">
        <is>
          <t>17629</t>
        </is>
      </c>
      <c r="E487" s="13" t="inlineStr">
        <is>
          <t>5679863</t>
        </is>
      </c>
      <c r="F487" s="13" t="inlineStr">
        <is>
          <t>2026-05-11</t>
        </is>
      </c>
      <c r="G487" s="13" t="n">
        <v>250</v>
      </c>
      <c r="H487" s="13" t="inlineStr"/>
    </row>
    <row r="488">
      <c r="A488" s="13" t="inlineStr">
        <is>
          <t>H066</t>
        </is>
      </c>
      <c r="B488" s="13" t="inlineStr">
        <is>
          <t>Gift to a slate candidate</t>
        </is>
      </c>
      <c r="C488" s="13" t="inlineStr">
        <is>
          <t>Friends of Eric Zimmerman</t>
        </is>
      </c>
      <c r="D488" s="13" t="inlineStr">
        <is>
          <t>17629</t>
        </is>
      </c>
      <c r="E488" s="13" t="inlineStr">
        <is>
          <t>5704592</t>
        </is>
      </c>
      <c r="F488" s="13" t="inlineStr">
        <is>
          <t>2026-06-10</t>
        </is>
      </c>
      <c r="G488" s="13" t="n">
        <v>250</v>
      </c>
      <c r="H488" s="13" t="inlineStr"/>
    </row>
    <row r="489">
      <c r="A489" s="13" t="inlineStr">
        <is>
          <t>H066</t>
        </is>
      </c>
      <c r="B489" s="13" t="inlineStr">
        <is>
          <t>Gift to a slate candidate</t>
        </is>
      </c>
      <c r="C489" s="13" t="inlineStr">
        <is>
          <t>Eli for Portland</t>
        </is>
      </c>
      <c r="D489" s="13" t="inlineStr">
        <is>
          <t>23295</t>
        </is>
      </c>
      <c r="E489" s="13" t="inlineStr">
        <is>
          <t>5686478</t>
        </is>
      </c>
      <c r="F489" s="13" t="inlineStr">
        <is>
          <t>2026-06-10</t>
        </is>
      </c>
      <c r="G489" s="13" t="n">
        <v>250</v>
      </c>
      <c r="H489" s="13" t="inlineStr"/>
    </row>
    <row r="490">
      <c r="A490" s="13" t="inlineStr">
        <is>
          <t>H066</t>
        </is>
      </c>
      <c r="B490" s="13" t="inlineStr">
        <is>
          <t>Gift to a slate candidate</t>
        </is>
      </c>
      <c r="C490" s="13" t="inlineStr">
        <is>
          <t>Eli for Portland</t>
        </is>
      </c>
      <c r="D490" s="13" t="inlineStr">
        <is>
          <t>23295</t>
        </is>
      </c>
      <c r="E490" s="13" t="inlineStr">
        <is>
          <t>5704091</t>
        </is>
      </c>
      <c r="F490" s="13" t="inlineStr">
        <is>
          <t>2026-06-26</t>
        </is>
      </c>
      <c r="G490" s="13" t="n">
        <v>250</v>
      </c>
      <c r="H490" s="13" t="inlineStr"/>
    </row>
    <row r="491">
      <c r="A491" s="13" t="inlineStr">
        <is>
          <t>H066</t>
        </is>
      </c>
      <c r="B491" s="13" t="inlineStr">
        <is>
          <t>Gift to a slate candidate</t>
        </is>
      </c>
      <c r="C491" s="13" t="inlineStr">
        <is>
          <t>Friends of Eric Zimmerman</t>
        </is>
      </c>
      <c r="D491" s="13" t="inlineStr">
        <is>
          <t>17629</t>
        </is>
      </c>
      <c r="E491" s="13" t="inlineStr">
        <is>
          <t>5747532</t>
        </is>
      </c>
      <c r="F491" s="13" t="inlineStr">
        <is>
          <t>2026-07-02</t>
        </is>
      </c>
      <c r="G491" s="13" t="n">
        <v>250</v>
      </c>
      <c r="H491" s="13" t="inlineStr"/>
    </row>
    <row r="492">
      <c r="A492" s="13" t="inlineStr">
        <is>
          <t>H066</t>
        </is>
      </c>
      <c r="B492" s="13" t="inlineStr">
        <is>
          <t>Gift to a slate candidate</t>
        </is>
      </c>
      <c r="C492" s="13" t="inlineStr">
        <is>
          <t>Eli for Portland</t>
        </is>
      </c>
      <c r="D492" s="13" t="inlineStr">
        <is>
          <t>23295</t>
        </is>
      </c>
      <c r="E492" s="13" t="inlineStr">
        <is>
          <t>5747078</t>
        </is>
      </c>
      <c r="F492" s="13" t="inlineStr">
        <is>
          <t>2026-07-02</t>
        </is>
      </c>
      <c r="G492" s="13" t="n">
        <v>250</v>
      </c>
      <c r="H492" s="13" t="inlineStr"/>
    </row>
    <row r="493">
      <c r="A493" s="13" t="inlineStr">
        <is>
          <t>H066</t>
        </is>
      </c>
      <c r="B493" s="13" t="inlineStr">
        <is>
          <t>Gift to a slate candidate</t>
        </is>
      </c>
      <c r="C493" s="13" t="inlineStr">
        <is>
          <t>Friends of Eric Zimmerman</t>
        </is>
      </c>
      <c r="D493" s="13" t="inlineStr">
        <is>
          <t>17629</t>
        </is>
      </c>
      <c r="E493" s="13" t="inlineStr">
        <is>
          <t>5778065</t>
        </is>
      </c>
      <c r="F493" s="13" t="inlineStr">
        <is>
          <t>2026-08-01</t>
        </is>
      </c>
      <c r="G493" s="13" t="n">
        <v>250</v>
      </c>
      <c r="H493" s="13" t="inlineStr"/>
    </row>
    <row r="494">
      <c r="A494" s="13" t="inlineStr">
        <is>
          <t>H066</t>
        </is>
      </c>
      <c r="B494" s="13" t="inlineStr">
        <is>
          <t>Gift to a slate candidate</t>
        </is>
      </c>
      <c r="C494" s="13" t="inlineStr">
        <is>
          <t>Eli for Portland</t>
        </is>
      </c>
      <c r="D494" s="13" t="inlineStr">
        <is>
          <t>23295</t>
        </is>
      </c>
      <c r="E494" s="13" t="inlineStr">
        <is>
          <t>5786029</t>
        </is>
      </c>
      <c r="F494" s="13" t="inlineStr">
        <is>
          <t>2026-08-01</t>
        </is>
      </c>
      <c r="G494" s="13" t="n">
        <v>250</v>
      </c>
      <c r="H494" s="13" t="inlineStr"/>
    </row>
    <row r="495">
      <c r="A495" s="13" t="inlineStr">
        <is>
          <t>H066</t>
        </is>
      </c>
      <c r="B495" s="13" t="inlineStr">
        <is>
          <t>Gift to a slate candidate</t>
        </is>
      </c>
      <c r="C495" s="13" t="inlineStr">
        <is>
          <t>Friends of Eric Zimmerman</t>
        </is>
      </c>
      <c r="D495" s="13" t="inlineStr">
        <is>
          <t>17629</t>
        </is>
      </c>
      <c r="E495" s="13" t="inlineStr">
        <is>
          <t>5813878</t>
        </is>
      </c>
      <c r="F495" s="13" t="inlineStr">
        <is>
          <t>2026-09-04</t>
        </is>
      </c>
      <c r="G495" s="13" t="n">
        <v>250</v>
      </c>
      <c r="H495" s="13" t="inlineStr"/>
    </row>
    <row r="496">
      <c r="A496" s="13" t="inlineStr">
        <is>
          <t>H066</t>
        </is>
      </c>
      <c r="B496" s="13" t="inlineStr">
        <is>
          <t>Gift to a slate candidate</t>
        </is>
      </c>
      <c r="C496" s="13" t="inlineStr">
        <is>
          <t>Eli for Portland</t>
        </is>
      </c>
      <c r="D496" s="13" t="inlineStr">
        <is>
          <t>23295</t>
        </is>
      </c>
      <c r="E496" s="13" t="inlineStr">
        <is>
          <t>5820960</t>
        </is>
      </c>
      <c r="F496" s="13" t="inlineStr">
        <is>
          <t>2026-09-04</t>
        </is>
      </c>
      <c r="G496" s="13" t="n">
        <v>250</v>
      </c>
      <c r="H496" s="13" t="inlineStr"/>
    </row>
    <row r="497">
      <c r="A497" s="13" t="inlineStr">
        <is>
          <t>H066</t>
        </is>
      </c>
      <c r="B497" s="13" t="inlineStr">
        <is>
          <t>Gift to a slate candidate</t>
        </is>
      </c>
      <c r="C497" s="13" t="inlineStr">
        <is>
          <t>Friends of Eric Zimmerman</t>
        </is>
      </c>
      <c r="D497" s="13" t="inlineStr">
        <is>
          <t>17629</t>
        </is>
      </c>
      <c r="E497" s="13" t="inlineStr">
        <is>
          <t>5813946</t>
        </is>
      </c>
      <c r="F497" s="13" t="inlineStr">
        <is>
          <t>2026-09-13</t>
        </is>
      </c>
      <c r="G497" s="13" t="n">
        <v>250</v>
      </c>
      <c r="H497" s="13" t="inlineStr"/>
    </row>
    <row r="498">
      <c r="A498" s="13" t="inlineStr">
        <is>
          <t>H066</t>
        </is>
      </c>
      <c r="B498" s="13" t="inlineStr">
        <is>
          <t>Gift to a slate candidate</t>
        </is>
      </c>
      <c r="C498" s="13" t="inlineStr">
        <is>
          <t>Eli for Portland</t>
        </is>
      </c>
      <c r="D498" s="13" t="inlineStr">
        <is>
          <t>23295</t>
        </is>
      </c>
      <c r="E498" s="13" t="inlineStr">
        <is>
          <t>5820959</t>
        </is>
      </c>
      <c r="F498" s="13" t="inlineStr">
        <is>
          <t>2026-09-13</t>
        </is>
      </c>
      <c r="G498" s="13" t="n">
        <v>250</v>
      </c>
      <c r="H498" s="13" t="inlineStr"/>
    </row>
    <row r="499">
      <c r="A499" s="13" t="inlineStr">
        <is>
          <t>H066</t>
        </is>
      </c>
      <c r="B499" s="13" t="inlineStr">
        <is>
          <t>Gift to a slate candidate</t>
        </is>
      </c>
      <c r="C499" s="13" t="inlineStr">
        <is>
          <t>Friends of Eric Zimmerman</t>
        </is>
      </c>
      <c r="D499" s="13" t="inlineStr">
        <is>
          <t>17629</t>
        </is>
      </c>
      <c r="E499" s="13" t="inlineStr">
        <is>
          <t>5858311</t>
        </is>
      </c>
      <c r="F499" s="13" t="inlineStr">
        <is>
          <t>2026-10-02</t>
        </is>
      </c>
      <c r="G499" s="13" t="n">
        <v>250</v>
      </c>
      <c r="H499" s="13" t="inlineStr"/>
    </row>
    <row r="500">
      <c r="A500" s="13" t="inlineStr">
        <is>
          <t>H066</t>
        </is>
      </c>
      <c r="B500" s="13" t="inlineStr">
        <is>
          <t>Gift to a slate candidate</t>
        </is>
      </c>
      <c r="C500" s="13" t="inlineStr">
        <is>
          <t>Eli for Portland</t>
        </is>
      </c>
      <c r="D500" s="13" t="inlineStr">
        <is>
          <t>23295</t>
        </is>
      </c>
      <c r="E500" s="13" t="inlineStr">
        <is>
          <t>5865526</t>
        </is>
      </c>
      <c r="F500" s="13" t="inlineStr">
        <is>
          <t>2026-10-02</t>
        </is>
      </c>
      <c r="G500" s="13" t="n">
        <v>250</v>
      </c>
      <c r="H500" s="13" t="inlineStr"/>
    </row>
    <row r="501">
      <c r="A501" s="13" t="inlineStr">
        <is>
          <t>H066</t>
        </is>
      </c>
      <c r="B501" s="13" t="inlineStr">
        <is>
          <t>Republican gift</t>
        </is>
      </c>
      <c r="C501" s="13" t="inlineStr">
        <is>
          <t>Knute for Governor</t>
        </is>
      </c>
      <c r="D501" s="13" t="inlineStr">
        <is>
          <t>15192</t>
        </is>
      </c>
      <c r="E501" s="13" t="inlineStr">
        <is>
          <t>2906820</t>
        </is>
      </c>
      <c r="F501" s="13" t="inlineStr">
        <is>
          <t>2018-07-31</t>
        </is>
      </c>
      <c r="G501" s="13" t="n">
        <v>250</v>
      </c>
      <c r="H501" s="13" t="inlineStr">
        <is>
          <t>Street address or PO box</t>
        </is>
      </c>
    </row>
    <row r="502">
      <c r="A502" s="13" t="inlineStr">
        <is>
          <t>H066</t>
        </is>
      </c>
      <c r="B502" s="13" t="inlineStr">
        <is>
          <t>Republican gift</t>
        </is>
      </c>
      <c r="C502" s="13" t="inlineStr">
        <is>
          <t>Knute for Governor</t>
        </is>
      </c>
      <c r="D502" s="13" t="inlineStr">
        <is>
          <t>15192</t>
        </is>
      </c>
      <c r="E502" s="13" t="inlineStr">
        <is>
          <t>3003976</t>
        </is>
      </c>
      <c r="F502" s="13" t="inlineStr">
        <is>
          <t>2018-09-29</t>
        </is>
      </c>
      <c r="G502" s="13" t="n">
        <v>250</v>
      </c>
      <c r="H502" s="13" t="inlineStr">
        <is>
          <t>Street address or PO box</t>
        </is>
      </c>
    </row>
    <row r="503">
      <c r="A503" s="13" t="inlineStr">
        <is>
          <t>H067</t>
        </is>
      </c>
      <c r="B503" s="13" t="inlineStr">
        <is>
          <t>Gift to a slate candidate</t>
        </is>
      </c>
      <c r="C503" s="13" t="inlineStr">
        <is>
          <t>Friends of Eric Zimmerman</t>
        </is>
      </c>
      <c r="D503" s="13" t="inlineStr">
        <is>
          <t>17629</t>
        </is>
      </c>
      <c r="E503" s="13" t="inlineStr">
        <is>
          <t>5778150</t>
        </is>
      </c>
      <c r="F503" s="13" t="inlineStr">
        <is>
          <t>2026-08-21</t>
        </is>
      </c>
      <c r="G503" s="13" t="n">
        <v>250</v>
      </c>
      <c r="H503" s="13" t="inlineStr"/>
    </row>
    <row r="504">
      <c r="A504" s="13" t="inlineStr">
        <is>
          <t>H067</t>
        </is>
      </c>
      <c r="B504" s="13" t="inlineStr">
        <is>
          <t>Gift to a slate candidate</t>
        </is>
      </c>
      <c r="C504" s="13" t="inlineStr">
        <is>
          <t>Friends of Olivia</t>
        </is>
      </c>
      <c r="D504" s="13" t="inlineStr">
        <is>
          <t>23199</t>
        </is>
      </c>
      <c r="E504" s="13" t="inlineStr">
        <is>
          <t>5844288</t>
        </is>
      </c>
      <c r="F504" s="13" t="inlineStr">
        <is>
          <t>2026-09-24</t>
        </is>
      </c>
      <c r="G504" s="13" t="n">
        <v>250</v>
      </c>
      <c r="H504" s="13" t="inlineStr"/>
    </row>
    <row r="505">
      <c r="A505" s="13" t="inlineStr">
        <is>
          <t>H067</t>
        </is>
      </c>
      <c r="B505" s="13" t="inlineStr">
        <is>
          <t>Republican gift</t>
        </is>
      </c>
      <c r="C505" s="13" t="inlineStr">
        <is>
          <t>Knute for Governor</t>
        </is>
      </c>
      <c r="D505" s="13" t="inlineStr">
        <is>
          <t>15192</t>
        </is>
      </c>
      <c r="E505" s="13" t="inlineStr">
        <is>
          <t>2923951</t>
        </is>
      </c>
      <c r="F505" s="13" t="inlineStr">
        <is>
          <t>2018-08-13</t>
        </is>
      </c>
      <c r="G505" s="13" t="n">
        <v>1000</v>
      </c>
      <c r="H505" s="13" t="inlineStr">
        <is>
          <t>Street address or PO box</t>
        </is>
      </c>
    </row>
    <row r="506">
      <c r="A506" s="13" t="inlineStr">
        <is>
          <t>H067</t>
        </is>
      </c>
      <c r="B506" s="13" t="inlineStr">
        <is>
          <t>Republican gift</t>
        </is>
      </c>
      <c r="C506" s="13" t="inlineStr">
        <is>
          <t>Knute for Governor</t>
        </is>
      </c>
      <c r="D506" s="13" t="inlineStr">
        <is>
          <t>15192</t>
        </is>
      </c>
      <c r="E506" s="13" t="inlineStr">
        <is>
          <t>2987847</t>
        </is>
      </c>
      <c r="F506" s="13" t="inlineStr">
        <is>
          <t>2018-09-25</t>
        </is>
      </c>
      <c r="G506" s="13" t="n">
        <v>1000</v>
      </c>
      <c r="H506" s="13" t="inlineStr">
        <is>
          <t>Street address or PO box</t>
        </is>
      </c>
    </row>
    <row r="507">
      <c r="A507" s="13" t="inlineStr">
        <is>
          <t>H068</t>
        </is>
      </c>
      <c r="B507" s="13" t="inlineStr">
        <is>
          <t>Gift to a slate candidate</t>
        </is>
      </c>
      <c r="C507" s="13" t="inlineStr">
        <is>
          <t>Friends of Julia Brim-Edwards</t>
        </is>
      </c>
      <c r="D507" s="13" t="inlineStr">
        <is>
          <t>21206</t>
        </is>
      </c>
      <c r="E507" s="13" t="inlineStr">
        <is>
          <t>4557176</t>
        </is>
      </c>
      <c r="F507" s="13" t="inlineStr">
        <is>
          <t>2023-04-16</t>
        </is>
      </c>
      <c r="G507" s="13" t="n">
        <v>250</v>
      </c>
      <c r="H507" s="13" t="inlineStr"/>
    </row>
    <row r="508">
      <c r="A508" s="13" t="inlineStr">
        <is>
          <t>H068</t>
        </is>
      </c>
      <c r="B508" s="13" t="inlineStr">
        <is>
          <t>Gift to a slate candidate</t>
        </is>
      </c>
      <c r="C508" s="13" t="inlineStr">
        <is>
          <t>Friends of Julia Brim-Edwards</t>
        </is>
      </c>
      <c r="D508" s="13" t="inlineStr">
        <is>
          <t>21206</t>
        </is>
      </c>
      <c r="E508" s="13" t="inlineStr">
        <is>
          <t>5578348</t>
        </is>
      </c>
      <c r="F508" s="13" t="inlineStr">
        <is>
          <t>2026-03-16</t>
        </is>
      </c>
      <c r="G508" s="13" t="n">
        <v>250</v>
      </c>
      <c r="H508" s="13" t="inlineStr"/>
    </row>
    <row r="509">
      <c r="A509" s="13" t="inlineStr">
        <is>
          <t>H068</t>
        </is>
      </c>
      <c r="B509" s="13" t="inlineStr">
        <is>
          <t>Gift to a slate candidate</t>
        </is>
      </c>
      <c r="C509" s="13" t="inlineStr">
        <is>
          <t>Friends of Julia Brim-Edwards</t>
        </is>
      </c>
      <c r="D509" s="13" t="inlineStr">
        <is>
          <t>21206</t>
        </is>
      </c>
      <c r="E509" s="13" t="inlineStr">
        <is>
          <t>5704183</t>
        </is>
      </c>
      <c r="F509" s="13" t="inlineStr">
        <is>
          <t>2026-06-22</t>
        </is>
      </c>
      <c r="G509" s="13" t="n">
        <v>250</v>
      </c>
      <c r="H509" s="13" t="inlineStr"/>
    </row>
    <row r="510">
      <c r="A510" s="13" t="inlineStr">
        <is>
          <t>H068</t>
        </is>
      </c>
      <c r="B510" s="13" t="inlineStr">
        <is>
          <t>Gift to a slate candidate</t>
        </is>
      </c>
      <c r="C510" s="13" t="inlineStr">
        <is>
          <t>Friends of Olivia</t>
        </is>
      </c>
      <c r="D510" s="13" t="inlineStr">
        <is>
          <t>23199</t>
        </is>
      </c>
      <c r="E510" s="13" t="inlineStr">
        <is>
          <t>5844264</t>
        </is>
      </c>
      <c r="F510" s="13" t="inlineStr">
        <is>
          <t>2026-09-21</t>
        </is>
      </c>
      <c r="G510" s="13" t="n">
        <v>250</v>
      </c>
      <c r="H510" s="13" t="inlineStr"/>
    </row>
    <row r="511">
      <c r="A511" s="13" t="inlineStr">
        <is>
          <t>H068</t>
        </is>
      </c>
      <c r="B511" s="13" t="inlineStr">
        <is>
          <t>Gift to a slate candidate</t>
        </is>
      </c>
      <c r="C511" s="13" t="inlineStr">
        <is>
          <t>Friends of Eric Zimmerman</t>
        </is>
      </c>
      <c r="D511" s="13" t="inlineStr">
        <is>
          <t>17629</t>
        </is>
      </c>
      <c r="E511" s="13" t="inlineStr">
        <is>
          <t>5828869</t>
        </is>
      </c>
      <c r="F511" s="13" t="inlineStr">
        <is>
          <t>2026-09-21</t>
        </is>
      </c>
      <c r="G511" s="13" t="n">
        <v>250</v>
      </c>
      <c r="H511" s="13" t="inlineStr"/>
    </row>
    <row r="512">
      <c r="A512" s="13" t="inlineStr">
        <is>
          <t>H068</t>
        </is>
      </c>
      <c r="B512" s="13" t="inlineStr">
        <is>
          <t>Gift to a slate candidate</t>
        </is>
      </c>
      <c r="C512" s="13" t="inlineStr">
        <is>
          <t>Kellie Torres for Portland</t>
        </is>
      </c>
      <c r="D512" s="13" t="inlineStr">
        <is>
          <t>24897</t>
        </is>
      </c>
      <c r="E512" s="13" t="inlineStr">
        <is>
          <t>5850084</t>
        </is>
      </c>
      <c r="F512" s="13" t="inlineStr">
        <is>
          <t>2026-09-27</t>
        </is>
      </c>
      <c r="G512" s="13" t="n">
        <v>250</v>
      </c>
      <c r="H512" s="13" t="inlineStr"/>
    </row>
    <row r="513">
      <c r="A513" s="13" t="inlineStr">
        <is>
          <t>H068</t>
        </is>
      </c>
      <c r="B513" s="13" t="inlineStr">
        <is>
          <t>Republican gift</t>
        </is>
      </c>
      <c r="C513" s="13" t="inlineStr">
        <is>
          <t>Knute for Governor</t>
        </is>
      </c>
      <c r="D513" s="13" t="inlineStr">
        <is>
          <t>15192</t>
        </is>
      </c>
      <c r="E513" s="13" t="inlineStr">
        <is>
          <t>2930610</t>
        </is>
      </c>
      <c r="F513" s="13" t="inlineStr">
        <is>
          <t>2018-08-23</t>
        </is>
      </c>
      <c r="G513" s="13" t="n">
        <v>250</v>
      </c>
      <c r="H513" s="13" t="inlineStr">
        <is>
          <t>Street address or PO box</t>
        </is>
      </c>
    </row>
    <row r="514">
      <c r="A514" s="13" t="inlineStr">
        <is>
          <t>H069</t>
        </is>
      </c>
      <c r="B514" s="13" t="inlineStr">
        <is>
          <t>Gift to a slate candidate</t>
        </is>
      </c>
      <c r="C514" s="13" t="inlineStr">
        <is>
          <t>Friends of Olivia</t>
        </is>
      </c>
      <c r="D514" s="13" t="inlineStr">
        <is>
          <t>23199</t>
        </is>
      </c>
      <c r="E514" s="13" t="inlineStr">
        <is>
          <t>5850415</t>
        </is>
      </c>
      <c r="F514" s="13" t="inlineStr">
        <is>
          <t>2026-09-29</t>
        </is>
      </c>
      <c r="G514" s="13" t="n">
        <v>250</v>
      </c>
      <c r="H514" s="13" t="inlineStr"/>
    </row>
    <row r="515">
      <c r="A515" s="13" t="inlineStr">
        <is>
          <t>H069</t>
        </is>
      </c>
      <c r="B515" s="13" t="inlineStr">
        <is>
          <t>Gift to a slate candidate</t>
        </is>
      </c>
      <c r="C515" s="13" t="inlineStr">
        <is>
          <t>Friends of Eric Zimmerman</t>
        </is>
      </c>
      <c r="D515" s="13" t="inlineStr">
        <is>
          <t>17629</t>
        </is>
      </c>
      <c r="E515" s="13" t="inlineStr">
        <is>
          <t>5852823</t>
        </is>
      </c>
      <c r="F515" s="13" t="inlineStr">
        <is>
          <t>2026-09-29</t>
        </is>
      </c>
      <c r="G515" s="13" t="n">
        <v>250</v>
      </c>
      <c r="H515" s="13" t="inlineStr"/>
    </row>
    <row r="516">
      <c r="A516" s="13" t="inlineStr">
        <is>
          <t>H069</t>
        </is>
      </c>
      <c r="B516" s="13" t="inlineStr">
        <is>
          <t>Republican gift</t>
        </is>
      </c>
      <c r="C516" s="13" t="inlineStr">
        <is>
          <t>Knute for Governor</t>
        </is>
      </c>
      <c r="D516" s="13" t="inlineStr">
        <is>
          <t>15192</t>
        </is>
      </c>
      <c r="E516" s="13" t="inlineStr">
        <is>
          <t>2937348</t>
        </is>
      </c>
      <c r="F516" s="13" t="inlineStr">
        <is>
          <t>2018-08-28</t>
        </is>
      </c>
      <c r="G516" s="13" t="n">
        <v>1000</v>
      </c>
      <c r="H516" s="13" t="inlineStr">
        <is>
          <t>ZIP + employer</t>
        </is>
      </c>
    </row>
    <row r="517">
      <c r="A517" s="13" t="inlineStr">
        <is>
          <t>H069</t>
        </is>
      </c>
      <c r="B517" s="13" t="inlineStr">
        <is>
          <t>Republican gift</t>
        </is>
      </c>
      <c r="C517" s="13" t="inlineStr">
        <is>
          <t>Knute for Governor</t>
        </is>
      </c>
      <c r="D517" s="13" t="inlineStr">
        <is>
          <t>15192</t>
        </is>
      </c>
      <c r="E517" s="13" t="inlineStr">
        <is>
          <t>3043200</t>
        </is>
      </c>
      <c r="F517" s="13" t="inlineStr">
        <is>
          <t>2018-10-17</t>
        </is>
      </c>
      <c r="G517" s="13" t="n">
        <v>1000</v>
      </c>
      <c r="H517" s="13" t="inlineStr">
        <is>
          <t>ZIP + employer</t>
        </is>
      </c>
    </row>
    <row r="518">
      <c r="A518" s="13" t="inlineStr">
        <is>
          <t>H069</t>
        </is>
      </c>
      <c r="B518" s="13" t="inlineStr">
        <is>
          <t>Republican gift</t>
        </is>
      </c>
      <c r="C518" s="13" t="inlineStr">
        <is>
          <t>Friends of Christine Drazan</t>
        </is>
      </c>
      <c r="D518" s="13" t="inlineStr">
        <is>
          <t>19050</t>
        </is>
      </c>
      <c r="E518" s="13" t="inlineStr">
        <is>
          <t>4374820</t>
        </is>
      </c>
      <c r="F518" s="13" t="inlineStr">
        <is>
          <t>2022-10-18</t>
        </is>
      </c>
      <c r="G518" s="13" t="n">
        <v>1000</v>
      </c>
      <c r="H518" s="13" t="inlineStr">
        <is>
          <t>ZIP + employer</t>
        </is>
      </c>
    </row>
    <row r="519">
      <c r="A519" s="13" t="inlineStr">
        <is>
          <t>H069</t>
        </is>
      </c>
      <c r="B519" s="13" t="inlineStr">
        <is>
          <t>Republican gift</t>
        </is>
      </c>
      <c r="C519" s="13" t="inlineStr">
        <is>
          <t>Friends of Jeff Helfrich</t>
        </is>
      </c>
      <c r="D519" s="13" t="inlineStr">
        <is>
          <t>15984</t>
        </is>
      </c>
      <c r="E519" s="13" t="inlineStr">
        <is>
          <t>4938828</t>
        </is>
      </c>
      <c r="F519" s="13" t="inlineStr">
        <is>
          <t>2024-06-20</t>
        </is>
      </c>
      <c r="G519" s="13" t="n">
        <v>1000</v>
      </c>
      <c r="H519" s="13" t="inlineStr">
        <is>
          <t>ZIP + employer</t>
        </is>
      </c>
    </row>
    <row r="520">
      <c r="A520" s="13" t="inlineStr">
        <is>
          <t>H070</t>
        </is>
      </c>
      <c r="B520" s="13" t="inlineStr">
        <is>
          <t>Gift to a slate candidate</t>
        </is>
      </c>
      <c r="C520" s="13" t="inlineStr">
        <is>
          <t>Friends of Eric Zimmerman</t>
        </is>
      </c>
      <c r="D520" s="13" t="inlineStr">
        <is>
          <t>17629</t>
        </is>
      </c>
      <c r="E520" s="13" t="inlineStr">
        <is>
          <t>5051375</t>
        </is>
      </c>
      <c r="F520" s="13" t="inlineStr">
        <is>
          <t>2024-09-09</t>
        </is>
      </c>
      <c r="G520" s="13" t="n">
        <v>250</v>
      </c>
      <c r="H520" s="13" t="inlineStr"/>
    </row>
    <row r="521">
      <c r="A521" s="13" t="inlineStr">
        <is>
          <t>H070</t>
        </is>
      </c>
      <c r="B521" s="13" t="inlineStr">
        <is>
          <t>Gift to a slate candidate</t>
        </is>
      </c>
      <c r="C521" s="13" t="inlineStr">
        <is>
          <t>Friends of Olivia</t>
        </is>
      </c>
      <c r="D521" s="13" t="inlineStr">
        <is>
          <t>23199</t>
        </is>
      </c>
      <c r="E521" s="13" t="inlineStr">
        <is>
          <t>5098690</t>
        </is>
      </c>
      <c r="F521" s="13" t="inlineStr">
        <is>
          <t>2024-10-14</t>
        </is>
      </c>
      <c r="G521" s="13" t="n">
        <v>250</v>
      </c>
      <c r="H521" s="13" t="inlineStr"/>
    </row>
    <row r="522">
      <c r="A522" s="13" t="inlineStr">
        <is>
          <t>H070</t>
        </is>
      </c>
      <c r="B522" s="13" t="inlineStr">
        <is>
          <t>Gift to a slate candidate</t>
        </is>
      </c>
      <c r="C522" s="13" t="inlineStr">
        <is>
          <t>Eli for Portland</t>
        </is>
      </c>
      <c r="D522" s="13" t="inlineStr">
        <is>
          <t>23295</t>
        </is>
      </c>
      <c r="E522" s="13" t="inlineStr">
        <is>
          <t>5098332</t>
        </is>
      </c>
      <c r="F522" s="13" t="inlineStr">
        <is>
          <t>2024-10-14</t>
        </is>
      </c>
      <c r="G522" s="13" t="n">
        <v>250</v>
      </c>
      <c r="H522" s="13" t="inlineStr"/>
    </row>
    <row r="523">
      <c r="A523" s="13" t="inlineStr">
        <is>
          <t>H070</t>
        </is>
      </c>
      <c r="B523" s="13" t="inlineStr">
        <is>
          <t>Gift to a slate candidate</t>
        </is>
      </c>
      <c r="C523" s="13" t="inlineStr">
        <is>
          <t>Friends of Julia Brim-Edwards</t>
        </is>
      </c>
      <c r="D523" s="13" t="inlineStr">
        <is>
          <t>21206</t>
        </is>
      </c>
      <c r="E523" s="13" t="inlineStr">
        <is>
          <t>5584304</t>
        </is>
      </c>
      <c r="F523" s="13" t="inlineStr">
        <is>
          <t>2026-03-20</t>
        </is>
      </c>
      <c r="G523" s="13" t="n">
        <v>500</v>
      </c>
      <c r="H523" s="13" t="inlineStr"/>
    </row>
    <row r="524">
      <c r="A524" s="13" t="inlineStr">
        <is>
          <t>H070</t>
        </is>
      </c>
      <c r="B524" s="13" t="inlineStr">
        <is>
          <t>Republican gift</t>
        </is>
      </c>
      <c r="C524" s="13" t="inlineStr">
        <is>
          <t>Knute for Governor</t>
        </is>
      </c>
      <c r="D524" s="13" t="inlineStr">
        <is>
          <t>15192</t>
        </is>
      </c>
      <c r="E524" s="13" t="inlineStr">
        <is>
          <t>2958365</t>
        </is>
      </c>
      <c r="F524" s="13" t="inlineStr">
        <is>
          <t>2018-09-11</t>
        </is>
      </c>
      <c r="G524" s="13" t="n">
        <v>500</v>
      </c>
      <c r="H524" s="13" t="inlineStr">
        <is>
          <t>Street address or PO box</t>
        </is>
      </c>
    </row>
    <row r="525">
      <c r="A525" s="13" t="inlineStr">
        <is>
          <t>H070</t>
        </is>
      </c>
      <c r="B525" s="13" t="inlineStr">
        <is>
          <t>Republican gift</t>
        </is>
      </c>
      <c r="C525" s="13" t="inlineStr">
        <is>
          <t>Friends of Christine Drazan</t>
        </is>
      </c>
      <c r="D525" s="13" t="inlineStr">
        <is>
          <t>19050</t>
        </is>
      </c>
      <c r="E525" s="13" t="inlineStr">
        <is>
          <t>4309117</t>
        </is>
      </c>
      <c r="F525" s="13" t="inlineStr">
        <is>
          <t>2022-09-23</t>
        </is>
      </c>
      <c r="G525" s="13" t="n">
        <v>3000</v>
      </c>
      <c r="H525" s="13" t="inlineStr">
        <is>
          <t>Street address or PO box</t>
        </is>
      </c>
    </row>
    <row r="526">
      <c r="A526" s="13" t="inlineStr">
        <is>
          <t>H070</t>
        </is>
      </c>
      <c r="B526" s="13" t="inlineStr">
        <is>
          <t>Republican gift</t>
        </is>
      </c>
      <c r="C526" s="13" t="inlineStr">
        <is>
          <t>Friends of Christine Drazan</t>
        </is>
      </c>
      <c r="D526" s="13" t="inlineStr">
        <is>
          <t>19050</t>
        </is>
      </c>
      <c r="E526" s="13" t="inlineStr">
        <is>
          <t>4877571</t>
        </is>
      </c>
      <c r="F526" s="13" t="inlineStr">
        <is>
          <t>2024-04-29</t>
        </is>
      </c>
      <c r="G526" s="13" t="n">
        <v>1000</v>
      </c>
      <c r="H526" s="13" t="inlineStr">
        <is>
          <t>Street address or PO box</t>
        </is>
      </c>
    </row>
    <row r="527">
      <c r="A527" s="13" t="inlineStr">
        <is>
          <t>H071</t>
        </is>
      </c>
      <c r="B527" s="13" t="inlineStr">
        <is>
          <t>Gift to a slate candidate</t>
        </is>
      </c>
      <c r="C527" s="13" t="inlineStr">
        <is>
          <t>Friends of Julia Brim-Edwards</t>
        </is>
      </c>
      <c r="D527" s="13" t="inlineStr">
        <is>
          <t>21206</t>
        </is>
      </c>
      <c r="E527" s="13" t="inlineStr">
        <is>
          <t>5704173</t>
        </is>
      </c>
      <c r="F527" s="13" t="inlineStr">
        <is>
          <t>2026-06-19</t>
        </is>
      </c>
      <c r="G527" s="13" t="n">
        <v>500</v>
      </c>
      <c r="H527" s="13" t="inlineStr"/>
    </row>
    <row r="528">
      <c r="A528" s="13" t="inlineStr">
        <is>
          <t>H071</t>
        </is>
      </c>
      <c r="B528" s="13" t="inlineStr">
        <is>
          <t>Republican gift</t>
        </is>
      </c>
      <c r="C528" s="13" t="inlineStr">
        <is>
          <t>Knute for Governor</t>
        </is>
      </c>
      <c r="D528" s="13" t="inlineStr">
        <is>
          <t>15192</t>
        </is>
      </c>
      <c r="E528" s="13" t="inlineStr">
        <is>
          <t>2958381</t>
        </is>
      </c>
      <c r="F528" s="13" t="inlineStr">
        <is>
          <t>2018-09-11</t>
        </is>
      </c>
      <c r="G528" s="13" t="n">
        <v>750</v>
      </c>
      <c r="H528" s="13" t="inlineStr">
        <is>
          <t>Street address or PO box</t>
        </is>
      </c>
    </row>
    <row r="529">
      <c r="A529" s="13" t="inlineStr">
        <is>
          <t>H071</t>
        </is>
      </c>
      <c r="B529" s="13" t="inlineStr">
        <is>
          <t>Republican gift</t>
        </is>
      </c>
      <c r="C529" s="13" t="inlineStr">
        <is>
          <t>Knute for Governor</t>
        </is>
      </c>
      <c r="D529" s="13" t="inlineStr">
        <is>
          <t>15192</t>
        </is>
      </c>
      <c r="E529" s="13" t="inlineStr">
        <is>
          <t>2961054</t>
        </is>
      </c>
      <c r="F529" s="13" t="inlineStr">
        <is>
          <t>2018-09-12</t>
        </is>
      </c>
      <c r="G529" s="13" t="n">
        <v>250</v>
      </c>
      <c r="H529" s="13" t="inlineStr">
        <is>
          <t>Street address or PO box</t>
        </is>
      </c>
    </row>
    <row r="530">
      <c r="A530" s="13" t="inlineStr">
        <is>
          <t>H071</t>
        </is>
      </c>
      <c r="B530" s="13" t="inlineStr">
        <is>
          <t>Republican gift</t>
        </is>
      </c>
      <c r="C530" s="13" t="inlineStr">
        <is>
          <t>Knute for Governor</t>
        </is>
      </c>
      <c r="D530" s="13" t="inlineStr">
        <is>
          <t>15192</t>
        </is>
      </c>
      <c r="E530" s="13" t="inlineStr">
        <is>
          <t>2997848</t>
        </is>
      </c>
      <c r="F530" s="13" t="inlineStr">
        <is>
          <t>2018-09-26</t>
        </is>
      </c>
      <c r="G530" s="13" t="n">
        <v>250</v>
      </c>
      <c r="H530" s="13" t="inlineStr">
        <is>
          <t>Street address or PO box</t>
        </is>
      </c>
    </row>
    <row r="531">
      <c r="A531" s="13" t="inlineStr">
        <is>
          <t>H071</t>
        </is>
      </c>
      <c r="B531" s="13" t="inlineStr">
        <is>
          <t>Republican gift</t>
        </is>
      </c>
      <c r="C531" s="13" t="inlineStr">
        <is>
          <t>Knute for Governor</t>
        </is>
      </c>
      <c r="D531" s="13" t="inlineStr">
        <is>
          <t>15192</t>
        </is>
      </c>
      <c r="E531" s="13" t="inlineStr">
        <is>
          <t>3011700</t>
        </is>
      </c>
      <c r="F531" s="13" t="inlineStr">
        <is>
          <t>2018-10-03</t>
        </is>
      </c>
      <c r="G531" s="13" t="n">
        <v>250</v>
      </c>
      <c r="H531" s="13" t="inlineStr">
        <is>
          <t>Street address or PO box</t>
        </is>
      </c>
    </row>
    <row r="532">
      <c r="A532" s="13" t="inlineStr">
        <is>
          <t>H071</t>
        </is>
      </c>
      <c r="B532" s="13" t="inlineStr">
        <is>
          <t>Republican gift</t>
        </is>
      </c>
      <c r="C532" s="13" t="inlineStr">
        <is>
          <t>Knute for Governor</t>
        </is>
      </c>
      <c r="D532" s="13" t="inlineStr">
        <is>
          <t>15192</t>
        </is>
      </c>
      <c r="E532" s="13" t="inlineStr">
        <is>
          <t>3021339</t>
        </is>
      </c>
      <c r="F532" s="13" t="inlineStr">
        <is>
          <t>2018-10-10</t>
        </is>
      </c>
      <c r="G532" s="13" t="n">
        <v>250</v>
      </c>
      <c r="H532" s="13" t="inlineStr">
        <is>
          <t>Street address or PO box</t>
        </is>
      </c>
    </row>
    <row r="533">
      <c r="A533" s="13" t="inlineStr">
        <is>
          <t>H071</t>
        </is>
      </c>
      <c r="B533" s="13" t="inlineStr">
        <is>
          <t>Republican gift</t>
        </is>
      </c>
      <c r="C533" s="13" t="inlineStr">
        <is>
          <t>Knute for Governor</t>
        </is>
      </c>
      <c r="D533" s="13" t="inlineStr">
        <is>
          <t>15192</t>
        </is>
      </c>
      <c r="E533" s="13" t="inlineStr">
        <is>
          <t>3034413</t>
        </is>
      </c>
      <c r="F533" s="13" t="inlineStr">
        <is>
          <t>2018-10-13</t>
        </is>
      </c>
      <c r="G533" s="13" t="n">
        <v>250</v>
      </c>
      <c r="H533" s="13" t="inlineStr">
        <is>
          <t>Street address or PO box</t>
        </is>
      </c>
    </row>
    <row r="534">
      <c r="A534" s="13" t="inlineStr">
        <is>
          <t>H071</t>
        </is>
      </c>
      <c r="B534" s="13" t="inlineStr">
        <is>
          <t>Republican gift</t>
        </is>
      </c>
      <c r="C534" s="13" t="inlineStr">
        <is>
          <t>Knute for Governor</t>
        </is>
      </c>
      <c r="D534" s="13" t="inlineStr">
        <is>
          <t>15192</t>
        </is>
      </c>
      <c r="E534" s="13" t="inlineStr">
        <is>
          <t>3046113</t>
        </is>
      </c>
      <c r="F534" s="13" t="inlineStr">
        <is>
          <t>2018-10-18</t>
        </is>
      </c>
      <c r="G534" s="13" t="n">
        <v>250</v>
      </c>
      <c r="H534" s="13" t="inlineStr">
        <is>
          <t>Street address or PO box</t>
        </is>
      </c>
    </row>
    <row r="535">
      <c r="A535" s="13" t="inlineStr">
        <is>
          <t>H071</t>
        </is>
      </c>
      <c r="B535" s="13" t="inlineStr">
        <is>
          <t>Republican gift</t>
        </is>
      </c>
      <c r="C535" s="13" t="inlineStr">
        <is>
          <t>Knute for Governor</t>
        </is>
      </c>
      <c r="D535" s="13" t="inlineStr">
        <is>
          <t>15192</t>
        </is>
      </c>
      <c r="E535" s="13" t="inlineStr">
        <is>
          <t>3059099</t>
        </is>
      </c>
      <c r="F535" s="13" t="inlineStr">
        <is>
          <t>2018-10-25</t>
        </is>
      </c>
      <c r="G535" s="13" t="n">
        <v>250</v>
      </c>
      <c r="H535" s="13" t="inlineStr">
        <is>
          <t>Street address or PO box</t>
        </is>
      </c>
    </row>
    <row r="536">
      <c r="A536" s="13" t="inlineStr">
        <is>
          <t>H071</t>
        </is>
      </c>
      <c r="B536" s="13" t="inlineStr">
        <is>
          <t>Republican gift</t>
        </is>
      </c>
      <c r="C536" s="13" t="inlineStr">
        <is>
          <t>Knute for Governor</t>
        </is>
      </c>
      <c r="D536" s="13" t="inlineStr">
        <is>
          <t>15192</t>
        </is>
      </c>
      <c r="E536" s="13" t="inlineStr">
        <is>
          <t>3068749</t>
        </is>
      </c>
      <c r="F536" s="13" t="inlineStr">
        <is>
          <t>2018-11-01</t>
        </is>
      </c>
      <c r="G536" s="13" t="n">
        <v>250</v>
      </c>
      <c r="H536" s="13" t="inlineStr">
        <is>
          <t>Street address or PO box</t>
        </is>
      </c>
    </row>
    <row r="537">
      <c r="A537" s="13" t="inlineStr">
        <is>
          <t>H071</t>
        </is>
      </c>
      <c r="B537" s="13" t="inlineStr">
        <is>
          <t>Republican gift</t>
        </is>
      </c>
      <c r="C537" s="13" t="inlineStr">
        <is>
          <t>Knute for Governor</t>
        </is>
      </c>
      <c r="D537" s="13" t="inlineStr">
        <is>
          <t>15192</t>
        </is>
      </c>
      <c r="E537" s="13" t="inlineStr">
        <is>
          <t>3071834</t>
        </is>
      </c>
      <c r="F537" s="13" t="inlineStr">
        <is>
          <t>2018-11-02</t>
        </is>
      </c>
      <c r="G537" s="13" t="n">
        <v>250</v>
      </c>
      <c r="H537" s="13" t="inlineStr">
        <is>
          <t>Street address or PO box</t>
        </is>
      </c>
    </row>
    <row r="538">
      <c r="A538" s="13" t="inlineStr">
        <is>
          <t>H071</t>
        </is>
      </c>
      <c r="B538" s="13" t="inlineStr">
        <is>
          <t>Republican gift</t>
        </is>
      </c>
      <c r="C538" s="13" t="inlineStr">
        <is>
          <t>Friends of Jeff Helfrich</t>
        </is>
      </c>
      <c r="D538" s="13" t="inlineStr">
        <is>
          <t>15984</t>
        </is>
      </c>
      <c r="E538" s="13" t="inlineStr">
        <is>
          <t>4948163</t>
        </is>
      </c>
      <c r="F538" s="13" t="inlineStr">
        <is>
          <t>2024-06-18</t>
        </is>
      </c>
      <c r="G538" s="13" t="n">
        <v>500</v>
      </c>
      <c r="H538" s="13" t="inlineStr">
        <is>
          <t>Street address or PO box</t>
        </is>
      </c>
    </row>
    <row r="539">
      <c r="A539" s="13" t="inlineStr">
        <is>
          <t>H071</t>
        </is>
      </c>
      <c r="B539" s="13" t="inlineStr">
        <is>
          <t>Republican gift</t>
        </is>
      </c>
      <c r="C539" s="13" t="inlineStr">
        <is>
          <t>Friends of Jeff Helfrich</t>
        </is>
      </c>
      <c r="D539" s="13" t="inlineStr">
        <is>
          <t>15984</t>
        </is>
      </c>
      <c r="E539" s="13" t="inlineStr">
        <is>
          <t>5136698</t>
        </is>
      </c>
      <c r="F539" s="13" t="inlineStr">
        <is>
          <t>2024-10-31</t>
        </is>
      </c>
      <c r="G539" s="13" t="n">
        <v>250</v>
      </c>
      <c r="H539" s="13" t="inlineStr">
        <is>
          <t>Street address or PO box</t>
        </is>
      </c>
    </row>
    <row r="540">
      <c r="A540" s="13" t="inlineStr">
        <is>
          <t>H071</t>
        </is>
      </c>
      <c r="B540" s="13" t="inlineStr">
        <is>
          <t>Republican gift</t>
        </is>
      </c>
      <c r="C540" s="13" t="inlineStr">
        <is>
          <t>Friends of Jeff Helfrich</t>
        </is>
      </c>
      <c r="D540" s="13" t="inlineStr">
        <is>
          <t>15984</t>
        </is>
      </c>
      <c r="E540" s="13" t="inlineStr">
        <is>
          <t>5197917</t>
        </is>
      </c>
      <c r="F540" s="13" t="inlineStr">
        <is>
          <t>2025-01-06</t>
        </is>
      </c>
      <c r="G540" s="13" t="n">
        <v>250</v>
      </c>
      <c r="H540" s="13" t="inlineStr">
        <is>
          <t>Street address or PO box</t>
        </is>
      </c>
    </row>
    <row r="541">
      <c r="A541" s="13" t="inlineStr">
        <is>
          <t>H071</t>
        </is>
      </c>
      <c r="B541" s="13" t="inlineStr">
        <is>
          <t>Republican gift</t>
        </is>
      </c>
      <c r="C541" s="13" t="inlineStr">
        <is>
          <t>Dudley for Oregon</t>
        </is>
      </c>
      <c r="D541" s="13" t="inlineStr">
        <is>
          <t>24693</t>
        </is>
      </c>
      <c r="E541" s="13" t="inlineStr">
        <is>
          <t>5577062</t>
        </is>
      </c>
      <c r="F541" s="13" t="inlineStr">
        <is>
          <t>2026-03-15</t>
        </is>
      </c>
      <c r="G541" s="13" t="n">
        <v>250</v>
      </c>
      <c r="H541" s="13" t="inlineStr">
        <is>
          <t>Street address or PO box</t>
        </is>
      </c>
    </row>
    <row r="542">
      <c r="A542" s="13" t="inlineStr">
        <is>
          <t>H071</t>
        </is>
      </c>
      <c r="B542" s="13" t="inlineStr">
        <is>
          <t>Republican gift</t>
        </is>
      </c>
      <c r="C542" s="13" t="inlineStr">
        <is>
          <t>Friends of Christine Drazan</t>
        </is>
      </c>
      <c r="D542" s="13" t="inlineStr">
        <is>
          <t>19050</t>
        </is>
      </c>
      <c r="E542" s="13" t="inlineStr">
        <is>
          <t>5700997</t>
        </is>
      </c>
      <c r="F542" s="13" t="inlineStr">
        <is>
          <t>2026-06-25</t>
        </is>
      </c>
      <c r="G542" s="13" t="n">
        <v>500</v>
      </c>
      <c r="H542" s="13" t="inlineStr">
        <is>
          <t>Street address or PO box</t>
        </is>
      </c>
    </row>
    <row r="543">
      <c r="A543" s="13" t="inlineStr">
        <is>
          <t>H071</t>
        </is>
      </c>
      <c r="B543" s="13" t="inlineStr">
        <is>
          <t>Republican gift</t>
        </is>
      </c>
      <c r="C543" s="13" t="inlineStr">
        <is>
          <t>Friends of Christine Drazan</t>
        </is>
      </c>
      <c r="D543" s="13" t="inlineStr">
        <is>
          <t>19050</t>
        </is>
      </c>
      <c r="E543" s="13" t="inlineStr">
        <is>
          <t>5770870</t>
        </is>
      </c>
      <c r="F543" s="13" t="inlineStr">
        <is>
          <t>2026-08-20</t>
        </is>
      </c>
      <c r="G543" s="13" t="n">
        <v>500</v>
      </c>
      <c r="H543" s="13" t="inlineStr">
        <is>
          <t>Street address or PO box</t>
        </is>
      </c>
    </row>
    <row r="544">
      <c r="A544" s="13" t="inlineStr">
        <is>
          <t>H072</t>
        </is>
      </c>
      <c r="B544" s="13" t="inlineStr">
        <is>
          <t>Gift to a slate candidate</t>
        </is>
      </c>
      <c r="C544" s="13" t="inlineStr">
        <is>
          <t>Friends of Julia Brim-Edwards</t>
        </is>
      </c>
      <c r="D544" s="13" t="inlineStr">
        <is>
          <t>21206</t>
        </is>
      </c>
      <c r="E544" s="13" t="inlineStr">
        <is>
          <t>5567226</t>
        </is>
      </c>
      <c r="F544" s="13" t="inlineStr">
        <is>
          <t>2026-03-06</t>
        </is>
      </c>
      <c r="G544" s="13" t="n">
        <v>500</v>
      </c>
      <c r="H544" s="13" t="inlineStr"/>
    </row>
    <row r="545">
      <c r="A545" s="13" t="inlineStr">
        <is>
          <t>H072</t>
        </is>
      </c>
      <c r="B545" s="13" t="inlineStr">
        <is>
          <t>Republican gift</t>
        </is>
      </c>
      <c r="C545" s="13" t="inlineStr">
        <is>
          <t>Knute for Governor</t>
        </is>
      </c>
      <c r="D545" s="13" t="inlineStr">
        <is>
          <t>15192</t>
        </is>
      </c>
      <c r="E545" s="13" t="inlineStr">
        <is>
          <t>2957088</t>
        </is>
      </c>
      <c r="F545" s="13" t="inlineStr">
        <is>
          <t>2018-09-12</t>
        </is>
      </c>
      <c r="G545" s="13" t="n">
        <v>1000</v>
      </c>
      <c r="H545" s="13" t="inlineStr">
        <is>
          <t>Street address or PO box</t>
        </is>
      </c>
    </row>
    <row r="546">
      <c r="A546" s="13" t="inlineStr">
        <is>
          <t>H073</t>
        </is>
      </c>
      <c r="B546" s="13" t="inlineStr">
        <is>
          <t>Gift to a slate candidate</t>
        </is>
      </c>
      <c r="C546" s="13" t="inlineStr">
        <is>
          <t>Friends of Julia Brim-Edwards</t>
        </is>
      </c>
      <c r="D546" s="13" t="inlineStr">
        <is>
          <t>21206</t>
        </is>
      </c>
      <c r="E546" s="13" t="inlineStr">
        <is>
          <t>4536327</t>
        </is>
      </c>
      <c r="F546" s="13" t="inlineStr">
        <is>
          <t>2023-03-27</t>
        </is>
      </c>
      <c r="G546" s="13" t="n">
        <v>250</v>
      </c>
      <c r="H546" s="13" t="inlineStr"/>
    </row>
    <row r="547">
      <c r="A547" s="13" t="inlineStr">
        <is>
          <t>H073</t>
        </is>
      </c>
      <c r="B547" s="13" t="inlineStr">
        <is>
          <t>Gift to a slate candidate</t>
        </is>
      </c>
      <c r="C547" s="13" t="inlineStr">
        <is>
          <t>Friends of Olivia</t>
        </is>
      </c>
      <c r="D547" s="13" t="inlineStr">
        <is>
          <t>23199</t>
        </is>
      </c>
      <c r="E547" s="13" t="inlineStr">
        <is>
          <t>4966473</t>
        </is>
      </c>
      <c r="F547" s="13" t="inlineStr">
        <is>
          <t>2024-06-28</t>
        </is>
      </c>
      <c r="G547" s="13" t="n">
        <v>250</v>
      </c>
      <c r="H547" s="13" t="inlineStr"/>
    </row>
    <row r="548">
      <c r="A548" s="13" t="inlineStr">
        <is>
          <t>H073</t>
        </is>
      </c>
      <c r="B548" s="13" t="inlineStr">
        <is>
          <t>Republican gift</t>
        </is>
      </c>
      <c r="C548" s="13" t="inlineStr">
        <is>
          <t>Knute for Governor</t>
        </is>
      </c>
      <c r="D548" s="13" t="inlineStr">
        <is>
          <t>15192</t>
        </is>
      </c>
      <c r="E548" s="13" t="inlineStr">
        <is>
          <t>2969341</t>
        </is>
      </c>
      <c r="F548" s="13" t="inlineStr">
        <is>
          <t>2018-09-18</t>
        </is>
      </c>
      <c r="G548" s="13" t="n">
        <v>500</v>
      </c>
      <c r="H548" s="13" t="inlineStr">
        <is>
          <t>Street address or PO box</t>
        </is>
      </c>
    </row>
    <row r="549">
      <c r="A549" s="13" t="inlineStr">
        <is>
          <t>H074</t>
        </is>
      </c>
      <c r="B549" s="13" t="inlineStr">
        <is>
          <t>Gift to a slate candidate</t>
        </is>
      </c>
      <c r="C549" s="13" t="inlineStr">
        <is>
          <t>Friends of Julia Brim-Edwards</t>
        </is>
      </c>
      <c r="D549" s="13" t="inlineStr">
        <is>
          <t>21206</t>
        </is>
      </c>
      <c r="E549" s="13" t="inlineStr">
        <is>
          <t>4554403</t>
        </is>
      </c>
      <c r="F549" s="13" t="inlineStr">
        <is>
          <t>2023-04-12</t>
        </is>
      </c>
      <c r="G549" s="13" t="n">
        <v>250</v>
      </c>
      <c r="H549" s="13" t="inlineStr"/>
    </row>
    <row r="550">
      <c r="A550" s="13" t="inlineStr">
        <is>
          <t>H074</t>
        </is>
      </c>
      <c r="B550" s="13" t="inlineStr">
        <is>
          <t>Gift to a slate candidate</t>
        </is>
      </c>
      <c r="C550" s="13" t="inlineStr">
        <is>
          <t>Novick for Portland</t>
        </is>
      </c>
      <c r="D550" s="13" t="inlineStr">
        <is>
          <t>15109</t>
        </is>
      </c>
      <c r="E550" s="13" t="inlineStr">
        <is>
          <t>4725830</t>
        </is>
      </c>
      <c r="F550" s="13" t="inlineStr">
        <is>
          <t>2023-12-19</t>
        </is>
      </c>
      <c r="G550" s="13" t="n">
        <v>250</v>
      </c>
      <c r="H550" s="13" t="inlineStr"/>
    </row>
    <row r="551">
      <c r="A551" s="13" t="inlineStr">
        <is>
          <t>H074</t>
        </is>
      </c>
      <c r="B551" s="13" t="inlineStr">
        <is>
          <t>Gift to a slate candidate</t>
        </is>
      </c>
      <c r="C551" s="13" t="inlineStr">
        <is>
          <t>Friends of Julia Brim-Edwards</t>
        </is>
      </c>
      <c r="D551" s="13" t="inlineStr">
        <is>
          <t>21206</t>
        </is>
      </c>
      <c r="E551" s="13" t="inlineStr">
        <is>
          <t>5704147</t>
        </is>
      </c>
      <c r="F551" s="13" t="inlineStr">
        <is>
          <t>2026-06-12</t>
        </is>
      </c>
      <c r="G551" s="13" t="n">
        <v>250</v>
      </c>
      <c r="H551" s="13" t="inlineStr"/>
    </row>
    <row r="552">
      <c r="A552" s="13" t="inlineStr">
        <is>
          <t>H074</t>
        </is>
      </c>
      <c r="B552" s="13" t="inlineStr">
        <is>
          <t>Republican gift</t>
        </is>
      </c>
      <c r="C552" s="13" t="inlineStr">
        <is>
          <t>Friends of Christine Drazan</t>
        </is>
      </c>
      <c r="D552" s="13" t="inlineStr">
        <is>
          <t>19050</t>
        </is>
      </c>
      <c r="E552" s="13" t="inlineStr">
        <is>
          <t>2971143</t>
        </is>
      </c>
      <c r="F552" s="13" t="inlineStr">
        <is>
          <t>2018-09-19</t>
        </is>
      </c>
      <c r="G552" s="13" t="n">
        <v>250</v>
      </c>
      <c r="H552" s="13" t="inlineStr">
        <is>
          <t>Street address or PO box</t>
        </is>
      </c>
    </row>
    <row r="553">
      <c r="A553" s="13" t="inlineStr">
        <is>
          <t>H075</t>
        </is>
      </c>
      <c r="B553" s="13" t="inlineStr">
        <is>
          <t>Gift to a slate candidate</t>
        </is>
      </c>
      <c r="C553" s="13" t="inlineStr">
        <is>
          <t>Friends of Julia Brim-Edwards</t>
        </is>
      </c>
      <c r="D553" s="13" t="inlineStr">
        <is>
          <t>21206</t>
        </is>
      </c>
      <c r="E553" s="13" t="inlineStr">
        <is>
          <t>4551179</t>
        </is>
      </c>
      <c r="F553" s="13" t="inlineStr">
        <is>
          <t>2023-04-04</t>
        </is>
      </c>
      <c r="G553" s="13" t="n">
        <v>500</v>
      </c>
      <c r="H553" s="13" t="inlineStr"/>
    </row>
    <row r="554">
      <c r="A554" s="13" t="inlineStr">
        <is>
          <t>H075</t>
        </is>
      </c>
      <c r="B554" s="13" t="inlineStr">
        <is>
          <t>Gift to a slate candidate</t>
        </is>
      </c>
      <c r="C554" s="13" t="inlineStr">
        <is>
          <t>Friends of Julia Brim-Edwards</t>
        </is>
      </c>
      <c r="D554" s="13" t="inlineStr">
        <is>
          <t>21206</t>
        </is>
      </c>
      <c r="E554" s="13" t="inlineStr">
        <is>
          <t>4853109</t>
        </is>
      </c>
      <c r="F554" s="13" t="inlineStr">
        <is>
          <t>2024-03-25</t>
        </is>
      </c>
      <c r="G554" s="13" t="n">
        <v>500</v>
      </c>
      <c r="H554" s="13" t="inlineStr"/>
    </row>
    <row r="555">
      <c r="A555" s="13" t="inlineStr">
        <is>
          <t>H075</t>
        </is>
      </c>
      <c r="B555" s="13" t="inlineStr">
        <is>
          <t>Gift to a slate candidate</t>
        </is>
      </c>
      <c r="C555" s="13" t="inlineStr">
        <is>
          <t>Friends of Eric Zimmerman</t>
        </is>
      </c>
      <c r="D555" s="13" t="inlineStr">
        <is>
          <t>17629</t>
        </is>
      </c>
      <c r="E555" s="13" t="inlineStr">
        <is>
          <t>4993456</t>
        </is>
      </c>
      <c r="F555" s="13" t="inlineStr">
        <is>
          <t>2024-08-13</t>
        </is>
      </c>
      <c r="G555" s="13" t="n">
        <v>250</v>
      </c>
      <c r="H555" s="13" t="inlineStr"/>
    </row>
    <row r="556">
      <c r="A556" s="13" t="inlineStr">
        <is>
          <t>H075</t>
        </is>
      </c>
      <c r="B556" s="13" t="inlineStr">
        <is>
          <t>Gift to a slate candidate</t>
        </is>
      </c>
      <c r="C556" s="13" t="inlineStr">
        <is>
          <t>Friends of Olivia</t>
        </is>
      </c>
      <c r="D556" s="13" t="inlineStr">
        <is>
          <t>23199</t>
        </is>
      </c>
      <c r="E556" s="13" t="inlineStr">
        <is>
          <t>5844219</t>
        </is>
      </c>
      <c r="F556" s="13" t="inlineStr">
        <is>
          <t>2026-09-15</t>
        </is>
      </c>
      <c r="G556" s="13" t="n">
        <v>250</v>
      </c>
      <c r="H556" s="13" t="inlineStr"/>
    </row>
    <row r="557">
      <c r="A557" s="13" t="inlineStr">
        <is>
          <t>H075</t>
        </is>
      </c>
      <c r="B557" s="13" t="inlineStr">
        <is>
          <t>Gift to a slate candidate</t>
        </is>
      </c>
      <c r="C557" s="13" t="inlineStr">
        <is>
          <t>Friends of Eric Zimmerman</t>
        </is>
      </c>
      <c r="D557" s="13" t="inlineStr">
        <is>
          <t>17629</t>
        </is>
      </c>
      <c r="E557" s="13" t="inlineStr">
        <is>
          <t>5813957</t>
        </is>
      </c>
      <c r="F557" s="13" t="inlineStr">
        <is>
          <t>2026-09-15</t>
        </is>
      </c>
      <c r="G557" s="13" t="n">
        <v>250</v>
      </c>
      <c r="H557" s="13" t="inlineStr"/>
    </row>
    <row r="558">
      <c r="A558" s="13" t="inlineStr">
        <is>
          <t>H075</t>
        </is>
      </c>
      <c r="B558" s="13" t="inlineStr">
        <is>
          <t>Gift to a slate candidate</t>
        </is>
      </c>
      <c r="C558" s="13" t="inlineStr">
        <is>
          <t>Kellie Torres for Portland</t>
        </is>
      </c>
      <c r="D558" s="13" t="inlineStr">
        <is>
          <t>24897</t>
        </is>
      </c>
      <c r="E558" s="13" t="inlineStr">
        <is>
          <t>5846623</t>
        </is>
      </c>
      <c r="F558" s="13" t="inlineStr">
        <is>
          <t>2026-09-20</t>
        </is>
      </c>
      <c r="G558" s="13" t="n">
        <v>250</v>
      </c>
      <c r="H558" s="13" t="inlineStr"/>
    </row>
    <row r="559">
      <c r="A559" s="13" t="inlineStr">
        <is>
          <t>H075</t>
        </is>
      </c>
      <c r="B559" s="13" t="inlineStr">
        <is>
          <t>Republican gift</t>
        </is>
      </c>
      <c r="C559" s="13" t="inlineStr">
        <is>
          <t>Knute for Governor</t>
        </is>
      </c>
      <c r="D559" s="13" t="inlineStr">
        <is>
          <t>15192</t>
        </is>
      </c>
      <c r="E559" s="13" t="inlineStr">
        <is>
          <t>2982931</t>
        </is>
      </c>
      <c r="F559" s="13" t="inlineStr">
        <is>
          <t>2018-09-20</t>
        </is>
      </c>
      <c r="G559" s="13" t="n">
        <v>1000</v>
      </c>
      <c r="H559" s="13" t="inlineStr">
        <is>
          <t>Street address or PO box</t>
        </is>
      </c>
    </row>
    <row r="560">
      <c r="A560" s="13" t="inlineStr">
        <is>
          <t>H075</t>
        </is>
      </c>
      <c r="B560" s="13" t="inlineStr">
        <is>
          <t>Republican gift</t>
        </is>
      </c>
      <c r="C560" s="13" t="inlineStr">
        <is>
          <t>Knute for Governor</t>
        </is>
      </c>
      <c r="D560" s="13" t="inlineStr">
        <is>
          <t>15192</t>
        </is>
      </c>
      <c r="E560" s="13" t="inlineStr">
        <is>
          <t>3054852</t>
        </is>
      </c>
      <c r="F560" s="13" t="inlineStr">
        <is>
          <t>2018-10-25</t>
        </is>
      </c>
      <c r="G560" s="13" t="n">
        <v>250</v>
      </c>
      <c r="H560" s="13" t="inlineStr">
        <is>
          <t>Street address or PO box</t>
        </is>
      </c>
    </row>
    <row r="561">
      <c r="A561" s="13" t="inlineStr">
        <is>
          <t>H075</t>
        </is>
      </c>
      <c r="B561" s="13" t="inlineStr">
        <is>
          <t>Republican gift</t>
        </is>
      </c>
      <c r="C561" s="13" t="inlineStr">
        <is>
          <t>Knute for Governor</t>
        </is>
      </c>
      <c r="D561" s="13" t="inlineStr">
        <is>
          <t>15192</t>
        </is>
      </c>
      <c r="E561" s="13" t="inlineStr">
        <is>
          <t>3069502</t>
        </is>
      </c>
      <c r="F561" s="13" t="inlineStr">
        <is>
          <t>2018-11-02</t>
        </is>
      </c>
      <c r="G561" s="13" t="n">
        <v>250</v>
      </c>
      <c r="H561" s="13" t="inlineStr">
        <is>
          <t>Street address or PO box</t>
        </is>
      </c>
    </row>
    <row r="562">
      <c r="A562" s="13" t="inlineStr">
        <is>
          <t>H076</t>
        </is>
      </c>
      <c r="B562" s="13" t="inlineStr">
        <is>
          <t>Gift to a slate candidate</t>
        </is>
      </c>
      <c r="C562" s="13" t="inlineStr">
        <is>
          <t>Friends of Julia Brim-Edwards</t>
        </is>
      </c>
      <c r="D562" s="13" t="inlineStr">
        <is>
          <t>21206</t>
        </is>
      </c>
      <c r="E562" s="13" t="inlineStr">
        <is>
          <t>4536323</t>
        </is>
      </c>
      <c r="F562" s="13" t="inlineStr">
        <is>
          <t>2023-03-27</t>
        </is>
      </c>
      <c r="G562" s="13" t="n">
        <v>500</v>
      </c>
      <c r="H562" s="13" t="inlineStr"/>
    </row>
    <row r="563">
      <c r="A563" s="13" t="inlineStr">
        <is>
          <t>H076</t>
        </is>
      </c>
      <c r="B563" s="13" t="inlineStr">
        <is>
          <t>Gift to a slate candidate</t>
        </is>
      </c>
      <c r="C563" s="13" t="inlineStr">
        <is>
          <t>Friends of Julia Brim-Edwards</t>
        </is>
      </c>
      <c r="D563" s="13" t="inlineStr">
        <is>
          <t>21206</t>
        </is>
      </c>
      <c r="E563" s="13" t="inlineStr">
        <is>
          <t>5578340</t>
        </is>
      </c>
      <c r="F563" s="13" t="inlineStr">
        <is>
          <t>2026-03-13</t>
        </is>
      </c>
      <c r="G563" s="13" t="n">
        <v>500</v>
      </c>
      <c r="H563" s="13" t="inlineStr"/>
    </row>
    <row r="564">
      <c r="A564" s="13" t="inlineStr">
        <is>
          <t>H076</t>
        </is>
      </c>
      <c r="B564" s="13" t="inlineStr">
        <is>
          <t>Gift to a slate candidate</t>
        </is>
      </c>
      <c r="C564" s="13" t="inlineStr">
        <is>
          <t>Friends of Eric Zimmerman</t>
        </is>
      </c>
      <c r="D564" s="13" t="inlineStr">
        <is>
          <t>17629</t>
        </is>
      </c>
      <c r="E564" s="13" t="inlineStr">
        <is>
          <t>5598564</t>
        </is>
      </c>
      <c r="F564" s="13" t="inlineStr">
        <is>
          <t>2026-03-31</t>
        </is>
      </c>
      <c r="G564" s="13" t="n">
        <v>250</v>
      </c>
      <c r="H564" s="13" t="inlineStr"/>
    </row>
    <row r="565">
      <c r="A565" s="13" t="inlineStr">
        <is>
          <t>H076</t>
        </is>
      </c>
      <c r="B565" s="13" t="inlineStr">
        <is>
          <t>Gift to a slate candidate</t>
        </is>
      </c>
      <c r="C565" s="13" t="inlineStr">
        <is>
          <t>Novick for Portland</t>
        </is>
      </c>
      <c r="D565" s="13" t="inlineStr">
        <is>
          <t>15109</t>
        </is>
      </c>
      <c r="E565" s="13" t="inlineStr">
        <is>
          <t>5845070</t>
        </is>
      </c>
      <c r="F565" s="13" t="inlineStr">
        <is>
          <t>2026-09-28</t>
        </is>
      </c>
      <c r="G565" s="13" t="n">
        <v>250</v>
      </c>
      <c r="H565" s="13" t="inlineStr"/>
    </row>
    <row r="566">
      <c r="A566" s="13" t="inlineStr">
        <is>
          <t>H076</t>
        </is>
      </c>
      <c r="B566" s="13" t="inlineStr">
        <is>
          <t>Gift to a slate candidate</t>
        </is>
      </c>
      <c r="C566" s="13" t="inlineStr">
        <is>
          <t>Friends of Olivia</t>
        </is>
      </c>
      <c r="D566" s="13" t="inlineStr">
        <is>
          <t>23199</t>
        </is>
      </c>
      <c r="E566" s="13" t="inlineStr">
        <is>
          <t>5868467</t>
        </is>
      </c>
      <c r="F566" s="13" t="inlineStr">
        <is>
          <t>2026-10-02</t>
        </is>
      </c>
      <c r="G566" s="13" t="n">
        <v>250</v>
      </c>
      <c r="H566" s="13" t="inlineStr"/>
    </row>
    <row r="567">
      <c r="A567" s="13" t="inlineStr">
        <is>
          <t>H076</t>
        </is>
      </c>
      <c r="B567" s="13" t="inlineStr">
        <is>
          <t>Gift to a slate candidate</t>
        </is>
      </c>
      <c r="C567" s="13" t="inlineStr">
        <is>
          <t>Kellie Torres for Portland</t>
        </is>
      </c>
      <c r="D567" s="13" t="inlineStr">
        <is>
          <t>24897</t>
        </is>
      </c>
      <c r="E567" s="13" t="inlineStr">
        <is>
          <t>5873378</t>
        </is>
      </c>
      <c r="F567" s="13" t="inlineStr">
        <is>
          <t>2026-10-05</t>
        </is>
      </c>
      <c r="G567" s="13" t="n">
        <v>250</v>
      </c>
      <c r="H567" s="13" t="inlineStr"/>
    </row>
    <row r="568">
      <c r="A568" s="13" t="inlineStr">
        <is>
          <t>H076</t>
        </is>
      </c>
      <c r="B568" s="13" t="inlineStr">
        <is>
          <t>Republican gift</t>
        </is>
      </c>
      <c r="C568" s="13" t="inlineStr">
        <is>
          <t>Knute for Governor</t>
        </is>
      </c>
      <c r="D568" s="13" t="inlineStr">
        <is>
          <t>15192</t>
        </is>
      </c>
      <c r="E568" s="13" t="inlineStr">
        <is>
          <t>2977979</t>
        </is>
      </c>
      <c r="F568" s="13" t="inlineStr">
        <is>
          <t>2018-09-23</t>
        </is>
      </c>
      <c r="G568" s="13" t="n">
        <v>1000</v>
      </c>
      <c r="H568" s="13" t="inlineStr">
        <is>
          <t>Hand review</t>
        </is>
      </c>
    </row>
    <row r="569">
      <c r="A569" s="13" t="inlineStr">
        <is>
          <t>H077</t>
        </is>
      </c>
      <c r="B569" s="13" t="inlineStr">
        <is>
          <t>Gift to a slate candidate</t>
        </is>
      </c>
      <c r="C569" s="13" t="inlineStr">
        <is>
          <t>Friends of Julia Brim-Edwards</t>
        </is>
      </c>
      <c r="D569" s="13" t="inlineStr">
        <is>
          <t>21206</t>
        </is>
      </c>
      <c r="E569" s="13" t="inlineStr">
        <is>
          <t>4572228</t>
        </is>
      </c>
      <c r="F569" s="13" t="inlineStr">
        <is>
          <t>2023-05-08</t>
        </is>
      </c>
      <c r="G569" s="13" t="n">
        <v>500</v>
      </c>
      <c r="H569" s="13" t="inlineStr"/>
    </row>
    <row r="570">
      <c r="A570" s="13" t="inlineStr">
        <is>
          <t>H077</t>
        </is>
      </c>
      <c r="B570" s="13" t="inlineStr">
        <is>
          <t>Gift to a slate candidate</t>
        </is>
      </c>
      <c r="C570" s="13" t="inlineStr">
        <is>
          <t>Eli for Portland</t>
        </is>
      </c>
      <c r="D570" s="13" t="inlineStr">
        <is>
          <t>23295</t>
        </is>
      </c>
      <c r="E570" s="13" t="inlineStr">
        <is>
          <t>5032662</t>
        </is>
      </c>
      <c r="F570" s="13" t="inlineStr">
        <is>
          <t>2024-08-27</t>
        </is>
      </c>
      <c r="G570" s="13" t="n">
        <v>250</v>
      </c>
      <c r="H570" s="13" t="inlineStr"/>
    </row>
    <row r="571">
      <c r="A571" s="13" t="inlineStr">
        <is>
          <t>H077</t>
        </is>
      </c>
      <c r="B571" s="13" t="inlineStr">
        <is>
          <t>Republican gift</t>
        </is>
      </c>
      <c r="C571" s="13" t="inlineStr">
        <is>
          <t>Knute for Governor</t>
        </is>
      </c>
      <c r="D571" s="13" t="inlineStr">
        <is>
          <t>15192</t>
        </is>
      </c>
      <c r="E571" s="13" t="inlineStr">
        <is>
          <t>3011754</t>
        </is>
      </c>
      <c r="F571" s="13" t="inlineStr">
        <is>
          <t>2018-10-03</t>
        </is>
      </c>
      <c r="G571" s="13" t="n">
        <v>1000</v>
      </c>
      <c r="H571" s="13" t="inlineStr">
        <is>
          <t>Street address or PO box</t>
        </is>
      </c>
    </row>
    <row r="572">
      <c r="A572" s="13" t="inlineStr">
        <is>
          <t>H078</t>
        </is>
      </c>
      <c r="B572" s="13" t="inlineStr">
        <is>
          <t>Gift to a slate candidate</t>
        </is>
      </c>
      <c r="C572" s="13" t="inlineStr">
        <is>
          <t>Friends of Julia Brim-Edwards</t>
        </is>
      </c>
      <c r="D572" s="13" t="inlineStr">
        <is>
          <t>21206</t>
        </is>
      </c>
      <c r="E572" s="13" t="inlineStr">
        <is>
          <t>5627317</t>
        </is>
      </c>
      <c r="F572" s="13" t="inlineStr">
        <is>
          <t>2026-04-09</t>
        </is>
      </c>
      <c r="G572" s="13" t="n">
        <v>250</v>
      </c>
      <c r="H572" s="13" t="inlineStr"/>
    </row>
    <row r="573">
      <c r="A573" s="13" t="inlineStr">
        <is>
          <t>H078</t>
        </is>
      </c>
      <c r="B573" s="13" t="inlineStr">
        <is>
          <t>Republican gift</t>
        </is>
      </c>
      <c r="C573" s="13" t="inlineStr">
        <is>
          <t>Knute for Governor</t>
        </is>
      </c>
      <c r="D573" s="13" t="inlineStr">
        <is>
          <t>15192</t>
        </is>
      </c>
      <c r="E573" s="13" t="inlineStr">
        <is>
          <t>3026413</t>
        </is>
      </c>
      <c r="F573" s="13" t="inlineStr">
        <is>
          <t>2018-10-09</t>
        </is>
      </c>
      <c r="G573" s="13" t="n">
        <v>250</v>
      </c>
      <c r="H573" s="13" t="inlineStr">
        <is>
          <t>Street address or PO box</t>
        </is>
      </c>
    </row>
    <row r="574">
      <c r="A574" s="13" t="inlineStr">
        <is>
          <t>H078</t>
        </is>
      </c>
      <c r="B574" s="13" t="inlineStr">
        <is>
          <t>Republican gift</t>
        </is>
      </c>
      <c r="C574" s="13" t="inlineStr">
        <is>
          <t>Knute for Governor</t>
        </is>
      </c>
      <c r="D574" s="13" t="inlineStr">
        <is>
          <t>15192</t>
        </is>
      </c>
      <c r="E574" s="13" t="inlineStr">
        <is>
          <t>3037360</t>
        </is>
      </c>
      <c r="F574" s="13" t="inlineStr">
        <is>
          <t>2018-10-15</t>
        </is>
      </c>
      <c r="G574" s="13" t="n">
        <v>250</v>
      </c>
      <c r="H574" s="13" t="inlineStr">
        <is>
          <t>Street address or PO box</t>
        </is>
      </c>
    </row>
    <row r="575">
      <c r="A575" s="13" t="inlineStr">
        <is>
          <t>H079</t>
        </is>
      </c>
      <c r="B575" s="13" t="inlineStr">
        <is>
          <t>Gift to a slate candidate</t>
        </is>
      </c>
      <c r="C575" s="13" t="inlineStr">
        <is>
          <t>Friends of Eric Zimmerman</t>
        </is>
      </c>
      <c r="D575" s="13" t="inlineStr">
        <is>
          <t>17629</t>
        </is>
      </c>
      <c r="E575" s="13" t="inlineStr">
        <is>
          <t>4993366</t>
        </is>
      </c>
      <c r="F575" s="13" t="inlineStr">
        <is>
          <t>2024-08-01</t>
        </is>
      </c>
      <c r="G575" s="13" t="n">
        <v>500</v>
      </c>
      <c r="H575" s="13" t="inlineStr"/>
    </row>
    <row r="576">
      <c r="A576" s="13" t="inlineStr">
        <is>
          <t>H079</t>
        </is>
      </c>
      <c r="B576" s="13" t="inlineStr">
        <is>
          <t>Republican gift</t>
        </is>
      </c>
      <c r="C576" s="13" t="inlineStr">
        <is>
          <t>Knute for Governor</t>
        </is>
      </c>
      <c r="D576" s="13" t="inlineStr">
        <is>
          <t>15192</t>
        </is>
      </c>
      <c r="E576" s="13" t="inlineStr">
        <is>
          <t>3028353</t>
        </is>
      </c>
      <c r="F576" s="13" t="inlineStr">
        <is>
          <t>2018-10-10</t>
        </is>
      </c>
      <c r="G576" s="13" t="n">
        <v>250</v>
      </c>
      <c r="H576" s="13" t="inlineStr">
        <is>
          <t>Street address or PO box</t>
        </is>
      </c>
    </row>
    <row r="577">
      <c r="A577" s="13" t="inlineStr">
        <is>
          <t>H079</t>
        </is>
      </c>
      <c r="B577" s="13" t="inlineStr">
        <is>
          <t>Republican gift</t>
        </is>
      </c>
      <c r="C577" s="13" t="inlineStr">
        <is>
          <t>Knute for Governor</t>
        </is>
      </c>
      <c r="D577" s="13" t="inlineStr">
        <is>
          <t>15192</t>
        </is>
      </c>
      <c r="E577" s="13" t="inlineStr">
        <is>
          <t>3043061</t>
        </is>
      </c>
      <c r="F577" s="13" t="inlineStr">
        <is>
          <t>2018-10-17</t>
        </is>
      </c>
      <c r="G577" s="13" t="n">
        <v>250</v>
      </c>
      <c r="H577" s="13" t="inlineStr">
        <is>
          <t>Street address or PO box</t>
        </is>
      </c>
    </row>
    <row r="578">
      <c r="A578" s="13" t="inlineStr">
        <is>
          <t>H079</t>
        </is>
      </c>
      <c r="B578" s="13" t="inlineStr">
        <is>
          <t>Republican gift</t>
        </is>
      </c>
      <c r="C578" s="13" t="inlineStr">
        <is>
          <t>Knute for Governor</t>
        </is>
      </c>
      <c r="D578" s="13" t="inlineStr">
        <is>
          <t>15192</t>
        </is>
      </c>
      <c r="E578" s="13" t="inlineStr">
        <is>
          <t>3058304</t>
        </is>
      </c>
      <c r="F578" s="13" t="inlineStr">
        <is>
          <t>2018-10-24</t>
        </is>
      </c>
      <c r="G578" s="13" t="n">
        <v>250</v>
      </c>
      <c r="H578" s="13" t="inlineStr">
        <is>
          <t>Street address or PO box</t>
        </is>
      </c>
    </row>
    <row r="579">
      <c r="A579" s="13" t="inlineStr">
        <is>
          <t>H079</t>
        </is>
      </c>
      <c r="B579" s="13" t="inlineStr">
        <is>
          <t>Republican gift</t>
        </is>
      </c>
      <c r="C579" s="13" t="inlineStr">
        <is>
          <t>Knute for Governor</t>
        </is>
      </c>
      <c r="D579" s="13" t="inlineStr">
        <is>
          <t>15192</t>
        </is>
      </c>
      <c r="E579" s="13" t="inlineStr">
        <is>
          <t>3065292</t>
        </is>
      </c>
      <c r="F579" s="13" t="inlineStr">
        <is>
          <t>2018-10-31</t>
        </is>
      </c>
      <c r="G579" s="13" t="n">
        <v>250</v>
      </c>
      <c r="H579" s="13" t="inlineStr">
        <is>
          <t>Street address or PO box</t>
        </is>
      </c>
    </row>
    <row r="580">
      <c r="A580" s="13" t="inlineStr">
        <is>
          <t>H080</t>
        </is>
      </c>
      <c r="B580" s="13" t="inlineStr">
        <is>
          <t>Gift to a slate candidate</t>
        </is>
      </c>
      <c r="C580" s="13" t="inlineStr">
        <is>
          <t>Eli for Portland</t>
        </is>
      </c>
      <c r="D580" s="13" t="inlineStr">
        <is>
          <t>23295</t>
        </is>
      </c>
      <c r="E580" s="13" t="inlineStr">
        <is>
          <t>5820930</t>
        </is>
      </c>
      <c r="F580" s="13" t="inlineStr">
        <is>
          <t>2026-09-16</t>
        </is>
      </c>
      <c r="G580" s="13" t="n">
        <v>250</v>
      </c>
      <c r="H580" s="13" t="inlineStr"/>
    </row>
    <row r="581">
      <c r="A581" s="13" t="inlineStr">
        <is>
          <t>H080</t>
        </is>
      </c>
      <c r="B581" s="13" t="inlineStr">
        <is>
          <t>Republican gift</t>
        </is>
      </c>
      <c r="C581" s="13" t="inlineStr">
        <is>
          <t>Knute for Governor</t>
        </is>
      </c>
      <c r="D581" s="13" t="inlineStr">
        <is>
          <t>15192</t>
        </is>
      </c>
      <c r="E581" s="13" t="inlineStr">
        <is>
          <t>3040524</t>
        </is>
      </c>
      <c r="F581" s="13" t="inlineStr">
        <is>
          <t>2018-10-16</t>
        </is>
      </c>
      <c r="G581" s="13" t="n">
        <v>250</v>
      </c>
      <c r="H581" s="13" t="inlineStr">
        <is>
          <t>Street address or PO box</t>
        </is>
      </c>
    </row>
    <row r="582">
      <c r="A582" s="13" t="inlineStr">
        <is>
          <t>H081</t>
        </is>
      </c>
      <c r="B582" s="13" t="inlineStr">
        <is>
          <t>Gift to a slate candidate</t>
        </is>
      </c>
      <c r="C582" s="13" t="inlineStr">
        <is>
          <t>Friends of Julia Brim-Edwards</t>
        </is>
      </c>
      <c r="D582" s="13" t="inlineStr">
        <is>
          <t>21206</t>
        </is>
      </c>
      <c r="E582" s="13" t="inlineStr">
        <is>
          <t>4572220</t>
        </is>
      </c>
      <c r="F582" s="13" t="inlineStr">
        <is>
          <t>2023-05-08</t>
        </is>
      </c>
      <c r="G582" s="13" t="n">
        <v>500</v>
      </c>
      <c r="H582" s="13" t="inlineStr"/>
    </row>
    <row r="583">
      <c r="A583" s="13" t="inlineStr">
        <is>
          <t>H081</t>
        </is>
      </c>
      <c r="B583" s="13" t="inlineStr">
        <is>
          <t>Gift to a slate candidate</t>
        </is>
      </c>
      <c r="C583" s="13" t="inlineStr">
        <is>
          <t>Friends of Julia Brim-Edwards</t>
        </is>
      </c>
      <c r="D583" s="13" t="inlineStr">
        <is>
          <t>21206</t>
        </is>
      </c>
      <c r="E583" s="13" t="inlineStr">
        <is>
          <t>5555099</t>
        </is>
      </c>
      <c r="F583" s="13" t="inlineStr">
        <is>
          <t>2026-02-23</t>
        </is>
      </c>
      <c r="G583" s="13" t="n">
        <v>500</v>
      </c>
      <c r="H583" s="13" t="inlineStr"/>
    </row>
    <row r="584">
      <c r="A584" s="13" t="inlineStr">
        <is>
          <t>H081</t>
        </is>
      </c>
      <c r="B584" s="13" t="inlineStr">
        <is>
          <t>Gift to a slate candidate</t>
        </is>
      </c>
      <c r="C584" s="13" t="inlineStr">
        <is>
          <t>Friends of Olivia</t>
        </is>
      </c>
      <c r="D584" s="13" t="inlineStr">
        <is>
          <t>23199</t>
        </is>
      </c>
      <c r="E584" s="13" t="inlineStr">
        <is>
          <t>5868498</t>
        </is>
      </c>
      <c r="F584" s="13" t="inlineStr">
        <is>
          <t>2026-10-05</t>
        </is>
      </c>
      <c r="G584" s="13" t="n">
        <v>250</v>
      </c>
      <c r="H584" s="13" t="inlineStr"/>
    </row>
    <row r="585">
      <c r="A585" s="13" t="inlineStr">
        <is>
          <t>H081</t>
        </is>
      </c>
      <c r="B585" s="13" t="inlineStr">
        <is>
          <t>Republican gift</t>
        </is>
      </c>
      <c r="C585" s="13" t="inlineStr">
        <is>
          <t>Knute for Governor</t>
        </is>
      </c>
      <c r="D585" s="13" t="inlineStr">
        <is>
          <t>15192</t>
        </is>
      </c>
      <c r="E585" s="13" t="inlineStr">
        <is>
          <t>3043250</t>
        </is>
      </c>
      <c r="F585" s="13" t="inlineStr">
        <is>
          <t>2018-10-17</t>
        </is>
      </c>
      <c r="G585" s="13" t="n">
        <v>25000</v>
      </c>
      <c r="H585" s="13" t="inlineStr">
        <is>
          <t>Street address or PO box</t>
        </is>
      </c>
    </row>
    <row r="586">
      <c r="A586" s="13" t="inlineStr">
        <is>
          <t>H082</t>
        </is>
      </c>
      <c r="B586" s="13" t="inlineStr">
        <is>
          <t>Gift to a slate candidate</t>
        </is>
      </c>
      <c r="C586" s="13" t="inlineStr">
        <is>
          <t>Friends of Julia Brim-Edwards</t>
        </is>
      </c>
      <c r="D586" s="13" t="inlineStr">
        <is>
          <t>21206</t>
        </is>
      </c>
      <c r="E586" s="13" t="inlineStr">
        <is>
          <t>4536325</t>
        </is>
      </c>
      <c r="F586" s="13" t="inlineStr">
        <is>
          <t>2023-03-26</t>
        </is>
      </c>
      <c r="G586" s="13" t="n">
        <v>500</v>
      </c>
      <c r="H586" s="13" t="inlineStr"/>
    </row>
    <row r="587">
      <c r="A587" s="13" t="inlineStr">
        <is>
          <t>H082</t>
        </is>
      </c>
      <c r="B587" s="13" t="inlineStr">
        <is>
          <t>Gift to a slate candidate</t>
        </is>
      </c>
      <c r="C587" s="13" t="inlineStr">
        <is>
          <t>Novick for Portland</t>
        </is>
      </c>
      <c r="D587" s="13" t="inlineStr">
        <is>
          <t>15109</t>
        </is>
      </c>
      <c r="E587" s="13" t="inlineStr">
        <is>
          <t>5022124</t>
        </is>
      </c>
      <c r="F587" s="13" t="inlineStr">
        <is>
          <t>2024-08-21</t>
        </is>
      </c>
      <c r="G587" s="13" t="n">
        <v>250</v>
      </c>
      <c r="H587" s="13" t="inlineStr"/>
    </row>
    <row r="588">
      <c r="A588" s="13" t="inlineStr">
        <is>
          <t>H082</t>
        </is>
      </c>
      <c r="B588" s="13" t="inlineStr">
        <is>
          <t>Gift to a slate candidate</t>
        </is>
      </c>
      <c r="C588" s="13" t="inlineStr">
        <is>
          <t>Friends of Olivia</t>
        </is>
      </c>
      <c r="D588" s="13" t="inlineStr">
        <is>
          <t>23199</t>
        </is>
      </c>
      <c r="E588" s="13" t="inlineStr">
        <is>
          <t>5005047</t>
        </is>
      </c>
      <c r="F588" s="13" t="inlineStr">
        <is>
          <t>2024-08-21</t>
        </is>
      </c>
      <c r="G588" s="13" t="n">
        <v>250</v>
      </c>
      <c r="H588" s="13" t="inlineStr"/>
    </row>
    <row r="589">
      <c r="A589" s="13" t="inlineStr">
        <is>
          <t>H082</t>
        </is>
      </c>
      <c r="B589" s="13" t="inlineStr">
        <is>
          <t>Gift to a slate candidate</t>
        </is>
      </c>
      <c r="C589" s="13" t="inlineStr">
        <is>
          <t>Friends of Eric Zimmerman</t>
        </is>
      </c>
      <c r="D589" s="13" t="inlineStr">
        <is>
          <t>17629</t>
        </is>
      </c>
      <c r="E589" s="13" t="inlineStr">
        <is>
          <t>5005275</t>
        </is>
      </c>
      <c r="F589" s="13" t="inlineStr">
        <is>
          <t>2024-08-21</t>
        </is>
      </c>
      <c r="G589" s="13" t="n">
        <v>250</v>
      </c>
      <c r="H589" s="13" t="inlineStr"/>
    </row>
    <row r="590">
      <c r="A590" s="13" t="inlineStr">
        <is>
          <t>H082</t>
        </is>
      </c>
      <c r="B590" s="13" t="inlineStr">
        <is>
          <t>Gift to a slate candidate</t>
        </is>
      </c>
      <c r="C590" s="13" t="inlineStr">
        <is>
          <t>Eli for Portland</t>
        </is>
      </c>
      <c r="D590" s="13" t="inlineStr">
        <is>
          <t>23295</t>
        </is>
      </c>
      <c r="E590" s="13" t="inlineStr">
        <is>
          <t>5032641</t>
        </is>
      </c>
      <c r="F590" s="13" t="inlineStr">
        <is>
          <t>2024-08-21</t>
        </is>
      </c>
      <c r="G590" s="13" t="n">
        <v>250</v>
      </c>
      <c r="H590" s="13" t="inlineStr"/>
    </row>
    <row r="591">
      <c r="A591" s="13" t="inlineStr">
        <is>
          <t>H082</t>
        </is>
      </c>
      <c r="B591" s="13" t="inlineStr">
        <is>
          <t>Gift to a slate candidate</t>
        </is>
      </c>
      <c r="C591" s="13" t="inlineStr">
        <is>
          <t>Friends of Julia Brim-Edwards</t>
        </is>
      </c>
      <c r="D591" s="13" t="inlineStr">
        <is>
          <t>21206</t>
        </is>
      </c>
      <c r="E591" s="13" t="inlineStr">
        <is>
          <t>5555053</t>
        </is>
      </c>
      <c r="F591" s="13" t="inlineStr">
        <is>
          <t>2026-02-17</t>
        </is>
      </c>
      <c r="G591" s="13" t="n">
        <v>500</v>
      </c>
      <c r="H591" s="13" t="inlineStr"/>
    </row>
    <row r="592">
      <c r="A592" s="13" t="inlineStr">
        <is>
          <t>H082</t>
        </is>
      </c>
      <c r="B592" s="13" t="inlineStr">
        <is>
          <t>Gift to a slate candidate</t>
        </is>
      </c>
      <c r="C592" s="13" t="inlineStr">
        <is>
          <t>Kellie Torres for Portland</t>
        </is>
      </c>
      <c r="D592" s="13" t="inlineStr">
        <is>
          <t>24897</t>
        </is>
      </c>
      <c r="E592" s="13" t="inlineStr">
        <is>
          <t>5760900</t>
        </is>
      </c>
      <c r="F592" s="13" t="inlineStr">
        <is>
          <t>2026-08-09</t>
        </is>
      </c>
      <c r="G592" s="13" t="n">
        <v>250</v>
      </c>
      <c r="H592" s="13" t="inlineStr"/>
    </row>
    <row r="593">
      <c r="A593" s="13" t="inlineStr">
        <is>
          <t>H082</t>
        </is>
      </c>
      <c r="B593" s="13" t="inlineStr">
        <is>
          <t>Gift to a slate candidate</t>
        </is>
      </c>
      <c r="C593" s="13" t="inlineStr">
        <is>
          <t>Friends of Eric Zimmerman</t>
        </is>
      </c>
      <c r="D593" s="13" t="inlineStr">
        <is>
          <t>17629</t>
        </is>
      </c>
      <c r="E593" s="13" t="inlineStr">
        <is>
          <t>5778125</t>
        </is>
      </c>
      <c r="F593" s="13" t="inlineStr">
        <is>
          <t>2026-08-20</t>
        </is>
      </c>
      <c r="G593" s="13" t="n">
        <v>250</v>
      </c>
      <c r="H593" s="13" t="inlineStr"/>
    </row>
    <row r="594">
      <c r="A594" s="13" t="inlineStr">
        <is>
          <t>H082</t>
        </is>
      </c>
      <c r="B594" s="13" t="inlineStr">
        <is>
          <t>Republican gift</t>
        </is>
      </c>
      <c r="C594" s="13" t="inlineStr">
        <is>
          <t>Knute for Governor</t>
        </is>
      </c>
      <c r="D594" s="13" t="inlineStr">
        <is>
          <t>15192</t>
        </is>
      </c>
      <c r="E594" s="13" t="inlineStr">
        <is>
          <t>3053040</t>
        </is>
      </c>
      <c r="F594" s="13" t="inlineStr">
        <is>
          <t>2018-10-26</t>
        </is>
      </c>
      <c r="G594" s="13" t="n">
        <v>3000</v>
      </c>
      <c r="H594" s="13" t="inlineStr">
        <is>
          <t>Street address or PO box</t>
        </is>
      </c>
    </row>
    <row r="595">
      <c r="A595" s="13" t="inlineStr">
        <is>
          <t>H083</t>
        </is>
      </c>
      <c r="B595" s="13" t="inlineStr">
        <is>
          <t>Gift to a slate candidate</t>
        </is>
      </c>
      <c r="C595" s="13" t="inlineStr">
        <is>
          <t>Friends of Julia Brim-Edwards</t>
        </is>
      </c>
      <c r="D595" s="13" t="inlineStr">
        <is>
          <t>21206</t>
        </is>
      </c>
      <c r="E595" s="13" t="inlineStr">
        <is>
          <t>4572232</t>
        </is>
      </c>
      <c r="F595" s="13" t="inlineStr">
        <is>
          <t>2023-05-08</t>
        </is>
      </c>
      <c r="G595" s="13" t="n">
        <v>500</v>
      </c>
      <c r="H595" s="13" t="inlineStr"/>
    </row>
    <row r="596">
      <c r="A596" s="13" t="inlineStr">
        <is>
          <t>H083</t>
        </is>
      </c>
      <c r="B596" s="13" t="inlineStr">
        <is>
          <t>Gift to a slate candidate</t>
        </is>
      </c>
      <c r="C596" s="13" t="inlineStr">
        <is>
          <t>Friends of Julia Brim-Edwards</t>
        </is>
      </c>
      <c r="D596" s="13" t="inlineStr">
        <is>
          <t>21206</t>
        </is>
      </c>
      <c r="E596" s="13" t="inlineStr">
        <is>
          <t>4861356</t>
        </is>
      </c>
      <c r="F596" s="13" t="inlineStr">
        <is>
          <t>2024-04-16</t>
        </is>
      </c>
      <c r="G596" s="13" t="n">
        <v>500</v>
      </c>
      <c r="H596" s="13" t="inlineStr"/>
    </row>
    <row r="597">
      <c r="A597" s="13" t="inlineStr">
        <is>
          <t>H083</t>
        </is>
      </c>
      <c r="B597" s="13" t="inlineStr">
        <is>
          <t>Gift to a slate candidate</t>
        </is>
      </c>
      <c r="C597" s="13" t="inlineStr">
        <is>
          <t>Friends of Julia Brim-Edwards</t>
        </is>
      </c>
      <c r="D597" s="13" t="inlineStr">
        <is>
          <t>21206</t>
        </is>
      </c>
      <c r="E597" s="13" t="inlineStr">
        <is>
          <t>5647922</t>
        </is>
      </c>
      <c r="F597" s="13" t="inlineStr">
        <is>
          <t>2026-04-20</t>
        </is>
      </c>
      <c r="G597" s="13" t="n">
        <v>500</v>
      </c>
      <c r="H597" s="13" t="inlineStr"/>
    </row>
    <row r="598">
      <c r="A598" s="13" t="inlineStr">
        <is>
          <t>H083</t>
        </is>
      </c>
      <c r="B598" s="13" t="inlineStr">
        <is>
          <t>Gift to a slate candidate</t>
        </is>
      </c>
      <c r="C598" s="13" t="inlineStr">
        <is>
          <t>Kellie Torres for Portland</t>
        </is>
      </c>
      <c r="D598" s="13" t="inlineStr">
        <is>
          <t>24897</t>
        </is>
      </c>
      <c r="E598" s="13" t="inlineStr">
        <is>
          <t>5761015</t>
        </is>
      </c>
      <c r="F598" s="13" t="inlineStr">
        <is>
          <t>2026-08-09</t>
        </is>
      </c>
      <c r="G598" s="13" t="n">
        <v>250</v>
      </c>
      <c r="H598" s="13" t="inlineStr"/>
    </row>
    <row r="599">
      <c r="A599" s="13" t="inlineStr">
        <is>
          <t>H083</t>
        </is>
      </c>
      <c r="B599" s="13" t="inlineStr">
        <is>
          <t>Gift to a slate candidate</t>
        </is>
      </c>
      <c r="C599" s="13" t="inlineStr">
        <is>
          <t>Friends of Eric Zimmerman</t>
        </is>
      </c>
      <c r="D599" s="13" t="inlineStr">
        <is>
          <t>17629</t>
        </is>
      </c>
      <c r="E599" s="13" t="inlineStr">
        <is>
          <t>5778143</t>
        </is>
      </c>
      <c r="F599" s="13" t="inlineStr">
        <is>
          <t>2026-08-21</t>
        </is>
      </c>
      <c r="G599" s="13" t="n">
        <v>250</v>
      </c>
      <c r="H599" s="13" t="inlineStr"/>
    </row>
    <row r="600">
      <c r="A600" s="13" t="inlineStr">
        <is>
          <t>H083</t>
        </is>
      </c>
      <c r="B600" s="13" t="inlineStr">
        <is>
          <t>Republican gift</t>
        </is>
      </c>
      <c r="C600" s="13" t="inlineStr">
        <is>
          <t>Knute for Governor</t>
        </is>
      </c>
      <c r="D600" s="13" t="inlineStr">
        <is>
          <t>15192</t>
        </is>
      </c>
      <c r="E600" s="13" t="inlineStr">
        <is>
          <t>3066973</t>
        </is>
      </c>
      <c r="F600" s="13" t="inlineStr">
        <is>
          <t>2018-11-01</t>
        </is>
      </c>
      <c r="G600" s="13" t="n">
        <v>1000</v>
      </c>
      <c r="H600" s="13" t="inlineStr">
        <is>
          <t>Street address or PO box</t>
        </is>
      </c>
    </row>
    <row r="601">
      <c r="A601" s="13" t="inlineStr">
        <is>
          <t>H084</t>
        </is>
      </c>
      <c r="B601" s="13" t="inlineStr">
        <is>
          <t>Gift to a slate candidate</t>
        </is>
      </c>
      <c r="C601" s="13" t="inlineStr">
        <is>
          <t>Eli for Portland</t>
        </is>
      </c>
      <c r="D601" s="13" t="inlineStr">
        <is>
          <t>23295</t>
        </is>
      </c>
      <c r="E601" s="13" t="inlineStr">
        <is>
          <t>4808154</t>
        </is>
      </c>
      <c r="F601" s="13" t="inlineStr">
        <is>
          <t>2024-02-27</t>
        </is>
      </c>
      <c r="G601" s="13" t="n">
        <v>250</v>
      </c>
      <c r="H601" s="13" t="inlineStr"/>
    </row>
    <row r="602">
      <c r="A602" s="13" t="inlineStr">
        <is>
          <t>H084</t>
        </is>
      </c>
      <c r="B602" s="13" t="inlineStr">
        <is>
          <t>Republican gift</t>
        </is>
      </c>
      <c r="C602" s="13" t="inlineStr">
        <is>
          <t>Knute for Governor</t>
        </is>
      </c>
      <c r="D602" s="13" t="inlineStr">
        <is>
          <t>15192</t>
        </is>
      </c>
      <c r="E602" s="13" t="inlineStr">
        <is>
          <t>3068827</t>
        </is>
      </c>
      <c r="F602" s="13" t="inlineStr">
        <is>
          <t>2018-11-01</t>
        </is>
      </c>
      <c r="G602" s="13" t="n">
        <v>500</v>
      </c>
      <c r="H602" s="13" t="inlineStr">
        <is>
          <t>Street address or PO box</t>
        </is>
      </c>
    </row>
    <row r="603">
      <c r="A603" s="13" t="inlineStr">
        <is>
          <t>H085</t>
        </is>
      </c>
      <c r="B603" s="13" t="inlineStr">
        <is>
          <t>Gift to a slate candidate</t>
        </is>
      </c>
      <c r="C603" s="13" t="inlineStr">
        <is>
          <t>Friends of Julia Brim-Edwards</t>
        </is>
      </c>
      <c r="D603" s="13" t="inlineStr">
        <is>
          <t>21206</t>
        </is>
      </c>
      <c r="E603" s="13" t="inlineStr">
        <is>
          <t>4572236</t>
        </is>
      </c>
      <c r="F603" s="13" t="inlineStr">
        <is>
          <t>2023-05-09</t>
        </is>
      </c>
      <c r="G603" s="13" t="n">
        <v>500</v>
      </c>
      <c r="H603" s="13" t="inlineStr"/>
    </row>
    <row r="604">
      <c r="A604" s="13" t="inlineStr">
        <is>
          <t>H085</t>
        </is>
      </c>
      <c r="B604" s="13" t="inlineStr">
        <is>
          <t>Gift to a slate candidate</t>
        </is>
      </c>
      <c r="C604" s="13" t="inlineStr">
        <is>
          <t>Novick for Portland</t>
        </is>
      </c>
      <c r="D604" s="13" t="inlineStr">
        <is>
          <t>15109</t>
        </is>
      </c>
      <c r="E604" s="13" t="inlineStr">
        <is>
          <t>5685080</t>
        </is>
      </c>
      <c r="F604" s="13" t="inlineStr">
        <is>
          <t>2026-06-04</t>
        </is>
      </c>
      <c r="G604" s="13" t="n">
        <v>250</v>
      </c>
      <c r="H604" s="13" t="inlineStr"/>
    </row>
    <row r="605">
      <c r="A605" s="13" t="inlineStr">
        <is>
          <t>H085</t>
        </is>
      </c>
      <c r="B605" s="13" t="inlineStr">
        <is>
          <t>Republican gift</t>
        </is>
      </c>
      <c r="C605" s="13" t="inlineStr">
        <is>
          <t>Knute for Governor</t>
        </is>
      </c>
      <c r="D605" s="13" t="inlineStr">
        <is>
          <t>15192</t>
        </is>
      </c>
      <c r="E605" s="13" t="inlineStr">
        <is>
          <t>3075371</t>
        </is>
      </c>
      <c r="F605" s="13" t="inlineStr">
        <is>
          <t>2018-11-03</t>
        </is>
      </c>
      <c r="G605" s="13" t="n">
        <v>5000</v>
      </c>
      <c r="H605" s="13" t="inlineStr">
        <is>
          <t>Hand review</t>
        </is>
      </c>
    </row>
    <row r="606">
      <c r="A606" s="13" t="inlineStr">
        <is>
          <t>H086</t>
        </is>
      </c>
      <c r="B606" s="13" t="inlineStr">
        <is>
          <t>Gift to a slate candidate</t>
        </is>
      </c>
      <c r="C606" s="13" t="inlineStr">
        <is>
          <t>Friends of Julia Brim-Edwards</t>
        </is>
      </c>
      <c r="D606" s="13" t="inlineStr">
        <is>
          <t>21206</t>
        </is>
      </c>
      <c r="E606" s="13" t="inlineStr">
        <is>
          <t>5647916</t>
        </is>
      </c>
      <c r="F606" s="13" t="inlineStr">
        <is>
          <t>2026-04-18</t>
        </is>
      </c>
      <c r="G606" s="13" t="n">
        <v>500</v>
      </c>
      <c r="H606" s="13" t="inlineStr"/>
    </row>
    <row r="607">
      <c r="A607" s="13" t="inlineStr">
        <is>
          <t>H086</t>
        </is>
      </c>
      <c r="B607" s="13" t="inlineStr">
        <is>
          <t>Republican gift</t>
        </is>
      </c>
      <c r="C607" s="13" t="inlineStr">
        <is>
          <t>Friends of Kim Thatcher</t>
        </is>
      </c>
      <c r="D607" s="13" t="inlineStr">
        <is>
          <t>4871</t>
        </is>
      </c>
      <c r="E607" s="13" t="inlineStr">
        <is>
          <t>3519484</t>
        </is>
      </c>
      <c r="F607" s="13" t="inlineStr">
        <is>
          <t>2020-07-25</t>
        </is>
      </c>
      <c r="G607" s="13" t="n">
        <v>1000</v>
      </c>
      <c r="H607" s="13" t="inlineStr">
        <is>
          <t>Street address or PO box</t>
        </is>
      </c>
    </row>
    <row r="608">
      <c r="A608" s="13" t="inlineStr">
        <is>
          <t>H086</t>
        </is>
      </c>
      <c r="B608" s="13" t="inlineStr">
        <is>
          <t>Republican gift</t>
        </is>
      </c>
      <c r="C608" s="13" t="inlineStr">
        <is>
          <t>Friends of Christine Drazan</t>
        </is>
      </c>
      <c r="D608" s="13" t="inlineStr">
        <is>
          <t>19050</t>
        </is>
      </c>
      <c r="E608" s="13" t="inlineStr">
        <is>
          <t>5438241</t>
        </is>
      </c>
      <c r="F608" s="13" t="inlineStr">
        <is>
          <t>2025-11-18</t>
        </is>
      </c>
      <c r="G608" s="13" t="n">
        <v>10000</v>
      </c>
      <c r="H608" s="13" t="inlineStr">
        <is>
          <t>Street address or PO box</t>
        </is>
      </c>
    </row>
    <row r="609">
      <c r="A609" s="13" t="inlineStr">
        <is>
          <t>H086</t>
        </is>
      </c>
      <c r="B609" s="13" t="inlineStr">
        <is>
          <t>Republican gift</t>
        </is>
      </c>
      <c r="C609" s="13" t="inlineStr">
        <is>
          <t>Friends of Christine Drazan</t>
        </is>
      </c>
      <c r="D609" s="13" t="inlineStr">
        <is>
          <t>19050</t>
        </is>
      </c>
      <c r="E609" s="13" t="inlineStr">
        <is>
          <t>5851026</t>
        </is>
      </c>
      <c r="F609" s="13" t="inlineStr">
        <is>
          <t>2026-09-30</t>
        </is>
      </c>
      <c r="G609" s="13" t="n">
        <v>5000</v>
      </c>
      <c r="H609" s="13" t="inlineStr">
        <is>
          <t>Street address or PO box</t>
        </is>
      </c>
    </row>
    <row r="610">
      <c r="A610" s="13" t="inlineStr">
        <is>
          <t>H087</t>
        </is>
      </c>
      <c r="B610" s="13" t="inlineStr">
        <is>
          <t>Gift to a slate candidate</t>
        </is>
      </c>
      <c r="C610" s="13" t="inlineStr">
        <is>
          <t>Friends of Olivia</t>
        </is>
      </c>
      <c r="D610" s="13" t="inlineStr">
        <is>
          <t>23199</t>
        </is>
      </c>
      <c r="E610" s="13" t="inlineStr">
        <is>
          <t>5047884</t>
        </is>
      </c>
      <c r="F610" s="13" t="inlineStr">
        <is>
          <t>2024-08-30</t>
        </is>
      </c>
      <c r="G610" s="13" t="n">
        <v>250</v>
      </c>
      <c r="H610" s="13" t="inlineStr"/>
    </row>
    <row r="611">
      <c r="A611" s="13" t="inlineStr">
        <is>
          <t>H087</t>
        </is>
      </c>
      <c r="B611" s="13" t="inlineStr">
        <is>
          <t>Gift to a slate candidate</t>
        </is>
      </c>
      <c r="C611" s="13" t="inlineStr">
        <is>
          <t>Friends of Olivia</t>
        </is>
      </c>
      <c r="D611" s="13" t="inlineStr">
        <is>
          <t>23199</t>
        </is>
      </c>
      <c r="E611" s="13" t="inlineStr">
        <is>
          <t>5850413</t>
        </is>
      </c>
      <c r="F611" s="13" t="inlineStr">
        <is>
          <t>2026-09-29</t>
        </is>
      </c>
      <c r="G611" s="13" t="n">
        <v>250</v>
      </c>
      <c r="H611" s="13" t="inlineStr"/>
    </row>
    <row r="612">
      <c r="A612" s="13" t="inlineStr">
        <is>
          <t>H087</t>
        </is>
      </c>
      <c r="B612" s="13" t="inlineStr">
        <is>
          <t>Republican gift</t>
        </is>
      </c>
      <c r="C612" s="13" t="inlineStr">
        <is>
          <t>Tim Knopp for State Senate</t>
        </is>
      </c>
      <c r="D612" s="13" t="inlineStr">
        <is>
          <t>15627</t>
        </is>
      </c>
      <c r="E612" s="13" t="inlineStr">
        <is>
          <t>3604571</t>
        </is>
      </c>
      <c r="F612" s="13" t="inlineStr">
        <is>
          <t>2020-10-01</t>
        </is>
      </c>
      <c r="G612" s="13" t="n">
        <v>500</v>
      </c>
      <c r="H612" s="13" t="inlineStr">
        <is>
          <t>Street address or PO box</t>
        </is>
      </c>
    </row>
    <row r="613">
      <c r="A613" s="13" t="inlineStr">
        <is>
          <t>H088</t>
        </is>
      </c>
      <c r="B613" s="13" t="inlineStr">
        <is>
          <t>Gift to a slate candidate</t>
        </is>
      </c>
      <c r="C613" s="13" t="inlineStr">
        <is>
          <t>Friends of Olivia</t>
        </is>
      </c>
      <c r="D613" s="13" t="inlineStr">
        <is>
          <t>23199</t>
        </is>
      </c>
      <c r="E613" s="13" t="inlineStr">
        <is>
          <t>5868499</t>
        </is>
      </c>
      <c r="F613" s="13" t="inlineStr">
        <is>
          <t>2026-10-05</t>
        </is>
      </c>
      <c r="G613" s="13" t="n">
        <v>250</v>
      </c>
      <c r="H613" s="13" t="inlineStr"/>
    </row>
    <row r="614">
      <c r="A614" s="13" t="inlineStr">
        <is>
          <t>H088</t>
        </is>
      </c>
      <c r="B614" s="13" t="inlineStr">
        <is>
          <t>Republican gift</t>
        </is>
      </c>
      <c r="C614" s="13" t="inlineStr">
        <is>
          <t>Friends of Kim Thatcher</t>
        </is>
      </c>
      <c r="D614" s="13" t="inlineStr">
        <is>
          <t>4871</t>
        </is>
      </c>
      <c r="E614" s="13" t="inlineStr">
        <is>
          <t>3648909</t>
        </is>
      </c>
      <c r="F614" s="13" t="inlineStr">
        <is>
          <t>2020-10-21</t>
        </is>
      </c>
      <c r="G614" s="13" t="n">
        <v>500</v>
      </c>
      <c r="H614" s="13" t="inlineStr">
        <is>
          <t>Street address or PO box</t>
        </is>
      </c>
    </row>
    <row r="615">
      <c r="A615" s="13" t="inlineStr">
        <is>
          <t>H088</t>
        </is>
      </c>
      <c r="B615" s="13" t="inlineStr">
        <is>
          <t>Republican gift</t>
        </is>
      </c>
      <c r="C615" s="13" t="inlineStr">
        <is>
          <t>Friends of Christine Drazan</t>
        </is>
      </c>
      <c r="D615" s="13" t="inlineStr">
        <is>
          <t>19050</t>
        </is>
      </c>
      <c r="E615" s="13" t="inlineStr">
        <is>
          <t>5771117</t>
        </is>
      </c>
      <c r="F615" s="13" t="inlineStr">
        <is>
          <t>2026-08-19</t>
        </is>
      </c>
      <c r="G615" s="13" t="n">
        <v>3000</v>
      </c>
      <c r="H615" s="13" t="inlineStr">
        <is>
          <t>Street address or PO box</t>
        </is>
      </c>
    </row>
    <row r="616">
      <c r="A616" s="13" t="inlineStr">
        <is>
          <t>H089</t>
        </is>
      </c>
      <c r="B616" s="13" t="inlineStr">
        <is>
          <t>Gift to a slate candidate</t>
        </is>
      </c>
      <c r="C616" s="13" t="inlineStr">
        <is>
          <t>Friends of Julia Brim-Edwards</t>
        </is>
      </c>
      <c r="D616" s="13" t="inlineStr">
        <is>
          <t>21206</t>
        </is>
      </c>
      <c r="E616" s="13" t="inlineStr">
        <is>
          <t>4563017</t>
        </is>
      </c>
      <c r="F616" s="13" t="inlineStr">
        <is>
          <t>2023-04-26</t>
        </is>
      </c>
      <c r="G616" s="13" t="n">
        <v>250</v>
      </c>
      <c r="H616" s="13" t="inlineStr"/>
    </row>
    <row r="617">
      <c r="A617" s="13" t="inlineStr">
        <is>
          <t>H089</t>
        </is>
      </c>
      <c r="B617" s="13" t="inlineStr">
        <is>
          <t>Gift to a slate candidate</t>
        </is>
      </c>
      <c r="C617" s="13" t="inlineStr">
        <is>
          <t>Eli for Portland</t>
        </is>
      </c>
      <c r="D617" s="13" t="inlineStr">
        <is>
          <t>23295</t>
        </is>
      </c>
      <c r="E617" s="13" t="inlineStr">
        <is>
          <t>5064945</t>
        </is>
      </c>
      <c r="F617" s="13" t="inlineStr">
        <is>
          <t>2024-09-15</t>
        </is>
      </c>
      <c r="G617" s="13" t="n">
        <v>250</v>
      </c>
      <c r="H617" s="13" t="inlineStr"/>
    </row>
    <row r="618">
      <c r="A618" s="13" t="inlineStr">
        <is>
          <t>H089</t>
        </is>
      </c>
      <c r="B618" s="13" t="inlineStr">
        <is>
          <t>Gift to a slate candidate</t>
        </is>
      </c>
      <c r="C618" s="13" t="inlineStr">
        <is>
          <t>Friends of Julia Brim-Edwards</t>
        </is>
      </c>
      <c r="D618" s="13" t="inlineStr">
        <is>
          <t>21206</t>
        </is>
      </c>
      <c r="E618" s="13" t="inlineStr">
        <is>
          <t>5647956</t>
        </is>
      </c>
      <c r="F618" s="13" t="inlineStr">
        <is>
          <t>2026-04-28</t>
        </is>
      </c>
      <c r="G618" s="13" t="n">
        <v>250</v>
      </c>
      <c r="H618" s="13" t="inlineStr"/>
    </row>
    <row r="619">
      <c r="A619" s="13" t="inlineStr">
        <is>
          <t>H089</t>
        </is>
      </c>
      <c r="B619" s="13" t="inlineStr">
        <is>
          <t>Gift to a slate candidate</t>
        </is>
      </c>
      <c r="C619" s="13" t="inlineStr">
        <is>
          <t>Friends of Julia Brim-Edwards</t>
        </is>
      </c>
      <c r="D619" s="13" t="inlineStr">
        <is>
          <t>21206</t>
        </is>
      </c>
      <c r="E619" s="13" t="inlineStr">
        <is>
          <t>5747274</t>
        </is>
      </c>
      <c r="F619" s="13" t="inlineStr">
        <is>
          <t>2026-07-01</t>
        </is>
      </c>
      <c r="G619" s="13" t="n">
        <v>500</v>
      </c>
      <c r="H619" s="13" t="inlineStr"/>
    </row>
    <row r="620">
      <c r="A620" s="13" t="inlineStr">
        <is>
          <t>H089</t>
        </is>
      </c>
      <c r="B620" s="13" t="inlineStr">
        <is>
          <t>Republican gift</t>
        </is>
      </c>
      <c r="C620" s="13" t="inlineStr">
        <is>
          <t>Friends of Christine Drazan</t>
        </is>
      </c>
      <c r="D620" s="13" t="inlineStr">
        <is>
          <t>19050</t>
        </is>
      </c>
      <c r="E620" s="13" t="inlineStr">
        <is>
          <t>3990333</t>
        </is>
      </c>
      <c r="F620" s="13" t="inlineStr">
        <is>
          <t>2022-01-26</t>
        </is>
      </c>
      <c r="G620" s="13" t="n">
        <v>250</v>
      </c>
      <c r="H620" s="13" t="inlineStr">
        <is>
          <t>Street address or PO box</t>
        </is>
      </c>
    </row>
    <row r="621">
      <c r="A621" s="13" t="inlineStr">
        <is>
          <t>H089</t>
        </is>
      </c>
      <c r="B621" s="13" t="inlineStr">
        <is>
          <t>Republican gift</t>
        </is>
      </c>
      <c r="C621" s="13" t="inlineStr">
        <is>
          <t>Friends of Christine Drazan</t>
        </is>
      </c>
      <c r="D621" s="13" t="inlineStr">
        <is>
          <t>19050</t>
        </is>
      </c>
      <c r="E621" s="13" t="inlineStr">
        <is>
          <t>3990334</t>
        </is>
      </c>
      <c r="F621" s="13" t="inlineStr">
        <is>
          <t>2022-01-26</t>
        </is>
      </c>
      <c r="G621" s="13" t="n">
        <v>250</v>
      </c>
      <c r="H621" s="13" t="inlineStr">
        <is>
          <t>Street address or PO box</t>
        </is>
      </c>
    </row>
    <row r="622">
      <c r="A622" s="13" t="inlineStr">
        <is>
          <t>H090</t>
        </is>
      </c>
      <c r="B622" s="13" t="inlineStr">
        <is>
          <t>Gift to a slate candidate</t>
        </is>
      </c>
      <c r="C622" s="13" t="inlineStr">
        <is>
          <t>Friends of Julia Brim-Edwards</t>
        </is>
      </c>
      <c r="D622" s="13" t="inlineStr">
        <is>
          <t>21206</t>
        </is>
      </c>
      <c r="E622" s="13" t="inlineStr">
        <is>
          <t>5627297</t>
        </is>
      </c>
      <c r="F622" s="13" t="inlineStr">
        <is>
          <t>2026-04-06</t>
        </is>
      </c>
      <c r="G622" s="13" t="n">
        <v>500</v>
      </c>
      <c r="H622" s="13" t="inlineStr"/>
    </row>
    <row r="623">
      <c r="A623" s="13" t="inlineStr">
        <is>
          <t>H090</t>
        </is>
      </c>
      <c r="B623" s="13" t="inlineStr">
        <is>
          <t>Republican gift</t>
        </is>
      </c>
      <c r="C623" s="13" t="inlineStr">
        <is>
          <t>Friends of Christine Drazan</t>
        </is>
      </c>
      <c r="D623" s="13" t="inlineStr">
        <is>
          <t>19050</t>
        </is>
      </c>
      <c r="E623" s="13" t="inlineStr">
        <is>
          <t>4020650</t>
        </is>
      </c>
      <c r="F623" s="13" t="inlineStr">
        <is>
          <t>2022-02-25</t>
        </is>
      </c>
      <c r="G623" s="13" t="n">
        <v>250</v>
      </c>
      <c r="H623" s="13" t="inlineStr">
        <is>
          <t>Street address or PO box</t>
        </is>
      </c>
    </row>
    <row r="624">
      <c r="A624" s="13" t="inlineStr">
        <is>
          <t>H090</t>
        </is>
      </c>
      <c r="B624" s="13" t="inlineStr">
        <is>
          <t>Republican gift</t>
        </is>
      </c>
      <c r="C624" s="13" t="inlineStr">
        <is>
          <t>Friends of Christine Drazan</t>
        </is>
      </c>
      <c r="D624" s="13" t="inlineStr">
        <is>
          <t>19050</t>
        </is>
      </c>
      <c r="E624" s="13" t="inlineStr">
        <is>
          <t>4111500</t>
        </is>
      </c>
      <c r="F624" s="13" t="inlineStr">
        <is>
          <t>2022-03-18</t>
        </is>
      </c>
      <c r="G624" s="13" t="n">
        <v>250</v>
      </c>
      <c r="H624" s="13" t="inlineStr">
        <is>
          <t>Street address or PO box</t>
        </is>
      </c>
    </row>
    <row r="625">
      <c r="A625" s="13" t="inlineStr">
        <is>
          <t>H090</t>
        </is>
      </c>
      <c r="B625" s="13" t="inlineStr">
        <is>
          <t>Republican gift</t>
        </is>
      </c>
      <c r="C625" s="13" t="inlineStr">
        <is>
          <t>Friends of Christine Drazan</t>
        </is>
      </c>
      <c r="D625" s="13" t="inlineStr">
        <is>
          <t>19050</t>
        </is>
      </c>
      <c r="E625" s="13" t="inlineStr">
        <is>
          <t>4111499</t>
        </is>
      </c>
      <c r="F625" s="13" t="inlineStr">
        <is>
          <t>2022-04-15</t>
        </is>
      </c>
      <c r="G625" s="13" t="n">
        <v>250</v>
      </c>
      <c r="H625" s="13" t="inlineStr">
        <is>
          <t>Street address or PO box</t>
        </is>
      </c>
    </row>
    <row r="626">
      <c r="A626" s="13" t="inlineStr">
        <is>
          <t>H090</t>
        </is>
      </c>
      <c r="B626" s="13" t="inlineStr">
        <is>
          <t>Republican gift</t>
        </is>
      </c>
      <c r="C626" s="13" t="inlineStr">
        <is>
          <t>Friends of Christine Drazan</t>
        </is>
      </c>
      <c r="D626" s="13" t="inlineStr">
        <is>
          <t>19050</t>
        </is>
      </c>
      <c r="E626" s="13" t="inlineStr">
        <is>
          <t>4174973</t>
        </is>
      </c>
      <c r="F626" s="13" t="inlineStr">
        <is>
          <t>2022-06-06</t>
        </is>
      </c>
      <c r="G626" s="13" t="n">
        <v>500</v>
      </c>
      <c r="H626" s="13" t="inlineStr">
        <is>
          <t>Street address or PO box</t>
        </is>
      </c>
    </row>
    <row r="627">
      <c r="A627" s="13" t="inlineStr">
        <is>
          <t>H090</t>
        </is>
      </c>
      <c r="B627" s="13" t="inlineStr">
        <is>
          <t>Republican gift</t>
        </is>
      </c>
      <c r="C627" s="13" t="inlineStr">
        <is>
          <t>Friends of Christine Drazan</t>
        </is>
      </c>
      <c r="D627" s="13" t="inlineStr">
        <is>
          <t>19050</t>
        </is>
      </c>
      <c r="E627" s="13" t="inlineStr">
        <is>
          <t>4201000</t>
        </is>
      </c>
      <c r="F627" s="13" t="inlineStr">
        <is>
          <t>2022-07-11</t>
        </is>
      </c>
      <c r="G627" s="13" t="n">
        <v>250</v>
      </c>
      <c r="H627" s="13" t="inlineStr">
        <is>
          <t>Street address or PO box</t>
        </is>
      </c>
    </row>
    <row r="628">
      <c r="A628" s="13" t="inlineStr">
        <is>
          <t>H090</t>
        </is>
      </c>
      <c r="B628" s="13" t="inlineStr">
        <is>
          <t>Republican gift</t>
        </is>
      </c>
      <c r="C628" s="13" t="inlineStr">
        <is>
          <t>Friends of Christine Drazan</t>
        </is>
      </c>
      <c r="D628" s="13" t="inlineStr">
        <is>
          <t>19050</t>
        </is>
      </c>
      <c r="E628" s="13" t="inlineStr">
        <is>
          <t>4326395</t>
        </is>
      </c>
      <c r="F628" s="13" t="inlineStr">
        <is>
          <t>2022-10-04</t>
        </is>
      </c>
      <c r="G628" s="13" t="n">
        <v>500</v>
      </c>
      <c r="H628" s="13" t="inlineStr">
        <is>
          <t>Street address or PO box</t>
        </is>
      </c>
    </row>
    <row r="629">
      <c r="A629" s="13" t="inlineStr">
        <is>
          <t>H090</t>
        </is>
      </c>
      <c r="B629" s="13" t="inlineStr">
        <is>
          <t>Republican gift</t>
        </is>
      </c>
      <c r="C629" s="13" t="inlineStr">
        <is>
          <t>Friends of Christine Drazan</t>
        </is>
      </c>
      <c r="D629" s="13" t="inlineStr">
        <is>
          <t>19050</t>
        </is>
      </c>
      <c r="E629" s="13" t="inlineStr">
        <is>
          <t>5335680</t>
        </is>
      </c>
      <c r="F629" s="13" t="inlineStr">
        <is>
          <t>2025-07-03</t>
        </is>
      </c>
      <c r="G629" s="13" t="n">
        <v>250</v>
      </c>
      <c r="H629" s="13" t="inlineStr">
        <is>
          <t>Street address or PO box</t>
        </is>
      </c>
    </row>
    <row r="630">
      <c r="A630" s="13" t="inlineStr">
        <is>
          <t>H090</t>
        </is>
      </c>
      <c r="B630" s="13" t="inlineStr">
        <is>
          <t>Republican gift</t>
        </is>
      </c>
      <c r="C630" s="13" t="inlineStr">
        <is>
          <t>Friends of Christine Drazan</t>
        </is>
      </c>
      <c r="D630" s="13" t="inlineStr">
        <is>
          <t>19050</t>
        </is>
      </c>
      <c r="E630" s="13" t="inlineStr">
        <is>
          <t>5400944</t>
        </is>
      </c>
      <c r="F630" s="13" t="inlineStr">
        <is>
          <t>2025-10-02</t>
        </is>
      </c>
      <c r="G630" s="13" t="n">
        <v>250</v>
      </c>
      <c r="H630" s="13" t="inlineStr">
        <is>
          <t>Street address or PO box</t>
        </is>
      </c>
    </row>
    <row r="631">
      <c r="A631" s="13" t="inlineStr">
        <is>
          <t>H090</t>
        </is>
      </c>
      <c r="B631" s="13" t="inlineStr">
        <is>
          <t>Republican gift</t>
        </is>
      </c>
      <c r="C631" s="13" t="inlineStr">
        <is>
          <t>Friends of Christine Drazan</t>
        </is>
      </c>
      <c r="D631" s="13" t="inlineStr">
        <is>
          <t>19050</t>
        </is>
      </c>
      <c r="E631" s="13" t="inlineStr">
        <is>
          <t>5500849</t>
        </is>
      </c>
      <c r="F631" s="13" t="inlineStr">
        <is>
          <t>2026-01-08</t>
        </is>
      </c>
      <c r="G631" s="13" t="n">
        <v>250</v>
      </c>
      <c r="H631" s="13" t="inlineStr">
        <is>
          <t>Street address or PO box</t>
        </is>
      </c>
    </row>
    <row r="632">
      <c r="A632" s="13" t="inlineStr">
        <is>
          <t>H090</t>
        </is>
      </c>
      <c r="B632" s="13" t="inlineStr">
        <is>
          <t>Republican gift</t>
        </is>
      </c>
      <c r="C632" s="13" t="inlineStr">
        <is>
          <t>Friends of Christine Drazan</t>
        </is>
      </c>
      <c r="D632" s="13" t="inlineStr">
        <is>
          <t>19050</t>
        </is>
      </c>
      <c r="E632" s="13" t="inlineStr">
        <is>
          <t>5622672</t>
        </is>
      </c>
      <c r="F632" s="13" t="inlineStr">
        <is>
          <t>2026-04-13</t>
        </is>
      </c>
      <c r="G632" s="13" t="n">
        <v>500</v>
      </c>
      <c r="H632" s="13" t="inlineStr">
        <is>
          <t>Street address or PO box</t>
        </is>
      </c>
    </row>
    <row r="633">
      <c r="A633" s="13" t="inlineStr">
        <is>
          <t>H090</t>
        </is>
      </c>
      <c r="B633" s="13" t="inlineStr">
        <is>
          <t>Republican gift</t>
        </is>
      </c>
      <c r="C633" s="13" t="inlineStr">
        <is>
          <t>Friends of Christine Drazan</t>
        </is>
      </c>
      <c r="D633" s="13" t="inlineStr">
        <is>
          <t>19050</t>
        </is>
      </c>
      <c r="E633" s="13" t="inlineStr">
        <is>
          <t>5753118</t>
        </is>
      </c>
      <c r="F633" s="13" t="inlineStr">
        <is>
          <t>2026-08-05</t>
        </is>
      </c>
      <c r="G633" s="13" t="n">
        <v>2000</v>
      </c>
      <c r="H633" s="13" t="inlineStr">
        <is>
          <t>Street address or PO box</t>
        </is>
      </c>
    </row>
    <row r="634">
      <c r="A634" s="13" t="inlineStr">
        <is>
          <t>H090</t>
        </is>
      </c>
      <c r="B634" s="13" t="inlineStr">
        <is>
          <t>Republican gift</t>
        </is>
      </c>
      <c r="C634" s="13" t="inlineStr">
        <is>
          <t>Friends of Christine Drazan</t>
        </is>
      </c>
      <c r="D634" s="13" t="inlineStr">
        <is>
          <t>19050</t>
        </is>
      </c>
      <c r="E634" s="13" t="inlineStr">
        <is>
          <t>5829352</t>
        </is>
      </c>
      <c r="F634" s="13" t="inlineStr">
        <is>
          <t>2026-09-24</t>
        </is>
      </c>
      <c r="G634" s="13" t="n">
        <v>1000</v>
      </c>
      <c r="H634" s="13" t="inlineStr">
        <is>
          <t>Street address or PO box</t>
        </is>
      </c>
    </row>
    <row r="635">
      <c r="A635" s="13" t="inlineStr">
        <is>
          <t>H091</t>
        </is>
      </c>
      <c r="B635" s="13" t="inlineStr">
        <is>
          <t>Gift to a slate candidate</t>
        </is>
      </c>
      <c r="C635" s="13" t="inlineStr">
        <is>
          <t>Friends of Julia Brim-Edwards</t>
        </is>
      </c>
      <c r="D635" s="13" t="inlineStr">
        <is>
          <t>21206</t>
        </is>
      </c>
      <c r="E635" s="13" t="inlineStr">
        <is>
          <t>5704191</t>
        </is>
      </c>
      <c r="F635" s="13" t="inlineStr">
        <is>
          <t>2026-06-26</t>
        </is>
      </c>
      <c r="G635" s="13" t="n">
        <v>500</v>
      </c>
      <c r="H635" s="13" t="inlineStr"/>
    </row>
    <row r="636">
      <c r="A636" s="13" t="inlineStr">
        <is>
          <t>H091</t>
        </is>
      </c>
      <c r="B636" s="13" t="inlineStr">
        <is>
          <t>Republican gift</t>
        </is>
      </c>
      <c r="C636" s="13" t="inlineStr">
        <is>
          <t>Friends of Christine Drazan</t>
        </is>
      </c>
      <c r="D636" s="13" t="inlineStr">
        <is>
          <t>19050</t>
        </is>
      </c>
      <c r="E636" s="13" t="inlineStr">
        <is>
          <t>4090915</t>
        </is>
      </c>
      <c r="F636" s="13" t="inlineStr">
        <is>
          <t>2022-04-04</t>
        </is>
      </c>
      <c r="G636" s="13" t="n">
        <v>250</v>
      </c>
      <c r="H636" s="13" t="inlineStr">
        <is>
          <t>Street address or PO box</t>
        </is>
      </c>
    </row>
    <row r="637">
      <c r="A637" s="13" t="inlineStr">
        <is>
          <t>H091</t>
        </is>
      </c>
      <c r="B637" s="13" t="inlineStr">
        <is>
          <t>Republican gift</t>
        </is>
      </c>
      <c r="C637" s="13" t="inlineStr">
        <is>
          <t>Friends of Christine Drazan</t>
        </is>
      </c>
      <c r="D637" s="13" t="inlineStr">
        <is>
          <t>19050</t>
        </is>
      </c>
      <c r="E637" s="13" t="inlineStr">
        <is>
          <t>4912748</t>
        </is>
      </c>
      <c r="F637" s="13" t="inlineStr">
        <is>
          <t>2024-05-13</t>
        </is>
      </c>
      <c r="G637" s="13" t="n">
        <v>250</v>
      </c>
      <c r="H637" s="13" t="inlineStr">
        <is>
          <t>Street address or PO box</t>
        </is>
      </c>
    </row>
    <row r="638">
      <c r="A638" s="13" t="inlineStr">
        <is>
          <t>H091</t>
        </is>
      </c>
      <c r="B638" s="13" t="inlineStr">
        <is>
          <t>Republican gift</t>
        </is>
      </c>
      <c r="C638" s="13" t="inlineStr">
        <is>
          <t>Friends of Christine Drazan</t>
        </is>
      </c>
      <c r="D638" s="13" t="inlineStr">
        <is>
          <t>19050</t>
        </is>
      </c>
      <c r="E638" s="13" t="inlineStr">
        <is>
          <t>5187525</t>
        </is>
      </c>
      <c r="F638" s="13" t="inlineStr">
        <is>
          <t>2025-01-11</t>
        </is>
      </c>
      <c r="G638" s="13" t="n">
        <v>250</v>
      </c>
      <c r="H638" s="13" t="inlineStr">
        <is>
          <t>Street address or PO box</t>
        </is>
      </c>
    </row>
    <row r="639">
      <c r="A639" s="13" t="inlineStr">
        <is>
          <t>H091</t>
        </is>
      </c>
      <c r="B639" s="13" t="inlineStr">
        <is>
          <t>Republican gift</t>
        </is>
      </c>
      <c r="C639" s="13" t="inlineStr">
        <is>
          <t>Friends of Christine Drazan</t>
        </is>
      </c>
      <c r="D639" s="13" t="inlineStr">
        <is>
          <t>19050</t>
        </is>
      </c>
      <c r="E639" s="13" t="inlineStr">
        <is>
          <t>5532125</t>
        </is>
      </c>
      <c r="F639" s="13" t="inlineStr">
        <is>
          <t>2026-02-06</t>
        </is>
      </c>
      <c r="G639" s="13" t="n">
        <v>250</v>
      </c>
      <c r="H639" s="13" t="inlineStr">
        <is>
          <t>Street address or PO box</t>
        </is>
      </c>
    </row>
    <row r="640">
      <c r="A640" s="13" t="inlineStr">
        <is>
          <t>H091</t>
        </is>
      </c>
      <c r="B640" s="13" t="inlineStr">
        <is>
          <t>Republican gift</t>
        </is>
      </c>
      <c r="C640" s="13" t="inlineStr">
        <is>
          <t>Friends of Christine Drazan</t>
        </is>
      </c>
      <c r="D640" s="13" t="inlineStr">
        <is>
          <t>19050</t>
        </is>
      </c>
      <c r="E640" s="13" t="inlineStr">
        <is>
          <t>5662581</t>
        </is>
      </c>
      <c r="F640" s="13" t="inlineStr">
        <is>
          <t>2026-05-11</t>
        </is>
      </c>
      <c r="G640" s="13" t="n">
        <v>250</v>
      </c>
      <c r="H640" s="13" t="inlineStr">
        <is>
          <t>Street address or PO box</t>
        </is>
      </c>
    </row>
    <row r="641">
      <c r="A641" s="13" t="inlineStr">
        <is>
          <t>H092</t>
        </is>
      </c>
      <c r="B641" s="13" t="inlineStr">
        <is>
          <t>Gift to a slate candidate</t>
        </is>
      </c>
      <c r="C641" s="13" t="inlineStr">
        <is>
          <t>Friends of Julia Brim-Edwards</t>
        </is>
      </c>
      <c r="D641" s="13" t="inlineStr">
        <is>
          <t>21206</t>
        </is>
      </c>
      <c r="E641" s="13" t="inlineStr">
        <is>
          <t>5747279</t>
        </is>
      </c>
      <c r="F641" s="13" t="inlineStr">
        <is>
          <t>2026-07-14</t>
        </is>
      </c>
      <c r="G641" s="13" t="n">
        <v>250</v>
      </c>
      <c r="H641" s="13" t="inlineStr"/>
    </row>
    <row r="642">
      <c r="A642" s="13" t="inlineStr">
        <is>
          <t>H092</t>
        </is>
      </c>
      <c r="B642" s="13" t="inlineStr">
        <is>
          <t>Gift to a slate candidate</t>
        </is>
      </c>
      <c r="C642" s="13" t="inlineStr">
        <is>
          <t>Friends of Eric Zimmerman</t>
        </is>
      </c>
      <c r="D642" s="13" t="inlineStr">
        <is>
          <t>17629</t>
        </is>
      </c>
      <c r="E642" s="13" t="inlineStr">
        <is>
          <t>5813973</t>
        </is>
      </c>
      <c r="F642" s="13" t="inlineStr">
        <is>
          <t>2026-09-15</t>
        </is>
      </c>
      <c r="G642" s="13" t="n">
        <v>250</v>
      </c>
      <c r="H642" s="13" t="inlineStr"/>
    </row>
    <row r="643">
      <c r="A643" s="13" t="inlineStr">
        <is>
          <t>H092</t>
        </is>
      </c>
      <c r="B643" s="13" t="inlineStr">
        <is>
          <t>Gift to a slate candidate</t>
        </is>
      </c>
      <c r="C643" s="13" t="inlineStr">
        <is>
          <t>Friends of Olivia</t>
        </is>
      </c>
      <c r="D643" s="13" t="inlineStr">
        <is>
          <t>23199</t>
        </is>
      </c>
      <c r="E643" s="13" t="inlineStr">
        <is>
          <t>5850412</t>
        </is>
      </c>
      <c r="F643" s="13" t="inlineStr">
        <is>
          <t>2026-09-29</t>
        </is>
      </c>
      <c r="G643" s="13" t="n">
        <v>250</v>
      </c>
      <c r="H643" s="13" t="inlineStr"/>
    </row>
    <row r="644">
      <c r="A644" s="13" t="inlineStr">
        <is>
          <t>H092</t>
        </is>
      </c>
      <c r="B644" s="13" t="inlineStr">
        <is>
          <t>Republican gift</t>
        </is>
      </c>
      <c r="C644" s="13" t="inlineStr">
        <is>
          <t>Friends of Christine Drazan</t>
        </is>
      </c>
      <c r="D644" s="13" t="inlineStr">
        <is>
          <t>19050</t>
        </is>
      </c>
      <c r="E644" s="13" t="inlineStr">
        <is>
          <t>4331006</t>
        </is>
      </c>
      <c r="F644" s="13" t="inlineStr">
        <is>
          <t>2022-10-05</t>
        </is>
      </c>
      <c r="G644" s="13" t="n">
        <v>250</v>
      </c>
      <c r="H644" s="13" t="inlineStr">
        <is>
          <t>ZIP + employer</t>
        </is>
      </c>
    </row>
    <row r="645">
      <c r="A645" s="13" t="inlineStr">
        <is>
          <t>H092</t>
        </is>
      </c>
      <c r="B645" s="13" t="inlineStr">
        <is>
          <t>Republican gift</t>
        </is>
      </c>
      <c r="C645" s="13" t="inlineStr">
        <is>
          <t>Dudley for Oregon</t>
        </is>
      </c>
      <c r="D645" s="13" t="inlineStr">
        <is>
          <t>24693</t>
        </is>
      </c>
      <c r="E645" s="13" t="inlineStr">
        <is>
          <t>5528888</t>
        </is>
      </c>
      <c r="F645" s="13" t="inlineStr">
        <is>
          <t>2026-01-28</t>
        </is>
      </c>
      <c r="G645" s="13" t="n">
        <v>5000</v>
      </c>
      <c r="H645" s="13" t="inlineStr">
        <is>
          <t>Street address or PO box</t>
        </is>
      </c>
    </row>
    <row r="646">
      <c r="A646" s="13" t="inlineStr">
        <is>
          <t>H092</t>
        </is>
      </c>
      <c r="B646" s="13" t="inlineStr">
        <is>
          <t>Republican gift</t>
        </is>
      </c>
      <c r="C646" s="13" t="inlineStr">
        <is>
          <t>Friends of Christine Drazan</t>
        </is>
      </c>
      <c r="D646" s="13" t="inlineStr">
        <is>
          <t>19050</t>
        </is>
      </c>
      <c r="E646" s="13" t="inlineStr">
        <is>
          <t>5755553</t>
        </is>
      </c>
      <c r="F646" s="13" t="inlineStr">
        <is>
          <t>2026-08-06</t>
        </is>
      </c>
      <c r="G646" s="13" t="n">
        <v>500</v>
      </c>
      <c r="H646" s="13" t="inlineStr">
        <is>
          <t>ZIP + employer</t>
        </is>
      </c>
    </row>
    <row r="647">
      <c r="A647" s="13" t="inlineStr">
        <is>
          <t>H093</t>
        </is>
      </c>
      <c r="B647" s="13" t="inlineStr">
        <is>
          <t>Gift to a slate candidate</t>
        </is>
      </c>
      <c r="C647" s="13" t="inlineStr">
        <is>
          <t>Friends of Julia Brim-Edwards</t>
        </is>
      </c>
      <c r="D647" s="13" t="inlineStr">
        <is>
          <t>21206</t>
        </is>
      </c>
      <c r="E647" s="13" t="inlineStr">
        <is>
          <t>4536320</t>
        </is>
      </c>
      <c r="F647" s="13" t="inlineStr">
        <is>
          <t>2023-03-25</t>
        </is>
      </c>
      <c r="G647" s="13" t="n">
        <v>500</v>
      </c>
      <c r="H647" s="13" t="inlineStr"/>
    </row>
    <row r="648">
      <c r="A648" s="13" t="inlineStr">
        <is>
          <t>H093</t>
        </is>
      </c>
      <c r="B648" s="13" t="inlineStr">
        <is>
          <t>Republican gift</t>
        </is>
      </c>
      <c r="C648" s="13" t="inlineStr">
        <is>
          <t>Friends of Christine Drazan</t>
        </is>
      </c>
      <c r="D648" s="13" t="inlineStr">
        <is>
          <t>19050</t>
        </is>
      </c>
      <c r="E648" s="13" t="inlineStr">
        <is>
          <t>4371959</t>
        </is>
      </c>
      <c r="F648" s="13" t="inlineStr">
        <is>
          <t>2022-10-12</t>
        </is>
      </c>
      <c r="G648" s="13" t="n">
        <v>500</v>
      </c>
      <c r="H648" s="13" t="inlineStr">
        <is>
          <t>Street address or PO box</t>
        </is>
      </c>
    </row>
    <row r="649">
      <c r="A649" s="13" t="inlineStr">
        <is>
          <t>H094</t>
        </is>
      </c>
      <c r="B649" s="13" t="inlineStr">
        <is>
          <t>Gift to a slate candidate</t>
        </is>
      </c>
      <c r="C649" s="13" t="inlineStr">
        <is>
          <t>Friends of Julia Brim-Edwards</t>
        </is>
      </c>
      <c r="D649" s="13" t="inlineStr">
        <is>
          <t>21206</t>
        </is>
      </c>
      <c r="E649" s="13" t="inlineStr">
        <is>
          <t>4876639</t>
        </is>
      </c>
      <c r="F649" s="13" t="inlineStr">
        <is>
          <t>2024-04-25</t>
        </is>
      </c>
      <c r="G649" s="13" t="n">
        <v>500</v>
      </c>
      <c r="H649" s="13" t="inlineStr"/>
    </row>
    <row r="650">
      <c r="A650" s="13" t="inlineStr">
        <is>
          <t>H094</t>
        </is>
      </c>
      <c r="B650" s="13" t="inlineStr">
        <is>
          <t>Republican gift</t>
        </is>
      </c>
      <c r="C650" s="13" t="inlineStr">
        <is>
          <t>Friends of Christine Drazan</t>
        </is>
      </c>
      <c r="D650" s="13" t="inlineStr">
        <is>
          <t>19050</t>
        </is>
      </c>
      <c r="E650" s="13" t="inlineStr">
        <is>
          <t>4402717</t>
        </is>
      </c>
      <c r="F650" s="13" t="inlineStr">
        <is>
          <t>2022-11-02</t>
        </is>
      </c>
      <c r="G650" s="13" t="n">
        <v>500</v>
      </c>
      <c r="H650" s="13" t="inlineStr">
        <is>
          <t>ZIP + employer</t>
        </is>
      </c>
    </row>
    <row r="651">
      <c r="A651" s="13" t="inlineStr">
        <is>
          <t>H095</t>
        </is>
      </c>
      <c r="B651" s="13" t="inlineStr">
        <is>
          <t>Gift to a slate candidate</t>
        </is>
      </c>
      <c r="C651" s="13" t="inlineStr">
        <is>
          <t>Eli for Portland</t>
        </is>
      </c>
      <c r="D651" s="13" t="inlineStr">
        <is>
          <t>23295</t>
        </is>
      </c>
      <c r="E651" s="13" t="inlineStr">
        <is>
          <t>4733917</t>
        </is>
      </c>
      <c r="F651" s="13" t="inlineStr">
        <is>
          <t>2023-12-21</t>
        </is>
      </c>
      <c r="G651" s="13" t="n">
        <v>500</v>
      </c>
      <c r="H651" s="13" t="inlineStr"/>
    </row>
    <row r="652">
      <c r="A652" s="13" t="inlineStr">
        <is>
          <t>H095</t>
        </is>
      </c>
      <c r="B652" s="13" t="inlineStr">
        <is>
          <t>Republican gift</t>
        </is>
      </c>
      <c r="C652" s="13" t="inlineStr">
        <is>
          <t>Friends of Will Lathrop</t>
        </is>
      </c>
      <c r="D652" s="13" t="inlineStr">
        <is>
          <t>21896</t>
        </is>
      </c>
      <c r="E652" s="13" t="inlineStr">
        <is>
          <t>4775468</t>
        </is>
      </c>
      <c r="F652" s="13" t="inlineStr">
        <is>
          <t>2024-02-08</t>
        </is>
      </c>
      <c r="G652" s="13" t="n">
        <v>500</v>
      </c>
      <c r="H652" s="13" t="inlineStr">
        <is>
          <t>Street address or PO box</t>
        </is>
      </c>
    </row>
    <row r="653">
      <c r="A653" s="13" t="inlineStr">
        <is>
          <t>H096</t>
        </is>
      </c>
      <c r="B653" s="13" t="inlineStr">
        <is>
          <t>Gift to a slate candidate</t>
        </is>
      </c>
      <c r="C653" s="13" t="inlineStr">
        <is>
          <t>Eli for Portland</t>
        </is>
      </c>
      <c r="D653" s="13" t="inlineStr">
        <is>
          <t>23295</t>
        </is>
      </c>
      <c r="E653" s="13" t="inlineStr">
        <is>
          <t>4808136</t>
        </is>
      </c>
      <c r="F653" s="13" t="inlineStr">
        <is>
          <t>2024-02-22</t>
        </is>
      </c>
      <c r="G653" s="13" t="n">
        <v>250</v>
      </c>
      <c r="H653" s="13" t="inlineStr"/>
    </row>
    <row r="654">
      <c r="A654" s="13" t="inlineStr">
        <is>
          <t>H096</t>
        </is>
      </c>
      <c r="B654" s="13" t="inlineStr">
        <is>
          <t>Gift to a slate candidate</t>
        </is>
      </c>
      <c r="C654" s="13" t="inlineStr">
        <is>
          <t>Eli for Portland</t>
        </is>
      </c>
      <c r="D654" s="13" t="inlineStr">
        <is>
          <t>23295</t>
        </is>
      </c>
      <c r="E654" s="13" t="inlineStr">
        <is>
          <t>4943182</t>
        </is>
      </c>
      <c r="F654" s="13" t="inlineStr">
        <is>
          <t>2024-06-19</t>
        </is>
      </c>
      <c r="G654" s="13" t="n">
        <v>250</v>
      </c>
      <c r="H654" s="13" t="inlineStr"/>
    </row>
    <row r="655">
      <c r="A655" s="13" t="inlineStr">
        <is>
          <t>H096</t>
        </is>
      </c>
      <c r="B655" s="13" t="inlineStr">
        <is>
          <t>Republican gift</t>
        </is>
      </c>
      <c r="C655" s="13" t="inlineStr">
        <is>
          <t>Friends of Will Lathrop</t>
        </is>
      </c>
      <c r="D655" s="13" t="inlineStr">
        <is>
          <t>21896</t>
        </is>
      </c>
      <c r="E655" s="13" t="inlineStr">
        <is>
          <t>4819609</t>
        </is>
      </c>
      <c r="F655" s="13" t="inlineStr">
        <is>
          <t>2024-03-26</t>
        </is>
      </c>
      <c r="G655" s="13" t="n">
        <v>500</v>
      </c>
      <c r="H655" s="13" t="inlineStr">
        <is>
          <t>Street address or PO box</t>
        </is>
      </c>
    </row>
    <row r="656">
      <c r="A656" s="13" t="inlineStr">
        <is>
          <t>H096</t>
        </is>
      </c>
      <c r="B656" s="13" t="inlineStr">
        <is>
          <t>Republican gift</t>
        </is>
      </c>
      <c r="C656" s="13" t="inlineStr">
        <is>
          <t>Friends of Will Lathrop</t>
        </is>
      </c>
      <c r="D656" s="13" t="inlineStr">
        <is>
          <t>21896</t>
        </is>
      </c>
      <c r="E656" s="13" t="inlineStr">
        <is>
          <t>4981370</t>
        </is>
      </c>
      <c r="F656" s="13" t="inlineStr">
        <is>
          <t>2024-07-29</t>
        </is>
      </c>
      <c r="G656" s="13" t="n">
        <v>500</v>
      </c>
      <c r="H656" s="13" t="inlineStr">
        <is>
          <t>Street address or PO box</t>
        </is>
      </c>
    </row>
    <row r="657">
      <c r="A657" s="13" t="inlineStr">
        <is>
          <t>H097</t>
        </is>
      </c>
      <c r="B657" s="13" t="inlineStr">
        <is>
          <t>Gift to a slate candidate</t>
        </is>
      </c>
      <c r="C657" s="13" t="inlineStr">
        <is>
          <t>Kellie Torres for Portland</t>
        </is>
      </c>
      <c r="D657" s="13" t="inlineStr">
        <is>
          <t>24897</t>
        </is>
      </c>
      <c r="E657" s="13" t="inlineStr">
        <is>
          <t>5760957</t>
        </is>
      </c>
      <c r="F657" s="13" t="inlineStr">
        <is>
          <t>2026-08-09</t>
        </is>
      </c>
      <c r="G657" s="13" t="n">
        <v>250</v>
      </c>
      <c r="H657" s="13" t="inlineStr"/>
    </row>
    <row r="658">
      <c r="A658" s="13" t="inlineStr">
        <is>
          <t>H097</t>
        </is>
      </c>
      <c r="B658" s="13" t="inlineStr">
        <is>
          <t>Republican gift</t>
        </is>
      </c>
      <c r="C658" s="13" t="inlineStr">
        <is>
          <t>Friends of Christine Drazan</t>
        </is>
      </c>
      <c r="D658" s="13" t="inlineStr">
        <is>
          <t>19050</t>
        </is>
      </c>
      <c r="E658" s="13" t="inlineStr">
        <is>
          <t>4839586</t>
        </is>
      </c>
      <c r="F658" s="13" t="inlineStr">
        <is>
          <t>2024-04-10</t>
        </is>
      </c>
      <c r="G658" s="13" t="n">
        <v>250</v>
      </c>
      <c r="H658" s="13" t="inlineStr">
        <is>
          <t>ZIP + employer</t>
        </is>
      </c>
    </row>
    <row r="659">
      <c r="A659" s="13" t="inlineStr">
        <is>
          <t>H097</t>
        </is>
      </c>
      <c r="B659" s="13" t="inlineStr">
        <is>
          <t>Republican gift</t>
        </is>
      </c>
      <c r="C659" s="13" t="inlineStr">
        <is>
          <t>Friends of Christine Drazan</t>
        </is>
      </c>
      <c r="D659" s="13" t="inlineStr">
        <is>
          <t>19050</t>
        </is>
      </c>
      <c r="E659" s="13" t="inlineStr">
        <is>
          <t>5850513</t>
        </is>
      </c>
      <c r="F659" s="13" t="inlineStr">
        <is>
          <t>2026-09-29</t>
        </is>
      </c>
      <c r="G659" s="13" t="n">
        <v>10000</v>
      </c>
      <c r="H659" s="13" t="inlineStr">
        <is>
          <t>ZIP + employer</t>
        </is>
      </c>
    </row>
    <row r="660">
      <c r="A660" s="13" t="inlineStr">
        <is>
          <t>H098</t>
        </is>
      </c>
      <c r="B660" s="13" t="inlineStr">
        <is>
          <t>Gift to a slate candidate</t>
        </is>
      </c>
      <c r="C660" s="13" t="inlineStr">
        <is>
          <t>Friends of Eric Zimmerman</t>
        </is>
      </c>
      <c r="D660" s="13" t="inlineStr">
        <is>
          <t>17629</t>
        </is>
      </c>
      <c r="E660" s="13" t="inlineStr">
        <is>
          <t>5704579</t>
        </is>
      </c>
      <c r="F660" s="13" t="inlineStr">
        <is>
          <t>2026-06-09</t>
        </is>
      </c>
      <c r="G660" s="13" t="n">
        <v>250</v>
      </c>
      <c r="H660" s="13" t="inlineStr"/>
    </row>
    <row r="661">
      <c r="A661" s="13" t="inlineStr">
        <is>
          <t>H098</t>
        </is>
      </c>
      <c r="B661" s="13" t="inlineStr">
        <is>
          <t>Gift to a slate candidate</t>
        </is>
      </c>
      <c r="C661" s="13" t="inlineStr">
        <is>
          <t>Eli for Portland</t>
        </is>
      </c>
      <c r="D661" s="13" t="inlineStr">
        <is>
          <t>23295</t>
        </is>
      </c>
      <c r="E661" s="13" t="inlineStr">
        <is>
          <t>5747140</t>
        </is>
      </c>
      <c r="F661" s="13" t="inlineStr">
        <is>
          <t>2026-07-20</t>
        </is>
      </c>
      <c r="G661" s="13" t="n">
        <v>250</v>
      </c>
      <c r="H661" s="13" t="inlineStr"/>
    </row>
    <row r="662">
      <c r="A662" s="13" t="inlineStr">
        <is>
          <t>H098</t>
        </is>
      </c>
      <c r="B662" s="13" t="inlineStr">
        <is>
          <t>Gift to a slate candidate</t>
        </is>
      </c>
      <c r="C662" s="13" t="inlineStr">
        <is>
          <t>Friends of Julia Brim-Edwards</t>
        </is>
      </c>
      <c r="D662" s="13" t="inlineStr">
        <is>
          <t>21206</t>
        </is>
      </c>
      <c r="E662" s="13" t="inlineStr">
        <is>
          <t>5852754</t>
        </is>
      </c>
      <c r="F662" s="13" t="inlineStr">
        <is>
          <t>2026-10-01</t>
        </is>
      </c>
      <c r="G662" s="13" t="n">
        <v>250</v>
      </c>
      <c r="H662" s="13" t="inlineStr"/>
    </row>
    <row r="663">
      <c r="A663" s="13" t="inlineStr">
        <is>
          <t>H098</t>
        </is>
      </c>
      <c r="B663" s="13" t="inlineStr">
        <is>
          <t>Republican gift</t>
        </is>
      </c>
      <c r="C663" s="13" t="inlineStr">
        <is>
          <t>Committee to Elect Dennis Linthicum</t>
        </is>
      </c>
      <c r="D663" s="13" t="inlineStr">
        <is>
          <t>17895</t>
        </is>
      </c>
      <c r="E663" s="13" t="inlineStr">
        <is>
          <t>4958938</t>
        </is>
      </c>
      <c r="F663" s="13" t="inlineStr">
        <is>
          <t>2024-07-17</t>
        </is>
      </c>
      <c r="G663" s="13" t="n">
        <v>250</v>
      </c>
      <c r="H663" s="13" t="inlineStr">
        <is>
          <t>Street address or PO box</t>
        </is>
      </c>
    </row>
    <row r="664">
      <c r="A664" s="13" t="inlineStr">
        <is>
          <t>H099</t>
        </is>
      </c>
      <c r="B664" s="13" t="inlineStr">
        <is>
          <t>Gift to a slate candidate</t>
        </is>
      </c>
      <c r="C664" s="13" t="inlineStr">
        <is>
          <t>Friends of Julia Brim-Edwards</t>
        </is>
      </c>
      <c r="D664" s="13" t="inlineStr">
        <is>
          <t>21206</t>
        </is>
      </c>
      <c r="E664" s="13" t="inlineStr">
        <is>
          <t>5567167</t>
        </is>
      </c>
      <c r="F664" s="13" t="inlineStr">
        <is>
          <t>2026-03-02</t>
        </is>
      </c>
      <c r="G664" s="13" t="n">
        <v>250</v>
      </c>
      <c r="H664" s="13" t="inlineStr"/>
    </row>
    <row r="665">
      <c r="A665" s="13" t="inlineStr">
        <is>
          <t>H099</t>
        </is>
      </c>
      <c r="B665" s="13" t="inlineStr">
        <is>
          <t>Republican gift</t>
        </is>
      </c>
      <c r="C665" s="13" t="inlineStr">
        <is>
          <t>Friends of Will Lathrop</t>
        </is>
      </c>
      <c r="D665" s="13" t="inlineStr">
        <is>
          <t>21896</t>
        </is>
      </c>
      <c r="E665" s="13" t="inlineStr">
        <is>
          <t>4987581</t>
        </is>
      </c>
      <c r="F665" s="13" t="inlineStr">
        <is>
          <t>2024-08-12</t>
        </is>
      </c>
      <c r="G665" s="13" t="n">
        <v>250</v>
      </c>
      <c r="H665" s="13" t="inlineStr">
        <is>
          <t>Street address or PO box</t>
        </is>
      </c>
    </row>
    <row r="666">
      <c r="A666" s="13" t="inlineStr">
        <is>
          <t>H100</t>
        </is>
      </c>
      <c r="B666" s="13" t="inlineStr">
        <is>
          <t>Gift to a slate candidate</t>
        </is>
      </c>
      <c r="C666" s="13" t="inlineStr">
        <is>
          <t>Eli for Portland</t>
        </is>
      </c>
      <c r="D666" s="13" t="inlineStr">
        <is>
          <t>23295</t>
        </is>
      </c>
      <c r="E666" s="13" t="inlineStr">
        <is>
          <t>5122831</t>
        </is>
      </c>
      <c r="F666" s="13" t="inlineStr">
        <is>
          <t>2024-10-24</t>
        </is>
      </c>
      <c r="G666" s="13" t="n">
        <v>250</v>
      </c>
      <c r="H666" s="13" t="inlineStr"/>
    </row>
    <row r="667">
      <c r="A667" s="13" t="inlineStr">
        <is>
          <t>H100</t>
        </is>
      </c>
      <c r="B667" s="13" t="inlineStr">
        <is>
          <t>Republican gift</t>
        </is>
      </c>
      <c r="C667" s="13" t="inlineStr">
        <is>
          <t>Friends of Will Lathrop</t>
        </is>
      </c>
      <c r="D667" s="13" t="inlineStr">
        <is>
          <t>21896</t>
        </is>
      </c>
      <c r="E667" s="13" t="inlineStr">
        <is>
          <t>5006100</t>
        </is>
      </c>
      <c r="F667" s="13" t="inlineStr">
        <is>
          <t>2024-08-21</t>
        </is>
      </c>
      <c r="G667" s="13" t="n">
        <v>250</v>
      </c>
      <c r="H667" s="13" t="inlineStr">
        <is>
          <t>Street address or PO box</t>
        </is>
      </c>
    </row>
    <row r="668">
      <c r="A668" s="13" t="inlineStr">
        <is>
          <t>H100</t>
        </is>
      </c>
      <c r="B668" s="13" t="inlineStr">
        <is>
          <t>Republican gift</t>
        </is>
      </c>
      <c r="C668" s="13" t="inlineStr">
        <is>
          <t>Friends of Will Lathrop</t>
        </is>
      </c>
      <c r="D668" s="13" t="inlineStr">
        <is>
          <t>21896</t>
        </is>
      </c>
      <c r="E668" s="13" t="inlineStr">
        <is>
          <t>5086847</t>
        </is>
      </c>
      <c r="F668" s="13" t="inlineStr">
        <is>
          <t>2024-10-02</t>
        </is>
      </c>
      <c r="G668" s="13" t="n">
        <v>500</v>
      </c>
      <c r="H668" s="13" t="inlineStr">
        <is>
          <t>Street address or PO box</t>
        </is>
      </c>
    </row>
    <row r="669">
      <c r="A669" s="13" t="inlineStr">
        <is>
          <t>H101</t>
        </is>
      </c>
      <c r="B669" s="13" t="inlineStr">
        <is>
          <t>Gift to a slate candidate</t>
        </is>
      </c>
      <c r="C669" s="13" t="inlineStr">
        <is>
          <t>Eli for Portland</t>
        </is>
      </c>
      <c r="D669" s="13" t="inlineStr">
        <is>
          <t>23295</t>
        </is>
      </c>
      <c r="E669" s="13" t="inlineStr">
        <is>
          <t>5132595</t>
        </is>
      </c>
      <c r="F669" s="13" t="inlineStr">
        <is>
          <t>2024-11-02</t>
        </is>
      </c>
      <c r="G669" s="13" t="n">
        <v>250</v>
      </c>
      <c r="H669" s="13" t="inlineStr"/>
    </row>
    <row r="670">
      <c r="A670" s="13" t="inlineStr">
        <is>
          <t>H101</t>
        </is>
      </c>
      <c r="B670" s="13" t="inlineStr">
        <is>
          <t>Gift to a slate candidate</t>
        </is>
      </c>
      <c r="C670" s="13" t="inlineStr">
        <is>
          <t>Eli for Portland</t>
        </is>
      </c>
      <c r="D670" s="13" t="inlineStr">
        <is>
          <t>23295</t>
        </is>
      </c>
      <c r="E670" s="13" t="inlineStr">
        <is>
          <t>5820974</t>
        </is>
      </c>
      <c r="F670" s="13" t="inlineStr">
        <is>
          <t>2026-09-16</t>
        </is>
      </c>
      <c r="G670" s="13" t="n">
        <v>250</v>
      </c>
      <c r="H670" s="13" t="inlineStr"/>
    </row>
    <row r="671">
      <c r="A671" s="13" t="inlineStr">
        <is>
          <t>H101</t>
        </is>
      </c>
      <c r="B671" s="13" t="inlineStr">
        <is>
          <t>Republican gift</t>
        </is>
      </c>
      <c r="C671" s="13" t="inlineStr">
        <is>
          <t>Friends of Will Lathrop</t>
        </is>
      </c>
      <c r="D671" s="13" t="inlineStr">
        <is>
          <t>21896</t>
        </is>
      </c>
      <c r="E671" s="13" t="inlineStr">
        <is>
          <t>5006138</t>
        </is>
      </c>
      <c r="F671" s="13" t="inlineStr">
        <is>
          <t>2024-08-22</t>
        </is>
      </c>
      <c r="G671" s="13" t="n">
        <v>1000</v>
      </c>
      <c r="H671" s="13" t="inlineStr">
        <is>
          <t>ZIP + employer</t>
        </is>
      </c>
    </row>
    <row r="672">
      <c r="A672" s="13" t="inlineStr">
        <is>
          <t>H101</t>
        </is>
      </c>
      <c r="B672" s="13" t="inlineStr">
        <is>
          <t>Republican gift</t>
        </is>
      </c>
      <c r="C672" s="13" t="inlineStr">
        <is>
          <t>Friends of Christine Drazan</t>
        </is>
      </c>
      <c r="D672" s="13" t="inlineStr">
        <is>
          <t>19050</t>
        </is>
      </c>
      <c r="E672" s="13" t="inlineStr">
        <is>
          <t>5726700</t>
        </is>
      </c>
      <c r="F672" s="13" t="inlineStr">
        <is>
          <t>2026-07-16</t>
        </is>
      </c>
      <c r="G672" s="13" t="n">
        <v>250</v>
      </c>
      <c r="H672" s="13" t="inlineStr">
        <is>
          <t>Street address or PO box</t>
        </is>
      </c>
    </row>
    <row r="673">
      <c r="A673" s="13" t="inlineStr">
        <is>
          <t>H102</t>
        </is>
      </c>
      <c r="B673" s="13" t="inlineStr">
        <is>
          <t>Gift to a slate candidate</t>
        </is>
      </c>
      <c r="C673" s="13" t="inlineStr">
        <is>
          <t>Friends of Julia Brim-Edwards</t>
        </is>
      </c>
      <c r="D673" s="13" t="inlineStr">
        <is>
          <t>21206</t>
        </is>
      </c>
      <c r="E673" s="13" t="inlineStr">
        <is>
          <t>4530537</t>
        </is>
      </c>
      <c r="F673" s="13" t="inlineStr">
        <is>
          <t>2023-03-15</t>
        </is>
      </c>
      <c r="G673" s="13" t="n">
        <v>500</v>
      </c>
      <c r="H673" s="13" t="inlineStr"/>
    </row>
    <row r="674">
      <c r="A674" s="13" t="inlineStr">
        <is>
          <t>H102</t>
        </is>
      </c>
      <c r="B674" s="13" t="inlineStr">
        <is>
          <t>Gift to a slate candidate</t>
        </is>
      </c>
      <c r="C674" s="13" t="inlineStr">
        <is>
          <t>Friends of Julia Brim-Edwards</t>
        </is>
      </c>
      <c r="D674" s="13" t="inlineStr">
        <is>
          <t>21206</t>
        </is>
      </c>
      <c r="E674" s="13" t="inlineStr">
        <is>
          <t>4913051</t>
        </is>
      </c>
      <c r="F674" s="13" t="inlineStr">
        <is>
          <t>2024-05-14</t>
        </is>
      </c>
      <c r="G674" s="13" t="n">
        <v>500</v>
      </c>
      <c r="H674" s="13" t="inlineStr"/>
    </row>
    <row r="675">
      <c r="A675" s="13" t="inlineStr">
        <is>
          <t>H102</t>
        </is>
      </c>
      <c r="B675" s="13" t="inlineStr">
        <is>
          <t>Gift to a slate candidate</t>
        </is>
      </c>
      <c r="C675" s="13" t="inlineStr">
        <is>
          <t>Friends of Julia Brim-Edwards</t>
        </is>
      </c>
      <c r="D675" s="13" t="inlineStr">
        <is>
          <t>21206</t>
        </is>
      </c>
      <c r="E675" s="13" t="inlineStr">
        <is>
          <t>5555072</t>
        </is>
      </c>
      <c r="F675" s="13" t="inlineStr">
        <is>
          <t>2026-02-19</t>
        </is>
      </c>
      <c r="G675" s="13" t="n">
        <v>500</v>
      </c>
      <c r="H675" s="13" t="inlineStr"/>
    </row>
    <row r="676">
      <c r="A676" s="13" t="inlineStr">
        <is>
          <t>H102</t>
        </is>
      </c>
      <c r="B676" s="13" t="inlineStr">
        <is>
          <t>Gift to a slate candidate</t>
        </is>
      </c>
      <c r="C676" s="13" t="inlineStr">
        <is>
          <t>Kellie Torres for Portland</t>
        </is>
      </c>
      <c r="D676" s="13" t="inlineStr">
        <is>
          <t>24897</t>
        </is>
      </c>
      <c r="E676" s="13" t="inlineStr">
        <is>
          <t>5760925</t>
        </is>
      </c>
      <c r="F676" s="13" t="inlineStr">
        <is>
          <t>2026-08-09</t>
        </is>
      </c>
      <c r="G676" s="13" t="n">
        <v>250</v>
      </c>
      <c r="H676" s="13" t="inlineStr"/>
    </row>
    <row r="677">
      <c r="A677" s="13" t="inlineStr">
        <is>
          <t>H102</t>
        </is>
      </c>
      <c r="B677" s="13" t="inlineStr">
        <is>
          <t>Gift to a slate candidate</t>
        </is>
      </c>
      <c r="C677" s="13" t="inlineStr">
        <is>
          <t>Novick for Portland</t>
        </is>
      </c>
      <c r="D677" s="13" t="inlineStr">
        <is>
          <t>15109</t>
        </is>
      </c>
      <c r="E677" s="13" t="inlineStr">
        <is>
          <t>5889564</t>
        </is>
      </c>
      <c r="F677" s="13" t="inlineStr">
        <is>
          <t>2026-10-09</t>
        </is>
      </c>
      <c r="G677" s="13" t="n">
        <v>250</v>
      </c>
      <c r="H677" s="13" t="inlineStr"/>
    </row>
    <row r="678">
      <c r="A678" s="13" t="inlineStr">
        <is>
          <t>H102</t>
        </is>
      </c>
      <c r="B678" s="13" t="inlineStr">
        <is>
          <t>Gift to a slate candidate</t>
        </is>
      </c>
      <c r="C678" s="13" t="inlineStr">
        <is>
          <t>Friends of Eric Zimmerman</t>
        </is>
      </c>
      <c r="D678" s="13" t="inlineStr">
        <is>
          <t>17629</t>
        </is>
      </c>
      <c r="E678" s="13" t="inlineStr">
        <is>
          <t>5876489</t>
        </is>
      </c>
      <c r="F678" s="13" t="inlineStr">
        <is>
          <t>2026-10-09</t>
        </is>
      </c>
      <c r="G678" s="13" t="n">
        <v>250</v>
      </c>
      <c r="H678" s="13" t="inlineStr"/>
    </row>
    <row r="679">
      <c r="A679" s="13" t="inlineStr">
        <is>
          <t>H102</t>
        </is>
      </c>
      <c r="B679" s="13" t="inlineStr">
        <is>
          <t>Gift to a slate candidate</t>
        </is>
      </c>
      <c r="C679" s="13" t="inlineStr">
        <is>
          <t>Kellie Torres for Portland</t>
        </is>
      </c>
      <c r="D679" s="13" t="inlineStr">
        <is>
          <t>24897</t>
        </is>
      </c>
      <c r="E679" s="13" t="inlineStr">
        <is>
          <t>5888824</t>
        </is>
      </c>
      <c r="F679" s="13" t="inlineStr">
        <is>
          <t>2026-10-15</t>
        </is>
      </c>
      <c r="G679" s="13" t="n">
        <v>250</v>
      </c>
      <c r="H679" s="13" t="inlineStr"/>
    </row>
    <row r="680">
      <c r="A680" s="13" t="inlineStr">
        <is>
          <t>H102</t>
        </is>
      </c>
      <c r="B680" s="13" t="inlineStr">
        <is>
          <t>Republican gift</t>
        </is>
      </c>
      <c r="C680" s="13" t="inlineStr">
        <is>
          <t>Friends of Will Lathrop</t>
        </is>
      </c>
      <c r="D680" s="13" t="inlineStr">
        <is>
          <t>21896</t>
        </is>
      </c>
      <c r="E680" s="13" t="inlineStr">
        <is>
          <t>5031388</t>
        </is>
      </c>
      <c r="F680" s="13" t="inlineStr">
        <is>
          <t>2024-09-11</t>
        </is>
      </c>
      <c r="G680" s="13" t="n">
        <v>2000</v>
      </c>
      <c r="H680" s="13" t="inlineStr">
        <is>
          <t>ZIP + employer</t>
        </is>
      </c>
    </row>
    <row r="681">
      <c r="A681" s="13" t="inlineStr">
        <is>
          <t>H102</t>
        </is>
      </c>
      <c r="B681" s="13" t="inlineStr">
        <is>
          <t>Republican gift</t>
        </is>
      </c>
      <c r="C681" s="13" t="inlineStr">
        <is>
          <t>Bring Balance to Salem PAC</t>
        </is>
      </c>
      <c r="D681" s="13" t="inlineStr">
        <is>
          <t>21717</t>
        </is>
      </c>
      <c r="E681" s="13" t="inlineStr">
        <is>
          <t>5116455</t>
        </is>
      </c>
      <c r="F681" s="13" t="inlineStr">
        <is>
          <t>2024-10-22</t>
        </is>
      </c>
      <c r="G681" s="13" t="n">
        <v>3000</v>
      </c>
      <c r="H681" s="13" t="inlineStr">
        <is>
          <t>Street address or PO box</t>
        </is>
      </c>
    </row>
    <row r="682">
      <c r="A682" s="13" t="inlineStr">
        <is>
          <t>H102</t>
        </is>
      </c>
      <c r="B682" s="13" t="inlineStr">
        <is>
          <t>Republican gift</t>
        </is>
      </c>
      <c r="C682" s="13" t="inlineStr">
        <is>
          <t>Dudley for Oregon</t>
        </is>
      </c>
      <c r="D682" s="13" t="inlineStr">
        <is>
          <t>24693</t>
        </is>
      </c>
      <c r="E682" s="13" t="inlineStr">
        <is>
          <t>5600244</t>
        </is>
      </c>
      <c r="F682" s="13" t="inlineStr">
        <is>
          <t>2026-04-03</t>
        </is>
      </c>
      <c r="G682" s="13" t="n">
        <v>10000</v>
      </c>
      <c r="H682" s="13" t="inlineStr">
        <is>
          <t>Street address or PO box</t>
        </is>
      </c>
    </row>
    <row r="683">
      <c r="A683" s="13" t="inlineStr">
        <is>
          <t>H102</t>
        </is>
      </c>
      <c r="B683" s="13" t="inlineStr">
        <is>
          <t>Republican gift</t>
        </is>
      </c>
      <c r="C683" s="13" t="inlineStr">
        <is>
          <t>Friends of Christine Drazan</t>
        </is>
      </c>
      <c r="D683" s="13" t="inlineStr">
        <is>
          <t>19050</t>
        </is>
      </c>
      <c r="E683" s="13" t="inlineStr">
        <is>
          <t>5780437</t>
        </is>
      </c>
      <c r="F683" s="13" t="inlineStr">
        <is>
          <t>2026-08-27</t>
        </is>
      </c>
      <c r="G683" s="13" t="n">
        <v>5000</v>
      </c>
      <c r="H683" s="13" t="inlineStr">
        <is>
          <t>Street address or PO box</t>
        </is>
      </c>
    </row>
    <row r="684">
      <c r="A684" s="13" t="inlineStr">
        <is>
          <t>H103</t>
        </is>
      </c>
      <c r="B684" s="13" t="inlineStr">
        <is>
          <t>Gift to a slate candidate</t>
        </is>
      </c>
      <c r="C684" s="13" t="inlineStr">
        <is>
          <t>Novick for Portland</t>
        </is>
      </c>
      <c r="D684" s="13" t="inlineStr">
        <is>
          <t>15109</t>
        </is>
      </c>
      <c r="E684" s="13" t="inlineStr">
        <is>
          <t>5889571</t>
        </is>
      </c>
      <c r="F684" s="13" t="inlineStr">
        <is>
          <t>2026-10-12</t>
        </is>
      </c>
      <c r="G684" s="13" t="n">
        <v>250</v>
      </c>
      <c r="H684" s="13" t="inlineStr"/>
    </row>
    <row r="685">
      <c r="A685" s="13" t="inlineStr">
        <is>
          <t>H103</t>
        </is>
      </c>
      <c r="B685" s="13" t="inlineStr">
        <is>
          <t>Gift to a slate candidate</t>
        </is>
      </c>
      <c r="C685" s="13" t="inlineStr">
        <is>
          <t>Friends of Eric Zimmerman</t>
        </is>
      </c>
      <c r="D685" s="13" t="inlineStr">
        <is>
          <t>17629</t>
        </is>
      </c>
      <c r="E685" s="13" t="inlineStr">
        <is>
          <t>5887697</t>
        </is>
      </c>
      <c r="F685" s="13" t="inlineStr">
        <is>
          <t>2026-10-12</t>
        </is>
      </c>
      <c r="G685" s="13" t="n">
        <v>250</v>
      </c>
      <c r="H685" s="13" t="inlineStr"/>
    </row>
    <row r="686">
      <c r="A686" s="13" t="inlineStr">
        <is>
          <t>H103</t>
        </is>
      </c>
      <c r="B686" s="13" t="inlineStr">
        <is>
          <t>Republican gift</t>
        </is>
      </c>
      <c r="C686" s="13" t="inlineStr">
        <is>
          <t>Friends of Will Lathrop</t>
        </is>
      </c>
      <c r="D686" s="13" t="inlineStr">
        <is>
          <t>21896</t>
        </is>
      </c>
      <c r="E686" s="13" t="inlineStr">
        <is>
          <t>5046603</t>
        </is>
      </c>
      <c r="F686" s="13" t="inlineStr">
        <is>
          <t>2024-09-19</t>
        </is>
      </c>
      <c r="G686" s="13" t="n">
        <v>8000</v>
      </c>
      <c r="H686" s="13" t="inlineStr">
        <is>
          <t>Street address or PO box</t>
        </is>
      </c>
    </row>
    <row r="687">
      <c r="A687" s="13" t="inlineStr">
        <is>
          <t>H103</t>
        </is>
      </c>
      <c r="B687" s="13" t="inlineStr">
        <is>
          <t>Republican gift</t>
        </is>
      </c>
      <c r="C687" s="13" t="inlineStr">
        <is>
          <t>Bring Balance to Salem PAC</t>
        </is>
      </c>
      <c r="D687" s="13" t="inlineStr">
        <is>
          <t>21717</t>
        </is>
      </c>
      <c r="E687" s="13" t="inlineStr">
        <is>
          <t>5116453</t>
        </is>
      </c>
      <c r="F687" s="13" t="inlineStr">
        <is>
          <t>2024-10-22</t>
        </is>
      </c>
      <c r="G687" s="13" t="n">
        <v>5000</v>
      </c>
      <c r="H687" s="13" t="inlineStr">
        <is>
          <t>Street address or PO box</t>
        </is>
      </c>
    </row>
    <row r="688">
      <c r="A688" s="13" t="inlineStr">
        <is>
          <t>H104</t>
        </is>
      </c>
      <c r="B688" s="13" t="inlineStr">
        <is>
          <t>Gift to a slate candidate</t>
        </is>
      </c>
      <c r="C688" s="13" t="inlineStr">
        <is>
          <t>Friends of Julia Brim-Edwards</t>
        </is>
      </c>
      <c r="D688" s="13" t="inlineStr">
        <is>
          <t>21206</t>
        </is>
      </c>
      <c r="E688" s="13" t="inlineStr">
        <is>
          <t>5555045</t>
        </is>
      </c>
      <c r="F688" s="13" t="inlineStr">
        <is>
          <t>2026-02-17</t>
        </is>
      </c>
      <c r="G688" s="13" t="n">
        <v>500</v>
      </c>
      <c r="H688" s="13" t="inlineStr"/>
    </row>
    <row r="689">
      <c r="A689" s="13" t="inlineStr">
        <is>
          <t>H104</t>
        </is>
      </c>
      <c r="B689" s="13" t="inlineStr">
        <is>
          <t>Gift to a slate candidate</t>
        </is>
      </c>
      <c r="C689" s="13" t="inlineStr">
        <is>
          <t>Friends of Olivia</t>
        </is>
      </c>
      <c r="D689" s="13" t="inlineStr">
        <is>
          <t>23199</t>
        </is>
      </c>
      <c r="E689" s="13" t="inlineStr">
        <is>
          <t>5850411</t>
        </is>
      </c>
      <c r="F689" s="13" t="inlineStr">
        <is>
          <t>2026-09-28</t>
        </is>
      </c>
      <c r="G689" s="13" t="n">
        <v>250</v>
      </c>
      <c r="H689" s="13" t="inlineStr"/>
    </row>
    <row r="690">
      <c r="A690" s="13" t="inlineStr">
        <is>
          <t>H104</t>
        </is>
      </c>
      <c r="B690" s="13" t="inlineStr">
        <is>
          <t>Gift to a slate candidate</t>
        </is>
      </c>
      <c r="C690" s="13" t="inlineStr">
        <is>
          <t>Kellie Torres for Portland</t>
        </is>
      </c>
      <c r="D690" s="13" t="inlineStr">
        <is>
          <t>24897</t>
        </is>
      </c>
      <c r="E690" s="13" t="inlineStr">
        <is>
          <t>5873386</t>
        </is>
      </c>
      <c r="F690" s="13" t="inlineStr">
        <is>
          <t>2026-10-05</t>
        </is>
      </c>
      <c r="G690" s="13" t="n">
        <v>250</v>
      </c>
      <c r="H690" s="13" t="inlineStr"/>
    </row>
    <row r="691">
      <c r="A691" s="13" t="inlineStr">
        <is>
          <t>H104</t>
        </is>
      </c>
      <c r="B691" s="13" t="inlineStr">
        <is>
          <t>Republican gift</t>
        </is>
      </c>
      <c r="C691" s="13" t="inlineStr">
        <is>
          <t>Friends of Will Lathrop</t>
        </is>
      </c>
      <c r="D691" s="13" t="inlineStr">
        <is>
          <t>21896</t>
        </is>
      </c>
      <c r="E691" s="13" t="inlineStr">
        <is>
          <t>5099537</t>
        </is>
      </c>
      <c r="F691" s="13" t="inlineStr">
        <is>
          <t>2024-10-15</t>
        </is>
      </c>
      <c r="G691" s="13" t="n">
        <v>10000</v>
      </c>
      <c r="H691" s="13" t="inlineStr">
        <is>
          <t>Street address or PO box</t>
        </is>
      </c>
    </row>
    <row r="692">
      <c r="A692" s="13" t="inlineStr">
        <is>
          <t>H104</t>
        </is>
      </c>
      <c r="B692" s="13" t="inlineStr">
        <is>
          <t>Republican gift</t>
        </is>
      </c>
      <c r="C692" s="13" t="inlineStr">
        <is>
          <t>Courtney Bangs PAC</t>
        </is>
      </c>
      <c r="D692" s="13" t="inlineStr">
        <is>
          <t>20246</t>
        </is>
      </c>
      <c r="E692" s="13" t="inlineStr">
        <is>
          <t>5452339</t>
        </is>
      </c>
      <c r="F692" s="13" t="inlineStr">
        <is>
          <t>2025-12-03</t>
        </is>
      </c>
      <c r="G692" s="13" t="n">
        <v>5000</v>
      </c>
      <c r="H692" s="13" t="inlineStr">
        <is>
          <t>Street address or PO box</t>
        </is>
      </c>
    </row>
    <row r="693">
      <c r="A693" s="13" t="inlineStr">
        <is>
          <t>H104</t>
        </is>
      </c>
      <c r="B693" s="13" t="inlineStr">
        <is>
          <t>Republican gift</t>
        </is>
      </c>
      <c r="C693" s="13" t="inlineStr">
        <is>
          <t>Hicks for Senate</t>
        </is>
      </c>
      <c r="D693" s="13" t="inlineStr">
        <is>
          <t>24485</t>
        </is>
      </c>
      <c r="E693" s="13" t="inlineStr">
        <is>
          <t>5735739</t>
        </is>
      </c>
      <c r="F693" s="13" t="inlineStr">
        <is>
          <t>2026-07-24</t>
        </is>
      </c>
      <c r="G693" s="13" t="n">
        <v>15000</v>
      </c>
      <c r="H693" s="13" t="inlineStr">
        <is>
          <t>Street address or PO box</t>
        </is>
      </c>
    </row>
    <row r="694">
      <c r="A694" s="13" t="inlineStr">
        <is>
          <t>H104</t>
        </is>
      </c>
      <c r="B694" s="13" t="inlineStr">
        <is>
          <t>Republican gift</t>
        </is>
      </c>
      <c r="C694" s="13" t="inlineStr">
        <is>
          <t>Friends of Anna Scharf</t>
        </is>
      </c>
      <c r="D694" s="13" t="inlineStr">
        <is>
          <t>21575</t>
        </is>
      </c>
      <c r="E694" s="13" t="inlineStr">
        <is>
          <t>5793914</t>
        </is>
      </c>
      <c r="F694" s="13" t="inlineStr">
        <is>
          <t>2026-08-27</t>
        </is>
      </c>
      <c r="G694" s="13" t="n">
        <v>25000</v>
      </c>
      <c r="H694" s="13" t="inlineStr">
        <is>
          <t>Street address or PO box</t>
        </is>
      </c>
    </row>
    <row r="695">
      <c r="A695" s="13" t="inlineStr">
        <is>
          <t>H104</t>
        </is>
      </c>
      <c r="B695" s="13" t="inlineStr">
        <is>
          <t>Republican gift</t>
        </is>
      </c>
      <c r="C695" s="13" t="inlineStr">
        <is>
          <t>Friends of Jeff Helfrich</t>
        </is>
      </c>
      <c r="D695" s="13" t="inlineStr">
        <is>
          <t>15984</t>
        </is>
      </c>
      <c r="E695" s="13" t="inlineStr">
        <is>
          <t>5831641</t>
        </is>
      </c>
      <c r="F695" s="13" t="inlineStr">
        <is>
          <t>2026-09-22</t>
        </is>
      </c>
      <c r="G695" s="13" t="n">
        <v>10000</v>
      </c>
      <c r="H695" s="13" t="inlineStr">
        <is>
          <t>Street address or PO box</t>
        </is>
      </c>
    </row>
    <row r="696">
      <c r="A696" s="13" t="inlineStr">
        <is>
          <t>H105</t>
        </is>
      </c>
      <c r="B696" s="13" t="inlineStr">
        <is>
          <t>Gift to a slate candidate</t>
        </is>
      </c>
      <c r="C696" s="13" t="inlineStr">
        <is>
          <t>Eli for Portland</t>
        </is>
      </c>
      <c r="D696" s="13" t="inlineStr">
        <is>
          <t>23295</t>
        </is>
      </c>
      <c r="E696" s="13" t="inlineStr">
        <is>
          <t>5573077</t>
        </is>
      </c>
      <c r="F696" s="13" t="inlineStr">
        <is>
          <t>2026-03-10</t>
        </is>
      </c>
      <c r="G696" s="13" t="n">
        <v>250</v>
      </c>
      <c r="H696" s="13" t="inlineStr"/>
    </row>
    <row r="697">
      <c r="A697" s="13" t="inlineStr">
        <is>
          <t>H105</t>
        </is>
      </c>
      <c r="B697" s="13" t="inlineStr">
        <is>
          <t>Gift to a slate candidate</t>
        </is>
      </c>
      <c r="C697" s="13" t="inlineStr">
        <is>
          <t>Eli for Portland</t>
        </is>
      </c>
      <c r="D697" s="13" t="inlineStr">
        <is>
          <t>23295</t>
        </is>
      </c>
      <c r="E697" s="13" t="inlineStr">
        <is>
          <t>5674969</t>
        </is>
      </c>
      <c r="F697" s="13" t="inlineStr">
        <is>
          <t>2026-05-28</t>
        </is>
      </c>
      <c r="G697" s="13" t="n">
        <v>250</v>
      </c>
      <c r="H697" s="13" t="inlineStr"/>
    </row>
    <row r="698">
      <c r="A698" s="13" t="inlineStr">
        <is>
          <t>H105</t>
        </is>
      </c>
      <c r="B698" s="13" t="inlineStr">
        <is>
          <t>Gift to a slate candidate</t>
        </is>
      </c>
      <c r="C698" s="13" t="inlineStr">
        <is>
          <t>Eli for Portland</t>
        </is>
      </c>
      <c r="D698" s="13" t="inlineStr">
        <is>
          <t>23295</t>
        </is>
      </c>
      <c r="E698" s="13" t="inlineStr">
        <is>
          <t>5704042</t>
        </is>
      </c>
      <c r="F698" s="13" t="inlineStr">
        <is>
          <t>2026-06-16</t>
        </is>
      </c>
      <c r="G698" s="13" t="n">
        <v>250</v>
      </c>
      <c r="H698" s="13" t="inlineStr"/>
    </row>
    <row r="699">
      <c r="A699" s="13" t="inlineStr">
        <is>
          <t>H105</t>
        </is>
      </c>
      <c r="B699" s="13" t="inlineStr">
        <is>
          <t>Republican gift</t>
        </is>
      </c>
      <c r="C699" s="13" t="inlineStr">
        <is>
          <t>Friends of Will Lathrop</t>
        </is>
      </c>
      <c r="D699" s="13" t="inlineStr">
        <is>
          <t>21896</t>
        </is>
      </c>
      <c r="E699" s="13" t="inlineStr">
        <is>
          <t>5135204</t>
        </is>
      </c>
      <c r="F699" s="13" t="inlineStr">
        <is>
          <t>2024-11-05</t>
        </is>
      </c>
      <c r="G699" s="13" t="n">
        <v>500</v>
      </c>
      <c r="H699" s="13" t="inlineStr">
        <is>
          <t>Street address or PO box</t>
        </is>
      </c>
    </row>
    <row r="700">
      <c r="A700" s="13" t="inlineStr">
        <is>
          <t>H106</t>
        </is>
      </c>
      <c r="B700" s="13" t="inlineStr">
        <is>
          <t>Gift to a slate candidate</t>
        </is>
      </c>
      <c r="C700" s="13" t="inlineStr">
        <is>
          <t>Eli for Portland</t>
        </is>
      </c>
      <c r="D700" s="13" t="inlineStr">
        <is>
          <t>23295</t>
        </is>
      </c>
      <c r="E700" s="13" t="inlineStr">
        <is>
          <t>5820950</t>
        </is>
      </c>
      <c r="F700" s="13" t="inlineStr">
        <is>
          <t>2026-09-03</t>
        </is>
      </c>
      <c r="G700" s="13" t="n">
        <v>250</v>
      </c>
      <c r="H700" s="13" t="inlineStr"/>
    </row>
    <row r="701">
      <c r="A701" s="13" t="inlineStr">
        <is>
          <t>H106</t>
        </is>
      </c>
      <c r="B701" s="13" t="inlineStr">
        <is>
          <t>Gift to a slate candidate</t>
        </is>
      </c>
      <c r="C701" s="13" t="inlineStr">
        <is>
          <t>Eli for Portland</t>
        </is>
      </c>
      <c r="D701" s="13" t="inlineStr">
        <is>
          <t>23295</t>
        </is>
      </c>
      <c r="E701" s="13" t="inlineStr">
        <is>
          <t>5820951</t>
        </is>
      </c>
      <c r="F701" s="13" t="inlineStr">
        <is>
          <t>2026-09-14</t>
        </is>
      </c>
      <c r="G701" s="13" t="n">
        <v>250</v>
      </c>
      <c r="H701" s="13" t="inlineStr"/>
    </row>
    <row r="702">
      <c r="A702" s="13" t="inlineStr">
        <is>
          <t>H106</t>
        </is>
      </c>
      <c r="B702" s="13" t="inlineStr">
        <is>
          <t>Gift to a slate candidate</t>
        </is>
      </c>
      <c r="C702" s="13" t="inlineStr">
        <is>
          <t>Eli for Portland</t>
        </is>
      </c>
      <c r="D702" s="13" t="inlineStr">
        <is>
          <t>23295</t>
        </is>
      </c>
      <c r="E702" s="13" t="inlineStr">
        <is>
          <t>5844627</t>
        </is>
      </c>
      <c r="F702" s="13" t="inlineStr">
        <is>
          <t>2026-09-22</t>
        </is>
      </c>
      <c r="G702" s="13" t="n">
        <v>250</v>
      </c>
      <c r="H702" s="13" t="inlineStr"/>
    </row>
    <row r="703">
      <c r="A703" s="13" t="inlineStr">
        <is>
          <t>H106</t>
        </is>
      </c>
      <c r="B703" s="13" t="inlineStr">
        <is>
          <t>Republican gift</t>
        </is>
      </c>
      <c r="C703" s="13" t="inlineStr">
        <is>
          <t>Oregon Republican Party</t>
        </is>
      </c>
      <c r="D703" s="13" t="inlineStr">
        <is>
          <t>379</t>
        </is>
      </c>
      <c r="E703" s="13" t="inlineStr">
        <is>
          <t>5421680</t>
        </is>
      </c>
      <c r="F703" s="13" t="inlineStr">
        <is>
          <t>2025-10-29</t>
        </is>
      </c>
      <c r="G703" s="13" t="n">
        <v>250</v>
      </c>
      <c r="H703" s="13" t="inlineStr">
        <is>
          <t>Street address or PO box</t>
        </is>
      </c>
    </row>
    <row r="704">
      <c r="A704" s="13" t="inlineStr">
        <is>
          <t>H107</t>
        </is>
      </c>
      <c r="B704" s="13" t="inlineStr">
        <is>
          <t>Gift to a slate candidate</t>
        </is>
      </c>
      <c r="C704" s="13" t="inlineStr">
        <is>
          <t>Friends of Julia Brim-Edwards</t>
        </is>
      </c>
      <c r="D704" s="13" t="inlineStr">
        <is>
          <t>21206</t>
        </is>
      </c>
      <c r="E704" s="13" t="inlineStr">
        <is>
          <t>4572249</t>
        </is>
      </c>
      <c r="F704" s="13" t="inlineStr">
        <is>
          <t>2023-05-09</t>
        </is>
      </c>
      <c r="G704" s="13" t="n">
        <v>500</v>
      </c>
      <c r="H704" s="13" t="inlineStr"/>
    </row>
    <row r="705">
      <c r="A705" s="13" t="inlineStr">
        <is>
          <t>H107</t>
        </is>
      </c>
      <c r="B705" s="13" t="inlineStr">
        <is>
          <t>Gift to a slate candidate</t>
        </is>
      </c>
      <c r="C705" s="13" t="inlineStr">
        <is>
          <t>Friends of Julia Brim-Edwards</t>
        </is>
      </c>
      <c r="D705" s="13" t="inlineStr">
        <is>
          <t>21206</t>
        </is>
      </c>
      <c r="E705" s="13" t="inlineStr">
        <is>
          <t>5647953</t>
        </is>
      </c>
      <c r="F705" s="13" t="inlineStr">
        <is>
          <t>2026-04-26</t>
        </is>
      </c>
      <c r="G705" s="13" t="n">
        <v>500</v>
      </c>
      <c r="H705" s="13" t="inlineStr"/>
    </row>
    <row r="706">
      <c r="A706" s="13" t="inlineStr">
        <is>
          <t>H107</t>
        </is>
      </c>
      <c r="B706" s="13" t="inlineStr">
        <is>
          <t>Republican gift</t>
        </is>
      </c>
      <c r="C706" s="13" t="inlineStr">
        <is>
          <t>Dudley for Oregon</t>
        </is>
      </c>
      <c r="D706" s="13" t="inlineStr">
        <is>
          <t>24693</t>
        </is>
      </c>
      <c r="E706" s="13" t="inlineStr">
        <is>
          <t>5535926</t>
        </is>
      </c>
      <c r="F706" s="13" t="inlineStr">
        <is>
          <t>2026-02-11</t>
        </is>
      </c>
      <c r="G706" s="13" t="n">
        <v>10000</v>
      </c>
      <c r="H706" s="13" t="inlineStr">
        <is>
          <t>Street address or PO box</t>
        </is>
      </c>
    </row>
    <row r="707">
      <c r="A707" s="13" t="inlineStr">
        <is>
          <t>H108</t>
        </is>
      </c>
      <c r="B707" s="13" t="inlineStr">
        <is>
          <t>Gift to a slate candidate</t>
        </is>
      </c>
      <c r="C707" s="13" t="inlineStr">
        <is>
          <t>Friends of Julia Brim-Edwards</t>
        </is>
      </c>
      <c r="D707" s="13" t="inlineStr">
        <is>
          <t>21206</t>
        </is>
      </c>
      <c r="E707" s="13" t="inlineStr">
        <is>
          <t>5678189</t>
        </is>
      </c>
      <c r="F707" s="13" t="inlineStr">
        <is>
          <t>2026-05-10</t>
        </is>
      </c>
      <c r="G707" s="13" t="n">
        <v>250</v>
      </c>
      <c r="H707" s="13" t="inlineStr"/>
    </row>
    <row r="708">
      <c r="A708" s="13" t="inlineStr">
        <is>
          <t>H108</t>
        </is>
      </c>
      <c r="B708" s="13" t="inlineStr">
        <is>
          <t>Republican gift</t>
        </is>
      </c>
      <c r="C708" s="13" t="inlineStr">
        <is>
          <t>Dudley for Oregon</t>
        </is>
      </c>
      <c r="D708" s="13" t="inlineStr">
        <is>
          <t>24693</t>
        </is>
      </c>
      <c r="E708" s="13" t="inlineStr">
        <is>
          <t>5537128</t>
        </is>
      </c>
      <c r="F708" s="13" t="inlineStr">
        <is>
          <t>2026-02-12</t>
        </is>
      </c>
      <c r="G708" s="13" t="n">
        <v>1000</v>
      </c>
      <c r="H708" s="13" t="inlineStr">
        <is>
          <t>Street address or PO box</t>
        </is>
      </c>
    </row>
    <row r="709">
      <c r="A709" s="13" t="inlineStr">
        <is>
          <t>H108</t>
        </is>
      </c>
      <c r="B709" s="13" t="inlineStr">
        <is>
          <t>Republican gift</t>
        </is>
      </c>
      <c r="C709" s="13" t="inlineStr">
        <is>
          <t>Dudley for Oregon</t>
        </is>
      </c>
      <c r="D709" s="13" t="inlineStr">
        <is>
          <t>24693</t>
        </is>
      </c>
      <c r="E709" s="13" t="inlineStr">
        <is>
          <t>5601852</t>
        </is>
      </c>
      <c r="F709" s="13" t="inlineStr">
        <is>
          <t>2026-04-02</t>
        </is>
      </c>
      <c r="G709" s="13" t="n">
        <v>750</v>
      </c>
      <c r="H709" s="13" t="inlineStr">
        <is>
          <t>Street address or PO box</t>
        </is>
      </c>
    </row>
    <row r="710">
      <c r="A710" s="13" t="inlineStr">
        <is>
          <t>H109</t>
        </is>
      </c>
      <c r="B710" s="13" t="inlineStr">
        <is>
          <t>Gift to a slate candidate</t>
        </is>
      </c>
      <c r="C710" s="13" t="inlineStr">
        <is>
          <t>Friends of Julia Brim-Edwards</t>
        </is>
      </c>
      <c r="D710" s="13" t="inlineStr">
        <is>
          <t>21206</t>
        </is>
      </c>
      <c r="E710" s="13" t="inlineStr">
        <is>
          <t>4536303</t>
        </is>
      </c>
      <c r="F710" s="13" t="inlineStr">
        <is>
          <t>2023-03-22</t>
        </is>
      </c>
      <c r="G710" s="13" t="n">
        <v>500</v>
      </c>
      <c r="H710" s="13" t="inlineStr"/>
    </row>
    <row r="711">
      <c r="A711" s="13" t="inlineStr">
        <is>
          <t>H109</t>
        </is>
      </c>
      <c r="B711" s="13" t="inlineStr">
        <is>
          <t>Gift to a slate candidate</t>
        </is>
      </c>
      <c r="C711" s="13" t="inlineStr">
        <is>
          <t>Eli for Portland</t>
        </is>
      </c>
      <c r="D711" s="13" t="inlineStr">
        <is>
          <t>23295</t>
        </is>
      </c>
      <c r="E711" s="13" t="inlineStr">
        <is>
          <t>5459961</t>
        </is>
      </c>
      <c r="F711" s="13" t="inlineStr">
        <is>
          <t>2025-12-10</t>
        </is>
      </c>
      <c r="G711" s="13" t="n">
        <v>250</v>
      </c>
      <c r="H711" s="13" t="inlineStr"/>
    </row>
    <row r="712">
      <c r="A712" s="13" t="inlineStr">
        <is>
          <t>H109</t>
        </is>
      </c>
      <c r="B712" s="13" t="inlineStr">
        <is>
          <t>Republican gift</t>
        </is>
      </c>
      <c r="C712" s="13" t="inlineStr">
        <is>
          <t>Dudley for Oregon</t>
        </is>
      </c>
      <c r="D712" s="13" t="inlineStr">
        <is>
          <t>24693</t>
        </is>
      </c>
      <c r="E712" s="13" t="inlineStr">
        <is>
          <t>5594723</t>
        </is>
      </c>
      <c r="F712" s="13" t="inlineStr">
        <is>
          <t>2026-03-30</t>
        </is>
      </c>
      <c r="G712" s="13" t="n">
        <v>5000</v>
      </c>
      <c r="H712" s="13" t="inlineStr">
        <is>
          <t>ZIP + employer</t>
        </is>
      </c>
    </row>
    <row r="713">
      <c r="A713" s="13" t="inlineStr">
        <is>
          <t>H110</t>
        </is>
      </c>
      <c r="B713" s="13" t="inlineStr">
        <is>
          <t>Gift to a slate candidate</t>
        </is>
      </c>
      <c r="C713" s="13" t="inlineStr">
        <is>
          <t>Kellie Torres for Portland</t>
        </is>
      </c>
      <c r="D713" s="13" t="inlineStr">
        <is>
          <t>24897</t>
        </is>
      </c>
      <c r="E713" s="13" t="inlineStr">
        <is>
          <t>5760909</t>
        </is>
      </c>
      <c r="F713" s="13" t="inlineStr">
        <is>
          <t>2026-08-09</t>
        </is>
      </c>
      <c r="G713" s="13" t="n">
        <v>250</v>
      </c>
      <c r="H713" s="13" t="inlineStr"/>
    </row>
    <row r="714">
      <c r="A714" s="13" t="inlineStr">
        <is>
          <t>H110</t>
        </is>
      </c>
      <c r="B714" s="13" t="inlineStr">
        <is>
          <t>Republican gift</t>
        </is>
      </c>
      <c r="C714" s="13" t="inlineStr">
        <is>
          <t>Dudley for Oregon</t>
        </is>
      </c>
      <c r="D714" s="13" t="inlineStr">
        <is>
          <t>24693</t>
        </is>
      </c>
      <c r="E714" s="13" t="inlineStr">
        <is>
          <t>5645585</t>
        </is>
      </c>
      <c r="F714" s="13" t="inlineStr">
        <is>
          <t>2026-04-28</t>
        </is>
      </c>
      <c r="G714" s="13" t="n">
        <v>5000</v>
      </c>
      <c r="H714" s="13" t="inlineStr">
        <is>
          <t>Hand review</t>
        </is>
      </c>
    </row>
    <row r="715">
      <c r="A715" s="13" t="inlineStr">
        <is>
          <t>H111</t>
        </is>
      </c>
      <c r="B715" s="13" t="inlineStr">
        <is>
          <t>Gift to a slate candidate</t>
        </is>
      </c>
      <c r="C715" s="13" t="inlineStr">
        <is>
          <t>Friends of Julia Brim-Edwards</t>
        </is>
      </c>
      <c r="D715" s="13" t="inlineStr">
        <is>
          <t>21206</t>
        </is>
      </c>
      <c r="E715" s="13" t="inlineStr">
        <is>
          <t>5555068</t>
        </is>
      </c>
      <c r="F715" s="13" t="inlineStr">
        <is>
          <t>2026-02-18</t>
        </is>
      </c>
      <c r="G715" s="13" t="n">
        <v>500</v>
      </c>
      <c r="H715" s="13" t="inlineStr"/>
    </row>
    <row r="716">
      <c r="A716" s="13" t="inlineStr">
        <is>
          <t>H111</t>
        </is>
      </c>
      <c r="B716" s="13" t="inlineStr">
        <is>
          <t>Republican gift</t>
        </is>
      </c>
      <c r="C716" s="13" t="inlineStr">
        <is>
          <t>Dudley for Oregon</t>
        </is>
      </c>
      <c r="D716" s="13" t="inlineStr">
        <is>
          <t>24693</t>
        </is>
      </c>
      <c r="E716" s="13" t="inlineStr">
        <is>
          <t>5645593</t>
        </is>
      </c>
      <c r="F716" s="13" t="inlineStr">
        <is>
          <t>2026-04-29</t>
        </is>
      </c>
      <c r="G716" s="13" t="n">
        <v>10000</v>
      </c>
      <c r="H716" s="13" t="inlineStr">
        <is>
          <t>Street address or PO box</t>
        </is>
      </c>
    </row>
    <row r="717">
      <c r="A717" s="13" t="inlineStr">
        <is>
          <t>H112</t>
        </is>
      </c>
      <c r="B717" s="13" t="inlineStr">
        <is>
          <t>Gift to a slate candidate</t>
        </is>
      </c>
      <c r="C717" s="13" t="inlineStr">
        <is>
          <t>Eli for Portland</t>
        </is>
      </c>
      <c r="D717" s="13" t="inlineStr">
        <is>
          <t>23295</t>
        </is>
      </c>
      <c r="E717" s="13" t="inlineStr">
        <is>
          <t>5821046</t>
        </is>
      </c>
      <c r="F717" s="13" t="inlineStr">
        <is>
          <t>2026-09-17</t>
        </is>
      </c>
      <c r="G717" s="13" t="n">
        <v>250</v>
      </c>
      <c r="H717" s="13" t="inlineStr"/>
    </row>
    <row r="718">
      <c r="A718" s="13" t="inlineStr">
        <is>
          <t>H112</t>
        </is>
      </c>
      <c r="B718" s="13" t="inlineStr">
        <is>
          <t>Republican gift</t>
        </is>
      </c>
      <c r="C718" s="13" t="inlineStr">
        <is>
          <t>Friends of Christine Drazan</t>
        </is>
      </c>
      <c r="D718" s="13" t="inlineStr">
        <is>
          <t>19050</t>
        </is>
      </c>
      <c r="E718" s="13" t="inlineStr">
        <is>
          <t>5651368</t>
        </is>
      </c>
      <c r="F718" s="13" t="inlineStr">
        <is>
          <t>2026-05-04</t>
        </is>
      </c>
      <c r="G718" s="13" t="n">
        <v>250</v>
      </c>
      <c r="H718" s="13" t="inlineStr">
        <is>
          <t>Street address or PO box</t>
        </is>
      </c>
    </row>
    <row r="719">
      <c r="A719" s="13" t="inlineStr">
        <is>
          <t>H112</t>
        </is>
      </c>
      <c r="B719" s="13" t="inlineStr">
        <is>
          <t>Republican gift</t>
        </is>
      </c>
      <c r="C719" s="13" t="inlineStr">
        <is>
          <t>Friends of Christine Drazan</t>
        </is>
      </c>
      <c r="D719" s="13" t="inlineStr">
        <is>
          <t>19050</t>
        </is>
      </c>
      <c r="E719" s="13" t="inlineStr">
        <is>
          <t>5681257</t>
        </is>
      </c>
      <c r="F719" s="13" t="inlineStr">
        <is>
          <t>2026-06-02</t>
        </is>
      </c>
      <c r="G719" s="13" t="n">
        <v>250</v>
      </c>
      <c r="H719" s="13" t="inlineStr">
        <is>
          <t>Street address or PO box</t>
        </is>
      </c>
    </row>
    <row r="720">
      <c r="A720" s="13" t="inlineStr">
        <is>
          <t>H112</t>
        </is>
      </c>
      <c r="B720" s="13" t="inlineStr">
        <is>
          <t>Republican gift</t>
        </is>
      </c>
      <c r="C720" s="13" t="inlineStr">
        <is>
          <t>Friends of Christine Drazan</t>
        </is>
      </c>
      <c r="D720" s="13" t="inlineStr">
        <is>
          <t>19050</t>
        </is>
      </c>
      <c r="E720" s="13" t="inlineStr">
        <is>
          <t>5708362</t>
        </is>
      </c>
      <c r="F720" s="13" t="inlineStr">
        <is>
          <t>2026-07-02</t>
        </is>
      </c>
      <c r="G720" s="13" t="n">
        <v>250</v>
      </c>
      <c r="H720" s="13" t="inlineStr">
        <is>
          <t>Street address or PO box</t>
        </is>
      </c>
    </row>
    <row r="721">
      <c r="A721" s="13" t="inlineStr">
        <is>
          <t>H112</t>
        </is>
      </c>
      <c r="B721" s="13" t="inlineStr">
        <is>
          <t>Republican gift</t>
        </is>
      </c>
      <c r="C721" s="13" t="inlineStr">
        <is>
          <t>Friends of Christine Drazan</t>
        </is>
      </c>
      <c r="D721" s="13" t="inlineStr">
        <is>
          <t>19050</t>
        </is>
      </c>
      <c r="E721" s="13" t="inlineStr">
        <is>
          <t>5752787</t>
        </is>
      </c>
      <c r="F721" s="13" t="inlineStr">
        <is>
          <t>2026-08-04</t>
        </is>
      </c>
      <c r="G721" s="13" t="n">
        <v>250</v>
      </c>
      <c r="H721" s="13" t="inlineStr">
        <is>
          <t>Street address or PO box</t>
        </is>
      </c>
    </row>
    <row r="722">
      <c r="A722" s="13" t="inlineStr">
        <is>
          <t>H112</t>
        </is>
      </c>
      <c r="B722" s="13" t="inlineStr">
        <is>
          <t>Republican gift</t>
        </is>
      </c>
      <c r="C722" s="13" t="inlineStr">
        <is>
          <t>Friends of Christine Drazan</t>
        </is>
      </c>
      <c r="D722" s="13" t="inlineStr">
        <is>
          <t>19050</t>
        </is>
      </c>
      <c r="E722" s="13" t="inlineStr">
        <is>
          <t>5784672</t>
        </is>
      </c>
      <c r="F722" s="13" t="inlineStr">
        <is>
          <t>2026-08-19</t>
        </is>
      </c>
      <c r="G722" s="13" t="n">
        <v>250</v>
      </c>
      <c r="H722" s="13" t="inlineStr">
        <is>
          <t>Street address or PO box</t>
        </is>
      </c>
    </row>
    <row r="723">
      <c r="A723" s="13" t="inlineStr">
        <is>
          <t>H112</t>
        </is>
      </c>
      <c r="B723" s="13" t="inlineStr">
        <is>
          <t>Republican gift</t>
        </is>
      </c>
      <c r="C723" s="13" t="inlineStr">
        <is>
          <t>Friends of Christine Drazan</t>
        </is>
      </c>
      <c r="D723" s="13" t="inlineStr">
        <is>
          <t>19050</t>
        </is>
      </c>
      <c r="E723" s="13" t="inlineStr">
        <is>
          <t>5790035</t>
        </is>
      </c>
      <c r="F723" s="13" t="inlineStr">
        <is>
          <t>2026-09-02</t>
        </is>
      </c>
      <c r="G723" s="13" t="n">
        <v>250</v>
      </c>
      <c r="H723" s="13" t="inlineStr">
        <is>
          <t>Street address or PO box</t>
        </is>
      </c>
    </row>
    <row r="724">
      <c r="A724" s="13" t="inlineStr">
        <is>
          <t>H112</t>
        </is>
      </c>
      <c r="B724" s="13" t="inlineStr">
        <is>
          <t>Republican gift</t>
        </is>
      </c>
      <c r="C724" s="13" t="inlineStr">
        <is>
          <t>Oregon Republican Party</t>
        </is>
      </c>
      <c r="D724" s="13" t="inlineStr">
        <is>
          <t>379</t>
        </is>
      </c>
      <c r="E724" s="13" t="inlineStr">
        <is>
          <t>5828447</t>
        </is>
      </c>
      <c r="F724" s="13" t="inlineStr">
        <is>
          <t>2026-09-22</t>
        </is>
      </c>
      <c r="G724" s="13" t="n">
        <v>250</v>
      </c>
      <c r="H724" s="13" t="inlineStr">
        <is>
          <t>Street address or PO box</t>
        </is>
      </c>
    </row>
    <row r="725">
      <c r="A725" s="13" t="inlineStr">
        <is>
          <t>H112</t>
        </is>
      </c>
      <c r="B725" s="13" t="inlineStr">
        <is>
          <t>Republican gift</t>
        </is>
      </c>
      <c r="C725" s="13" t="inlineStr">
        <is>
          <t>Friends of Christine Drazan</t>
        </is>
      </c>
      <c r="D725" s="13" t="inlineStr">
        <is>
          <t>19050</t>
        </is>
      </c>
      <c r="E725" s="13" t="inlineStr">
        <is>
          <t>5856480</t>
        </is>
      </c>
      <c r="F725" s="13" t="inlineStr">
        <is>
          <t>2026-10-04</t>
        </is>
      </c>
      <c r="G725" s="13" t="n">
        <v>250</v>
      </c>
      <c r="H725" s="13" t="inlineStr">
        <is>
          <t>Street address or PO box</t>
        </is>
      </c>
    </row>
    <row r="726">
      <c r="A726" s="13" t="inlineStr">
        <is>
          <t>H113</t>
        </is>
      </c>
      <c r="B726" s="13" t="inlineStr">
        <is>
          <t>Gift to a slate candidate</t>
        </is>
      </c>
      <c r="C726" s="13" t="inlineStr">
        <is>
          <t>Friends of Eric Zimmerman</t>
        </is>
      </c>
      <c r="D726" s="13" t="inlineStr">
        <is>
          <t>17629</t>
        </is>
      </c>
      <c r="E726" s="13" t="inlineStr">
        <is>
          <t>5858347</t>
        </is>
      </c>
      <c r="F726" s="13" t="inlineStr">
        <is>
          <t>2026-10-03</t>
        </is>
      </c>
      <c r="G726" s="13" t="n">
        <v>250</v>
      </c>
      <c r="H726" s="13" t="inlineStr"/>
    </row>
    <row r="727">
      <c r="A727" s="13" t="inlineStr">
        <is>
          <t>H113</t>
        </is>
      </c>
      <c r="B727" s="13" t="inlineStr">
        <is>
          <t>Gift to a slate candidate</t>
        </is>
      </c>
      <c r="C727" s="13" t="inlineStr">
        <is>
          <t>Friends of Julia Brim-Edwards</t>
        </is>
      </c>
      <c r="D727" s="13" t="inlineStr">
        <is>
          <t>21206</t>
        </is>
      </c>
      <c r="E727" s="13" t="inlineStr">
        <is>
          <t>5857113</t>
        </is>
      </c>
      <c r="F727" s="13" t="inlineStr">
        <is>
          <t>2026-10-03</t>
        </is>
      </c>
      <c r="G727" s="13" t="n">
        <v>500</v>
      </c>
      <c r="H727" s="13" t="inlineStr"/>
    </row>
    <row r="728">
      <c r="A728" s="13" t="inlineStr">
        <is>
          <t>H113</t>
        </is>
      </c>
      <c r="B728" s="13" t="inlineStr">
        <is>
          <t>Gift to a slate candidate</t>
        </is>
      </c>
      <c r="C728" s="13" t="inlineStr">
        <is>
          <t>Kellie Torres for Portland</t>
        </is>
      </c>
      <c r="D728" s="13" t="inlineStr">
        <is>
          <t>24897</t>
        </is>
      </c>
      <c r="E728" s="13" t="inlineStr">
        <is>
          <t>5873439</t>
        </is>
      </c>
      <c r="F728" s="13" t="inlineStr">
        <is>
          <t>2026-10-07</t>
        </is>
      </c>
      <c r="G728" s="13" t="n">
        <v>250</v>
      </c>
      <c r="H728" s="13" t="inlineStr"/>
    </row>
    <row r="729">
      <c r="A729" s="13" t="inlineStr">
        <is>
          <t>H113</t>
        </is>
      </c>
      <c r="B729" s="13" t="inlineStr">
        <is>
          <t>Republican gift</t>
        </is>
      </c>
      <c r="C729" s="13" t="inlineStr">
        <is>
          <t>Hicks for Senate</t>
        </is>
      </c>
      <c r="D729" s="13" t="inlineStr">
        <is>
          <t>24485</t>
        </is>
      </c>
      <c r="E729" s="13" t="inlineStr">
        <is>
          <t>5711476</t>
        </is>
      </c>
      <c r="F729" s="13" t="inlineStr">
        <is>
          <t>2026-07-09</t>
        </is>
      </c>
      <c r="G729" s="13" t="n">
        <v>3000</v>
      </c>
      <c r="H729" s="13" t="inlineStr">
        <is>
          <t>Street address or PO box</t>
        </is>
      </c>
    </row>
    <row r="730">
      <c r="A730" s="13" t="inlineStr">
        <is>
          <t>H114</t>
        </is>
      </c>
      <c r="B730" s="13" t="inlineStr">
        <is>
          <t>Gift to a slate candidate</t>
        </is>
      </c>
      <c r="C730" s="13" t="inlineStr">
        <is>
          <t>Eli for Portland</t>
        </is>
      </c>
      <c r="D730" s="13" t="inlineStr">
        <is>
          <t>23295</t>
        </is>
      </c>
      <c r="E730" s="13" t="inlineStr">
        <is>
          <t>5674962</t>
        </is>
      </c>
      <c r="F730" s="13" t="inlineStr">
        <is>
          <t>2026-05-27</t>
        </is>
      </c>
      <c r="G730" s="13" t="n">
        <v>250</v>
      </c>
      <c r="H730" s="13" t="inlineStr"/>
    </row>
    <row r="731">
      <c r="A731" s="13" t="inlineStr">
        <is>
          <t>H114</t>
        </is>
      </c>
      <c r="B731" s="13" t="inlineStr">
        <is>
          <t>Gift to a slate candidate</t>
        </is>
      </c>
      <c r="C731" s="13" t="inlineStr">
        <is>
          <t>Eli for Portland</t>
        </is>
      </c>
      <c r="D731" s="13" t="inlineStr">
        <is>
          <t>23295</t>
        </is>
      </c>
      <c r="E731" s="13" t="inlineStr">
        <is>
          <t>5704093</t>
        </is>
      </c>
      <c r="F731" s="13" t="inlineStr">
        <is>
          <t>2026-06-27</t>
        </is>
      </c>
      <c r="G731" s="13" t="n">
        <v>250</v>
      </c>
      <c r="H731" s="13" t="inlineStr"/>
    </row>
    <row r="732">
      <c r="A732" s="13" t="inlineStr">
        <is>
          <t>H114</t>
        </is>
      </c>
      <c r="B732" s="13" t="inlineStr">
        <is>
          <t>Gift to a slate candidate</t>
        </is>
      </c>
      <c r="C732" s="13" t="inlineStr">
        <is>
          <t>Eli for Portland</t>
        </is>
      </c>
      <c r="D732" s="13" t="inlineStr">
        <is>
          <t>23295</t>
        </is>
      </c>
      <c r="E732" s="13" t="inlineStr">
        <is>
          <t>5747157</t>
        </is>
      </c>
      <c r="F732" s="13" t="inlineStr">
        <is>
          <t>2026-07-27</t>
        </is>
      </c>
      <c r="G732" s="13" t="n">
        <v>250</v>
      </c>
      <c r="H732" s="13" t="inlineStr"/>
    </row>
    <row r="733">
      <c r="A733" s="13" t="inlineStr">
        <is>
          <t>H114</t>
        </is>
      </c>
      <c r="B733" s="13" t="inlineStr">
        <is>
          <t>Gift to a slate candidate</t>
        </is>
      </c>
      <c r="C733" s="13" t="inlineStr">
        <is>
          <t>Eli for Portland</t>
        </is>
      </c>
      <c r="D733" s="13" t="inlineStr">
        <is>
          <t>23295</t>
        </is>
      </c>
      <c r="E733" s="13" t="inlineStr">
        <is>
          <t>5786166</t>
        </is>
      </c>
      <c r="F733" s="13" t="inlineStr">
        <is>
          <t>2026-08-27</t>
        </is>
      </c>
      <c r="G733" s="13" t="n">
        <v>250</v>
      </c>
      <c r="H733" s="13" t="inlineStr"/>
    </row>
    <row r="734">
      <c r="A734" s="13" t="inlineStr">
        <is>
          <t>H114</t>
        </is>
      </c>
      <c r="B734" s="13" t="inlineStr">
        <is>
          <t>Gift to a slate candidate</t>
        </is>
      </c>
      <c r="C734" s="13" t="inlineStr">
        <is>
          <t>Eli for Portland</t>
        </is>
      </c>
      <c r="D734" s="13" t="inlineStr">
        <is>
          <t>23295</t>
        </is>
      </c>
      <c r="E734" s="13" t="inlineStr">
        <is>
          <t>5844733</t>
        </is>
      </c>
      <c r="F734" s="13" t="inlineStr">
        <is>
          <t>2026-09-27</t>
        </is>
      </c>
      <c r="G734" s="13" t="n">
        <v>250</v>
      </c>
      <c r="H734" s="13" t="inlineStr"/>
    </row>
    <row r="735">
      <c r="A735" s="13" t="inlineStr">
        <is>
          <t>H114</t>
        </is>
      </c>
      <c r="B735" s="13" t="inlineStr">
        <is>
          <t>Republican gift</t>
        </is>
      </c>
      <c r="C735" s="13" t="inlineStr">
        <is>
          <t>Friends of Christine Drazan</t>
        </is>
      </c>
      <c r="D735" s="13" t="inlineStr">
        <is>
          <t>19050</t>
        </is>
      </c>
      <c r="E735" s="13" t="inlineStr">
        <is>
          <t>5752033</t>
        </is>
      </c>
      <c r="F735" s="13" t="inlineStr">
        <is>
          <t>2026-08-03</t>
        </is>
      </c>
      <c r="G735" s="13" t="n">
        <v>250</v>
      </c>
      <c r="H735" s="13" t="inlineStr">
        <is>
          <t>Street address or PO box</t>
        </is>
      </c>
    </row>
    <row r="736">
      <c r="A736" s="13" t="inlineStr">
        <is>
          <t>H114</t>
        </is>
      </c>
      <c r="B736" s="13" t="inlineStr">
        <is>
          <t>Republican gift</t>
        </is>
      </c>
      <c r="C736" s="13" t="inlineStr">
        <is>
          <t>Friends of Christine Drazan</t>
        </is>
      </c>
      <c r="D736" s="13" t="inlineStr">
        <is>
          <t>19050</t>
        </is>
      </c>
      <c r="E736" s="13" t="inlineStr">
        <is>
          <t>5814580</t>
        </is>
      </c>
      <c r="F736" s="13" t="inlineStr">
        <is>
          <t>2026-09-17</t>
        </is>
      </c>
      <c r="G736" s="13" t="n">
        <v>250</v>
      </c>
      <c r="H736" s="13" t="inlineStr">
        <is>
          <t>Street address or PO box</t>
        </is>
      </c>
    </row>
    <row r="737">
      <c r="A737" s="13" t="inlineStr">
        <is>
          <t>H114</t>
        </is>
      </c>
      <c r="B737" s="13" t="inlineStr">
        <is>
          <t>Republican gift</t>
        </is>
      </c>
      <c r="C737" s="13" t="inlineStr">
        <is>
          <t>Friends of Christine Drazan</t>
        </is>
      </c>
      <c r="D737" s="13" t="inlineStr">
        <is>
          <t>19050</t>
        </is>
      </c>
      <c r="E737" s="13" t="inlineStr">
        <is>
          <t>5866191</t>
        </is>
      </c>
      <c r="F737" s="13" t="inlineStr">
        <is>
          <t>2026-10-05</t>
        </is>
      </c>
      <c r="G737" s="13" t="n">
        <v>250</v>
      </c>
      <c r="H737" s="13" t="inlineStr">
        <is>
          <t>Street address or PO box</t>
        </is>
      </c>
    </row>
    <row r="738">
      <c r="A738" s="13" t="inlineStr">
        <is>
          <t>H115</t>
        </is>
      </c>
      <c r="B738" s="13" t="inlineStr">
        <is>
          <t>Gift to a slate candidate</t>
        </is>
      </c>
      <c r="C738" s="13" t="inlineStr">
        <is>
          <t>Friends of Julia Brim-Edwards</t>
        </is>
      </c>
      <c r="D738" s="13" t="inlineStr">
        <is>
          <t>21206</t>
        </is>
      </c>
      <c r="E738" s="13" t="inlineStr">
        <is>
          <t>5852756</t>
        </is>
      </c>
      <c r="F738" s="13" t="inlineStr">
        <is>
          <t>2026-10-01</t>
        </is>
      </c>
      <c r="G738" s="13" t="n">
        <v>250</v>
      </c>
      <c r="H738" s="13" t="inlineStr"/>
    </row>
    <row r="739">
      <c r="A739" s="13" t="inlineStr">
        <is>
          <t>H115</t>
        </is>
      </c>
      <c r="B739" s="13" t="inlineStr">
        <is>
          <t>Republican gift</t>
        </is>
      </c>
      <c r="C739" s="13" t="inlineStr">
        <is>
          <t>Friends of Christine Drazan</t>
        </is>
      </c>
      <c r="D739" s="13" t="inlineStr">
        <is>
          <t>19050</t>
        </is>
      </c>
      <c r="E739" s="13" t="inlineStr">
        <is>
          <t>5761396</t>
        </is>
      </c>
      <c r="F739" s="13" t="inlineStr">
        <is>
          <t>2026-08-11</t>
        </is>
      </c>
      <c r="G739" s="13" t="n">
        <v>250</v>
      </c>
      <c r="H739" s="13" t="inlineStr">
        <is>
          <t>Street address or PO box</t>
        </is>
      </c>
    </row>
    <row r="740">
      <c r="A740" s="13" t="inlineStr">
        <is>
          <t>H115</t>
        </is>
      </c>
      <c r="B740" s="13" t="inlineStr">
        <is>
          <t>Republican gift</t>
        </is>
      </c>
      <c r="C740" s="13" t="inlineStr">
        <is>
          <t>Friends of Christine Drazan</t>
        </is>
      </c>
      <c r="D740" s="13" t="inlineStr">
        <is>
          <t>19050</t>
        </is>
      </c>
      <c r="E740" s="13" t="inlineStr">
        <is>
          <t>5888130</t>
        </is>
      </c>
      <c r="F740" s="13" t="inlineStr">
        <is>
          <t>2026-10-15</t>
        </is>
      </c>
      <c r="G740" s="13" t="n">
        <v>250</v>
      </c>
      <c r="H740" s="13" t="inlineStr">
        <is>
          <t>Street address or PO box</t>
        </is>
      </c>
    </row>
    <row r="741">
      <c r="A741" s="13" t="inlineStr">
        <is>
          <t>H116</t>
        </is>
      </c>
      <c r="B741" s="13" t="inlineStr">
        <is>
          <t>Gift to a slate candidate</t>
        </is>
      </c>
      <c r="C741" s="13" t="inlineStr">
        <is>
          <t>Friends of Olivia</t>
        </is>
      </c>
      <c r="D741" s="13" t="inlineStr">
        <is>
          <t>23199</t>
        </is>
      </c>
      <c r="E741" s="13" t="inlineStr">
        <is>
          <t>4745090</t>
        </is>
      </c>
      <c r="F741" s="13" t="inlineStr">
        <is>
          <t>2024-01-13</t>
        </is>
      </c>
      <c r="G741" s="13" t="n">
        <v>250</v>
      </c>
      <c r="H741" s="13" t="inlineStr"/>
    </row>
    <row r="742">
      <c r="A742" s="13" t="inlineStr">
        <is>
          <t>H116</t>
        </is>
      </c>
      <c r="B742" s="13" t="inlineStr">
        <is>
          <t>Gift to a slate candidate</t>
        </is>
      </c>
      <c r="C742" s="13" t="inlineStr">
        <is>
          <t>Friends of Olivia</t>
        </is>
      </c>
      <c r="D742" s="13" t="inlineStr">
        <is>
          <t>23199</t>
        </is>
      </c>
      <c r="E742" s="13" t="inlineStr">
        <is>
          <t>5717899</t>
        </is>
      </c>
      <c r="F742" s="13" t="inlineStr">
        <is>
          <t>2026-06-30</t>
        </is>
      </c>
      <c r="G742" s="13" t="n">
        <v>250</v>
      </c>
      <c r="H742" s="13" t="inlineStr"/>
    </row>
    <row r="743">
      <c r="A743" s="13" t="inlineStr">
        <is>
          <t>H116</t>
        </is>
      </c>
      <c r="B743" s="13" t="inlineStr">
        <is>
          <t>Gift to a slate candidate</t>
        </is>
      </c>
      <c r="C743" s="13" t="inlineStr">
        <is>
          <t>Friends of Olivia</t>
        </is>
      </c>
      <c r="D743" s="13" t="inlineStr">
        <is>
          <t>23199</t>
        </is>
      </c>
      <c r="E743" s="13" t="inlineStr">
        <is>
          <t>5878457</t>
        </is>
      </c>
      <c r="F743" s="13" t="inlineStr">
        <is>
          <t>2026-10-05</t>
        </is>
      </c>
      <c r="G743" s="13" t="n">
        <v>250</v>
      </c>
      <c r="H743" s="13" t="inlineStr"/>
    </row>
    <row r="744">
      <c r="A744" s="13" t="inlineStr">
        <is>
          <t>H116</t>
        </is>
      </c>
      <c r="B744" s="13" t="inlineStr">
        <is>
          <t>Republican gift</t>
        </is>
      </c>
      <c r="C744" s="13" t="inlineStr">
        <is>
          <t>Friends of Christine Drazan</t>
        </is>
      </c>
      <c r="D744" s="13" t="inlineStr">
        <is>
          <t>19050</t>
        </is>
      </c>
      <c r="E744" s="13" t="inlineStr">
        <is>
          <t>5771118</t>
        </is>
      </c>
      <c r="F744" s="13" t="inlineStr">
        <is>
          <t>2026-08-19</t>
        </is>
      </c>
      <c r="G744" s="13" t="n">
        <v>3000</v>
      </c>
      <c r="H744" s="13" t="inlineStr">
        <is>
          <t>Street address or PO box</t>
        </is>
      </c>
    </row>
    <row r="745">
      <c r="A745" s="13" t="inlineStr">
        <is>
          <t>H117</t>
        </is>
      </c>
      <c r="B745" s="13" t="inlineStr">
        <is>
          <t>Gift to a slate candidate</t>
        </is>
      </c>
      <c r="C745" s="13" t="inlineStr">
        <is>
          <t>Eli for Portland</t>
        </is>
      </c>
      <c r="D745" s="13" t="inlineStr">
        <is>
          <t>23295</t>
        </is>
      </c>
      <c r="E745" s="13" t="inlineStr">
        <is>
          <t>5573046</t>
        </is>
      </c>
      <c r="F745" s="13" t="inlineStr">
        <is>
          <t>2026-03-05</t>
        </is>
      </c>
      <c r="G745" s="13" t="n">
        <v>250</v>
      </c>
      <c r="H745" s="13" t="inlineStr"/>
    </row>
    <row r="746">
      <c r="A746" s="13" t="inlineStr">
        <is>
          <t>H117</t>
        </is>
      </c>
      <c r="B746" s="13" t="inlineStr">
        <is>
          <t>Gift to a slate candidate</t>
        </is>
      </c>
      <c r="C746" s="13" t="inlineStr">
        <is>
          <t>Friends of Olivia</t>
        </is>
      </c>
      <c r="D746" s="13" t="inlineStr">
        <is>
          <t>23199</t>
        </is>
      </c>
      <c r="E746" s="13" t="inlineStr">
        <is>
          <t>5844160</t>
        </is>
      </c>
      <c r="F746" s="13" t="inlineStr">
        <is>
          <t>2026-09-07</t>
        </is>
      </c>
      <c r="G746" s="13" t="n">
        <v>250</v>
      </c>
      <c r="H746" s="13" t="inlineStr"/>
    </row>
    <row r="747">
      <c r="A747" s="13" t="inlineStr">
        <is>
          <t>H117</t>
        </is>
      </c>
      <c r="B747" s="13" t="inlineStr">
        <is>
          <t>Gift to a slate candidate</t>
        </is>
      </c>
      <c r="C747" s="13" t="inlineStr">
        <is>
          <t>Friends of Eric Zimmerman</t>
        </is>
      </c>
      <c r="D747" s="13" t="inlineStr">
        <is>
          <t>17629</t>
        </is>
      </c>
      <c r="E747" s="13" t="inlineStr">
        <is>
          <t>5813886</t>
        </is>
      </c>
      <c r="F747" s="13" t="inlineStr">
        <is>
          <t>2026-09-07</t>
        </is>
      </c>
      <c r="G747" s="13" t="n">
        <v>250</v>
      </c>
      <c r="H747" s="13" t="inlineStr"/>
    </row>
    <row r="748">
      <c r="A748" s="13" t="inlineStr">
        <is>
          <t>H117</t>
        </is>
      </c>
      <c r="B748" s="13" t="inlineStr">
        <is>
          <t>Republican gift</t>
        </is>
      </c>
      <c r="C748" s="13" t="inlineStr">
        <is>
          <t>Friends of Christine Drazan</t>
        </is>
      </c>
      <c r="D748" s="13" t="inlineStr">
        <is>
          <t>19050</t>
        </is>
      </c>
      <c r="E748" s="13" t="inlineStr">
        <is>
          <t>5780447</t>
        </is>
      </c>
      <c r="F748" s="13" t="inlineStr">
        <is>
          <t>2026-08-27</t>
        </is>
      </c>
      <c r="G748" s="13" t="n">
        <v>250</v>
      </c>
      <c r="H748" s="13" t="inlineStr">
        <is>
          <t>Street address or PO box</t>
        </is>
      </c>
    </row>
    <row r="749">
      <c r="A749" s="13" t="inlineStr">
        <is>
          <t>H118</t>
        </is>
      </c>
      <c r="B749" s="13" t="inlineStr">
        <is>
          <t>Gift to a slate candidate</t>
        </is>
      </c>
      <c r="C749" s="13" t="inlineStr">
        <is>
          <t>Eli for Portland</t>
        </is>
      </c>
      <c r="D749" s="13" t="inlineStr">
        <is>
          <t>23295</t>
        </is>
      </c>
      <c r="E749" s="13" t="inlineStr">
        <is>
          <t>5032672</t>
        </is>
      </c>
      <c r="F749" s="13" t="inlineStr">
        <is>
          <t>2024-09-06</t>
        </is>
      </c>
      <c r="G749" s="13" t="n">
        <v>250</v>
      </c>
      <c r="H749" s="13" t="inlineStr"/>
    </row>
    <row r="750">
      <c r="A750" s="13" t="inlineStr">
        <is>
          <t>H118</t>
        </is>
      </c>
      <c r="B750" s="13" t="inlineStr">
        <is>
          <t>Gift to a slate candidate</t>
        </is>
      </c>
      <c r="C750" s="13" t="inlineStr">
        <is>
          <t>Eli for Portland</t>
        </is>
      </c>
      <c r="D750" s="13" t="inlineStr">
        <is>
          <t>23295</t>
        </is>
      </c>
      <c r="E750" s="13" t="inlineStr">
        <is>
          <t>5821026</t>
        </is>
      </c>
      <c r="F750" s="13" t="inlineStr">
        <is>
          <t>2026-09-18</t>
        </is>
      </c>
      <c r="G750" s="13" t="n">
        <v>250</v>
      </c>
      <c r="H750" s="13" t="inlineStr"/>
    </row>
    <row r="751">
      <c r="A751" s="13" t="inlineStr">
        <is>
          <t>H118</t>
        </is>
      </c>
      <c r="B751" s="13" t="inlineStr">
        <is>
          <t>Republican gift</t>
        </is>
      </c>
      <c r="C751" s="13" t="inlineStr">
        <is>
          <t>Friends of Christine Drazan</t>
        </is>
      </c>
      <c r="D751" s="13" t="inlineStr">
        <is>
          <t>19050</t>
        </is>
      </c>
      <c r="E751" s="13" t="inlineStr">
        <is>
          <t>5788216</t>
        </is>
      </c>
      <c r="F751" s="13" t="inlineStr">
        <is>
          <t>2026-09-01</t>
        </is>
      </c>
      <c r="G751" s="13" t="n">
        <v>250</v>
      </c>
      <c r="H751" s="13" t="inlineStr">
        <is>
          <t>Street address or PO box</t>
        </is>
      </c>
    </row>
    <row r="752">
      <c r="A752" s="13" t="inlineStr">
        <is>
          <t>H118</t>
        </is>
      </c>
      <c r="B752" s="13" t="inlineStr">
        <is>
          <t>Republican gift</t>
        </is>
      </c>
      <c r="C752" s="13" t="inlineStr">
        <is>
          <t>Friends of Christine Drazan</t>
        </is>
      </c>
      <c r="D752" s="13" t="inlineStr">
        <is>
          <t>19050</t>
        </is>
      </c>
      <c r="E752" s="13" t="inlineStr">
        <is>
          <t>5819478</t>
        </is>
      </c>
      <c r="F752" s="13" t="inlineStr">
        <is>
          <t>2026-09-21</t>
        </is>
      </c>
      <c r="G752" s="13" t="n">
        <v>250</v>
      </c>
      <c r="H752" s="13" t="inlineStr">
        <is>
          <t>Street address or PO box</t>
        </is>
      </c>
    </row>
    <row r="753">
      <c r="A753" s="13" t="inlineStr">
        <is>
          <t>H119</t>
        </is>
      </c>
      <c r="B753" s="13" t="inlineStr">
        <is>
          <t>Gift to a slate candidate</t>
        </is>
      </c>
      <c r="C753" s="13" t="inlineStr">
        <is>
          <t>Friends of Julia Brim-Edwards</t>
        </is>
      </c>
      <c r="D753" s="13" t="inlineStr">
        <is>
          <t>21206</t>
        </is>
      </c>
      <c r="E753" s="13" t="inlineStr">
        <is>
          <t>4530520</t>
        </is>
      </c>
      <c r="F753" s="13" t="inlineStr">
        <is>
          <t>2023-03-14</t>
        </is>
      </c>
      <c r="G753" s="13" t="n">
        <v>500</v>
      </c>
      <c r="H753" s="13" t="inlineStr"/>
    </row>
    <row r="754">
      <c r="A754" s="13" t="inlineStr">
        <is>
          <t>H119</t>
        </is>
      </c>
      <c r="B754" s="13" t="inlineStr">
        <is>
          <t>Gift to a slate candidate</t>
        </is>
      </c>
      <c r="C754" s="13" t="inlineStr">
        <is>
          <t>Kellie Torres for Portland</t>
        </is>
      </c>
      <c r="D754" s="13" t="inlineStr">
        <is>
          <t>24897</t>
        </is>
      </c>
      <c r="E754" s="13" t="inlineStr">
        <is>
          <t>5780402</t>
        </is>
      </c>
      <c r="F754" s="13" t="inlineStr">
        <is>
          <t>2026-08-09</t>
        </is>
      </c>
      <c r="G754" s="13" t="n">
        <v>250</v>
      </c>
      <c r="H754" s="13" t="inlineStr"/>
    </row>
    <row r="755">
      <c r="A755" s="13" t="inlineStr">
        <is>
          <t>H119</t>
        </is>
      </c>
      <c r="B755" s="13" t="inlineStr">
        <is>
          <t>Republican gift</t>
        </is>
      </c>
      <c r="C755" s="13" t="inlineStr">
        <is>
          <t>Friends of Christine Drazan</t>
        </is>
      </c>
      <c r="D755" s="13" t="inlineStr">
        <is>
          <t>19050</t>
        </is>
      </c>
      <c r="E755" s="13" t="inlineStr">
        <is>
          <t>5812344</t>
        </is>
      </c>
      <c r="F755" s="13" t="inlineStr">
        <is>
          <t>2026-09-15</t>
        </is>
      </c>
      <c r="G755" s="13" t="n">
        <v>250</v>
      </c>
      <c r="H755" s="13" t="inlineStr">
        <is>
          <t>Street address or PO box</t>
        </is>
      </c>
    </row>
    <row r="756">
      <c r="A756" s="13" t="inlineStr">
        <is>
          <t>H120</t>
        </is>
      </c>
      <c r="B756" s="13" t="inlineStr">
        <is>
          <t>Gift to a slate candidate</t>
        </is>
      </c>
      <c r="C756" s="13" t="inlineStr">
        <is>
          <t>Friends of Julia Brim-Edwards</t>
        </is>
      </c>
      <c r="D756" s="13" t="inlineStr">
        <is>
          <t>21206</t>
        </is>
      </c>
      <c r="E756" s="13" t="inlineStr">
        <is>
          <t>5555081</t>
        </is>
      </c>
      <c r="F756" s="13" t="inlineStr">
        <is>
          <t>2026-02-21</t>
        </is>
      </c>
      <c r="G756" s="13" t="n">
        <v>250</v>
      </c>
      <c r="H756" s="13" t="inlineStr"/>
    </row>
    <row r="757">
      <c r="A757" s="13" t="inlineStr">
        <is>
          <t>H120</t>
        </is>
      </c>
      <c r="B757" s="13" t="inlineStr">
        <is>
          <t>Republican gift</t>
        </is>
      </c>
      <c r="C757" s="13" t="inlineStr">
        <is>
          <t>Friends of Christine Drazan</t>
        </is>
      </c>
      <c r="D757" s="13" t="inlineStr">
        <is>
          <t>19050</t>
        </is>
      </c>
      <c r="E757" s="13" t="inlineStr">
        <is>
          <t>5818021</t>
        </is>
      </c>
      <c r="F757" s="13" t="inlineStr">
        <is>
          <t>2026-09-20</t>
        </is>
      </c>
      <c r="G757" s="13" t="n">
        <v>250</v>
      </c>
      <c r="H757" s="13" t="inlineStr">
        <is>
          <t>Street address or PO box</t>
        </is>
      </c>
    </row>
    <row r="758">
      <c r="A758" s="13" t="inlineStr">
        <is>
          <t>H121</t>
        </is>
      </c>
      <c r="B758" s="13" t="inlineStr">
        <is>
          <t>Gift to a slate candidate</t>
        </is>
      </c>
      <c r="C758" s="13" t="inlineStr">
        <is>
          <t>Eli for Portland</t>
        </is>
      </c>
      <c r="D758" s="13" t="inlineStr">
        <is>
          <t>23295</t>
        </is>
      </c>
      <c r="E758" s="13" t="inlineStr">
        <is>
          <t>4926098</t>
        </is>
      </c>
      <c r="F758" s="13" t="inlineStr">
        <is>
          <t>2024-05-23</t>
        </is>
      </c>
      <c r="G758" s="13" t="n">
        <v>250</v>
      </c>
      <c r="H758" s="13" t="inlineStr"/>
    </row>
    <row r="759">
      <c r="A759" s="13" t="inlineStr">
        <is>
          <t>H121</t>
        </is>
      </c>
      <c r="B759" s="13" t="inlineStr">
        <is>
          <t>Gift to a slate candidate</t>
        </is>
      </c>
      <c r="C759" s="13" t="inlineStr">
        <is>
          <t>Eli for Portland</t>
        </is>
      </c>
      <c r="D759" s="13" t="inlineStr">
        <is>
          <t>23295</t>
        </is>
      </c>
      <c r="E759" s="13" t="inlineStr">
        <is>
          <t>4967778</t>
        </is>
      </c>
      <c r="F759" s="13" t="inlineStr">
        <is>
          <t>2024-06-28</t>
        </is>
      </c>
      <c r="G759" s="13" t="n">
        <v>250</v>
      </c>
      <c r="H759" s="13" t="inlineStr"/>
    </row>
    <row r="760">
      <c r="A760" s="13" t="inlineStr">
        <is>
          <t>H121</t>
        </is>
      </c>
      <c r="B760" s="13" t="inlineStr">
        <is>
          <t>Gift to a slate candidate</t>
        </is>
      </c>
      <c r="C760" s="13" t="inlineStr">
        <is>
          <t>Eli for Portland</t>
        </is>
      </c>
      <c r="D760" s="13" t="inlineStr">
        <is>
          <t>23295</t>
        </is>
      </c>
      <c r="E760" s="13" t="inlineStr">
        <is>
          <t>4993243</t>
        </is>
      </c>
      <c r="F760" s="13" t="inlineStr">
        <is>
          <t>2024-07-28</t>
        </is>
      </c>
      <c r="G760" s="13" t="n">
        <v>250</v>
      </c>
      <c r="H760" s="13" t="inlineStr"/>
    </row>
    <row r="761">
      <c r="A761" s="13" t="inlineStr">
        <is>
          <t>H121</t>
        </is>
      </c>
      <c r="B761" s="13" t="inlineStr">
        <is>
          <t>Gift to a slate candidate</t>
        </is>
      </c>
      <c r="C761" s="13" t="inlineStr">
        <is>
          <t>Eli for Portland</t>
        </is>
      </c>
      <c r="D761" s="13" t="inlineStr">
        <is>
          <t>23295</t>
        </is>
      </c>
      <c r="E761" s="13" t="inlineStr">
        <is>
          <t>5032635</t>
        </is>
      </c>
      <c r="F761" s="13" t="inlineStr">
        <is>
          <t>2024-08-28</t>
        </is>
      </c>
      <c r="G761" s="13" t="n">
        <v>250</v>
      </c>
      <c r="H761" s="13" t="inlineStr"/>
    </row>
    <row r="762">
      <c r="A762" s="13" t="inlineStr">
        <is>
          <t>H121</t>
        </is>
      </c>
      <c r="B762" s="13" t="inlineStr">
        <is>
          <t>Gift to a slate candidate</t>
        </is>
      </c>
      <c r="C762" s="13" t="inlineStr">
        <is>
          <t>Eli for Portland</t>
        </is>
      </c>
      <c r="D762" s="13" t="inlineStr">
        <is>
          <t>23295</t>
        </is>
      </c>
      <c r="E762" s="13" t="inlineStr">
        <is>
          <t>5459908</t>
        </is>
      </c>
      <c r="F762" s="13" t="inlineStr">
        <is>
          <t>2025-11-18</t>
        </is>
      </c>
      <c r="G762" s="13" t="n">
        <v>250</v>
      </c>
      <c r="H762" s="13" t="inlineStr"/>
    </row>
    <row r="763">
      <c r="A763" s="13" t="inlineStr">
        <is>
          <t>H121</t>
        </is>
      </c>
      <c r="B763" s="13" t="inlineStr">
        <is>
          <t>Gift to a slate candidate</t>
        </is>
      </c>
      <c r="C763" s="13" t="inlineStr">
        <is>
          <t>Friends of Olivia</t>
        </is>
      </c>
      <c r="D763" s="13" t="inlineStr">
        <is>
          <t>23199</t>
        </is>
      </c>
      <c r="E763" s="13" t="inlineStr">
        <is>
          <t>5586577</t>
        </is>
      </c>
      <c r="F763" s="13" t="inlineStr">
        <is>
          <t>2026-02-19</t>
        </is>
      </c>
      <c r="G763" s="13" t="n">
        <v>250</v>
      </c>
      <c r="H763" s="13" t="inlineStr"/>
    </row>
    <row r="764">
      <c r="A764" s="13" t="inlineStr">
        <is>
          <t>H121</t>
        </is>
      </c>
      <c r="B764" s="13" t="inlineStr">
        <is>
          <t>Gift to a slate candidate</t>
        </is>
      </c>
      <c r="C764" s="13" t="inlineStr">
        <is>
          <t>Friends of Eric Zimmerman</t>
        </is>
      </c>
      <c r="D764" s="13" t="inlineStr">
        <is>
          <t>17629</t>
        </is>
      </c>
      <c r="E764" s="13" t="inlineStr">
        <is>
          <t>5562822</t>
        </is>
      </c>
      <c r="F764" s="13" t="inlineStr">
        <is>
          <t>2026-02-19</t>
        </is>
      </c>
      <c r="G764" s="13" t="n">
        <v>250</v>
      </c>
      <c r="H764" s="13" t="inlineStr"/>
    </row>
    <row r="765">
      <c r="A765" s="13" t="inlineStr">
        <is>
          <t>H121</t>
        </is>
      </c>
      <c r="B765" s="13" t="inlineStr">
        <is>
          <t>Republican gift</t>
        </is>
      </c>
      <c r="C765" s="13" t="inlineStr">
        <is>
          <t>Friends of Christine Drazan</t>
        </is>
      </c>
      <c r="D765" s="13" t="inlineStr">
        <is>
          <t>19050</t>
        </is>
      </c>
      <c r="E765" s="13" t="inlineStr">
        <is>
          <t>5829381</t>
        </is>
      </c>
      <c r="F765" s="13" t="inlineStr">
        <is>
          <t>2026-09-24</t>
        </is>
      </c>
      <c r="G765" s="13" t="n">
        <v>250</v>
      </c>
      <c r="H765" s="13" t="inlineStr">
        <is>
          <t>Street address or PO box</t>
        </is>
      </c>
    </row>
    <row r="766">
      <c r="A766" s="13" t="inlineStr">
        <is>
          <t>H122</t>
        </is>
      </c>
      <c r="B766" s="13" t="inlineStr">
        <is>
          <t>Gift to a slate candidate</t>
        </is>
      </c>
      <c r="C766" s="13" t="inlineStr">
        <is>
          <t>Eli for Portland</t>
        </is>
      </c>
      <c r="D766" s="13" t="inlineStr">
        <is>
          <t>23295</t>
        </is>
      </c>
      <c r="E766" s="13" t="inlineStr">
        <is>
          <t>5634477</t>
        </is>
      </c>
      <c r="F766" s="13" t="inlineStr">
        <is>
          <t>2026-04-16</t>
        </is>
      </c>
      <c r="G766" s="13" t="n">
        <v>250</v>
      </c>
      <c r="H766" s="13" t="inlineStr"/>
    </row>
    <row r="767">
      <c r="A767" s="13" t="inlineStr">
        <is>
          <t>H122</t>
        </is>
      </c>
      <c r="B767" s="13" t="inlineStr">
        <is>
          <t>Gift to a slate candidate</t>
        </is>
      </c>
      <c r="C767" s="13" t="inlineStr">
        <is>
          <t>Eli for Portland</t>
        </is>
      </c>
      <c r="D767" s="13" t="inlineStr">
        <is>
          <t>23295</t>
        </is>
      </c>
      <c r="E767" s="13" t="inlineStr">
        <is>
          <t>5634478</t>
        </is>
      </c>
      <c r="F767" s="13" t="inlineStr">
        <is>
          <t>2026-04-16</t>
        </is>
      </c>
      <c r="G767" s="13" t="n">
        <v>250</v>
      </c>
      <c r="H767" s="13" t="inlineStr"/>
    </row>
    <row r="768">
      <c r="A768" s="13" t="inlineStr">
        <is>
          <t>H122</t>
        </is>
      </c>
      <c r="B768" s="13" t="inlineStr">
        <is>
          <t>Gift to a slate candidate</t>
        </is>
      </c>
      <c r="C768" s="13" t="inlineStr">
        <is>
          <t>Eli for Portland</t>
        </is>
      </c>
      <c r="D768" s="13" t="inlineStr">
        <is>
          <t>23295</t>
        </is>
      </c>
      <c r="E768" s="13" t="inlineStr">
        <is>
          <t>5640860</t>
        </is>
      </c>
      <c r="F768" s="13" t="inlineStr">
        <is>
          <t>2026-04-27</t>
        </is>
      </c>
      <c r="G768" s="13" t="n">
        <v>250</v>
      </c>
      <c r="H768" s="13" t="inlineStr"/>
    </row>
    <row r="769">
      <c r="A769" s="13" t="inlineStr">
        <is>
          <t>H122</t>
        </is>
      </c>
      <c r="B769" s="13" t="inlineStr">
        <is>
          <t>Gift to a slate candidate</t>
        </is>
      </c>
      <c r="C769" s="13" t="inlineStr">
        <is>
          <t>Eli for Portland</t>
        </is>
      </c>
      <c r="D769" s="13" t="inlineStr">
        <is>
          <t>23295</t>
        </is>
      </c>
      <c r="E769" s="13" t="inlineStr">
        <is>
          <t>5674960</t>
        </is>
      </c>
      <c r="F769" s="13" t="inlineStr">
        <is>
          <t>2026-05-27</t>
        </is>
      </c>
      <c r="G769" s="13" t="n">
        <v>250</v>
      </c>
      <c r="H769" s="13" t="inlineStr"/>
    </row>
    <row r="770">
      <c r="A770" s="13" t="inlineStr">
        <is>
          <t>H122</t>
        </is>
      </c>
      <c r="B770" s="13" t="inlineStr">
        <is>
          <t>Gift to a slate candidate</t>
        </is>
      </c>
      <c r="C770" s="13" t="inlineStr">
        <is>
          <t>Eli for Portland</t>
        </is>
      </c>
      <c r="D770" s="13" t="inlineStr">
        <is>
          <t>23295</t>
        </is>
      </c>
      <c r="E770" s="13" t="inlineStr">
        <is>
          <t>5704092</t>
        </is>
      </c>
      <c r="F770" s="13" t="inlineStr">
        <is>
          <t>2026-06-27</t>
        </is>
      </c>
      <c r="G770" s="13" t="n">
        <v>250</v>
      </c>
      <c r="H770" s="13" t="inlineStr"/>
    </row>
    <row r="771">
      <c r="A771" s="13" t="inlineStr">
        <is>
          <t>H122</t>
        </is>
      </c>
      <c r="B771" s="13" t="inlineStr">
        <is>
          <t>Gift to a slate candidate</t>
        </is>
      </c>
      <c r="C771" s="13" t="inlineStr">
        <is>
          <t>Eli for Portland</t>
        </is>
      </c>
      <c r="D771" s="13" t="inlineStr">
        <is>
          <t>23295</t>
        </is>
      </c>
      <c r="E771" s="13" t="inlineStr">
        <is>
          <t>5747156</t>
        </is>
      </c>
      <c r="F771" s="13" t="inlineStr">
        <is>
          <t>2026-07-27</t>
        </is>
      </c>
      <c r="G771" s="13" t="n">
        <v>250</v>
      </c>
      <c r="H771" s="13" t="inlineStr"/>
    </row>
    <row r="772">
      <c r="A772" s="13" t="inlineStr">
        <is>
          <t>H122</t>
        </is>
      </c>
      <c r="B772" s="13" t="inlineStr">
        <is>
          <t>Gift to a slate candidate</t>
        </is>
      </c>
      <c r="C772" s="13" t="inlineStr">
        <is>
          <t>Eli for Portland</t>
        </is>
      </c>
      <c r="D772" s="13" t="inlineStr">
        <is>
          <t>23295</t>
        </is>
      </c>
      <c r="E772" s="13" t="inlineStr">
        <is>
          <t>5786107</t>
        </is>
      </c>
      <c r="F772" s="13" t="inlineStr">
        <is>
          <t>2026-08-17</t>
        </is>
      </c>
      <c r="G772" s="13" t="n">
        <v>250</v>
      </c>
      <c r="H772" s="13" t="inlineStr"/>
    </row>
    <row r="773">
      <c r="A773" s="13" t="inlineStr">
        <is>
          <t>H122</t>
        </is>
      </c>
      <c r="B773" s="13" t="inlineStr">
        <is>
          <t>Gift to a slate candidate</t>
        </is>
      </c>
      <c r="C773" s="13" t="inlineStr">
        <is>
          <t>Eli for Portland</t>
        </is>
      </c>
      <c r="D773" s="13" t="inlineStr">
        <is>
          <t>23295</t>
        </is>
      </c>
      <c r="E773" s="13" t="inlineStr">
        <is>
          <t>5786173</t>
        </is>
      </c>
      <c r="F773" s="13" t="inlineStr">
        <is>
          <t>2026-08-27</t>
        </is>
      </c>
      <c r="G773" s="13" t="n">
        <v>250</v>
      </c>
      <c r="H773" s="13" t="inlineStr"/>
    </row>
    <row r="774">
      <c r="A774" s="13" t="inlineStr">
        <is>
          <t>H122</t>
        </is>
      </c>
      <c r="B774" s="13" t="inlineStr">
        <is>
          <t>Gift to a slate candidate</t>
        </is>
      </c>
      <c r="C774" s="13" t="inlineStr">
        <is>
          <t>Eli for Portland</t>
        </is>
      </c>
      <c r="D774" s="13" t="inlineStr">
        <is>
          <t>23295</t>
        </is>
      </c>
      <c r="E774" s="13" t="inlineStr">
        <is>
          <t>5820890</t>
        </is>
      </c>
      <c r="F774" s="13" t="inlineStr">
        <is>
          <t>2026-09-21</t>
        </is>
      </c>
      <c r="G774" s="13" t="n">
        <v>250</v>
      </c>
      <c r="H774" s="13" t="inlineStr"/>
    </row>
    <row r="775">
      <c r="A775" s="13" t="inlineStr">
        <is>
          <t>H122</t>
        </is>
      </c>
      <c r="B775" s="13" t="inlineStr">
        <is>
          <t>Gift to a slate candidate</t>
        </is>
      </c>
      <c r="C775" s="13" t="inlineStr">
        <is>
          <t>Eli for Portland</t>
        </is>
      </c>
      <c r="D775" s="13" t="inlineStr">
        <is>
          <t>23295</t>
        </is>
      </c>
      <c r="E775" s="13" t="inlineStr">
        <is>
          <t>5844731</t>
        </is>
      </c>
      <c r="F775" s="13" t="inlineStr">
        <is>
          <t>2026-09-27</t>
        </is>
      </c>
      <c r="G775" s="13" t="n">
        <v>250</v>
      </c>
      <c r="H775" s="13" t="inlineStr"/>
    </row>
    <row r="776">
      <c r="A776" s="13" t="inlineStr">
        <is>
          <t>H122</t>
        </is>
      </c>
      <c r="B776" s="13" t="inlineStr">
        <is>
          <t>Republican gift</t>
        </is>
      </c>
      <c r="C776" s="13" t="inlineStr">
        <is>
          <t>Friends of Christine Drazan</t>
        </is>
      </c>
      <c r="D776" s="13" t="inlineStr">
        <is>
          <t>19050</t>
        </is>
      </c>
      <c r="E776" s="13" t="inlineStr">
        <is>
          <t>5848283</t>
        </is>
      </c>
      <c r="F776" s="13" t="inlineStr">
        <is>
          <t>2026-09-29</t>
        </is>
      </c>
      <c r="G776" s="13" t="n">
        <v>250</v>
      </c>
      <c r="H776" s="13" t="inlineStr">
        <is>
          <t>Street address or PO box</t>
        </is>
      </c>
    </row>
    <row r="777">
      <c r="A777" s="13" t="inlineStr">
        <is>
          <t>H122</t>
        </is>
      </c>
      <c r="B777" s="13" t="inlineStr">
        <is>
          <t>Republican gift</t>
        </is>
      </c>
      <c r="C777" s="13" t="inlineStr">
        <is>
          <t>Friends of Christine Drazan</t>
        </is>
      </c>
      <c r="D777" s="13" t="inlineStr">
        <is>
          <t>19050</t>
        </is>
      </c>
      <c r="E777" s="13" t="inlineStr">
        <is>
          <t>5886615</t>
        </is>
      </c>
      <c r="F777" s="13" t="inlineStr">
        <is>
          <t>2026-10-14</t>
        </is>
      </c>
      <c r="G777" s="13" t="n">
        <v>250</v>
      </c>
      <c r="H777" s="13" t="inlineStr">
        <is>
          <t>Street address or PO box</t>
        </is>
      </c>
    </row>
    <row r="778">
      <c r="A778" s="13" t="inlineStr">
        <is>
          <t>H123</t>
        </is>
      </c>
      <c r="B778" s="13" t="inlineStr">
        <is>
          <t>Gift to a slate candidate</t>
        </is>
      </c>
      <c r="C778" s="13" t="inlineStr">
        <is>
          <t>Friends of Julia Brim-Edwards</t>
        </is>
      </c>
      <c r="D778" s="13" t="inlineStr">
        <is>
          <t>21206</t>
        </is>
      </c>
      <c r="E778" s="13" t="inlineStr">
        <is>
          <t>4574707</t>
        </is>
      </c>
      <c r="F778" s="13" t="inlineStr">
        <is>
          <t>2023-05-09</t>
        </is>
      </c>
      <c r="G778" s="13" t="n">
        <v>500</v>
      </c>
      <c r="H778" s="13" t="inlineStr"/>
    </row>
    <row r="779">
      <c r="A779" s="13" t="inlineStr">
        <is>
          <t>H123</t>
        </is>
      </c>
      <c r="B779" s="13" t="inlineStr">
        <is>
          <t>Gift to a slate candidate</t>
        </is>
      </c>
      <c r="C779" s="13" t="inlineStr">
        <is>
          <t>Friends of Julia Brim-Edwards</t>
        </is>
      </c>
      <c r="D779" s="13" t="inlineStr">
        <is>
          <t>21206</t>
        </is>
      </c>
      <c r="E779" s="13" t="inlineStr">
        <is>
          <t>5627302</t>
        </is>
      </c>
      <c r="F779" s="13" t="inlineStr">
        <is>
          <t>2026-04-06</t>
        </is>
      </c>
      <c r="G779" s="13" t="n">
        <v>500</v>
      </c>
      <c r="H779" s="13" t="inlineStr"/>
    </row>
    <row r="780">
      <c r="A780" s="13" t="inlineStr">
        <is>
          <t>H123</t>
        </is>
      </c>
      <c r="B780" s="13" t="inlineStr">
        <is>
          <t>Republican gift</t>
        </is>
      </c>
      <c r="C780" s="13" t="inlineStr">
        <is>
          <t>Friends of Christine Drazan</t>
        </is>
      </c>
      <c r="D780" s="13" t="inlineStr">
        <is>
          <t>19050</t>
        </is>
      </c>
      <c r="E780" s="13" t="inlineStr">
        <is>
          <t>5854542</t>
        </is>
      </c>
      <c r="F780" s="13" t="inlineStr">
        <is>
          <t>2026-10-01</t>
        </is>
      </c>
      <c r="G780" s="13" t="n">
        <v>500</v>
      </c>
      <c r="H780" s="13" t="inlineStr">
        <is>
          <t>Street address or PO box</t>
        </is>
      </c>
    </row>
    <row r="781">
      <c r="A781" s="13" t="inlineStr">
        <is>
          <t>H124</t>
        </is>
      </c>
      <c r="B781" s="13" t="inlineStr">
        <is>
          <t>Gift to a slate candidate</t>
        </is>
      </c>
      <c r="C781" s="13" t="inlineStr">
        <is>
          <t>Eli for Portland</t>
        </is>
      </c>
      <c r="D781" s="13" t="inlineStr">
        <is>
          <t>23295</t>
        </is>
      </c>
      <c r="E781" s="13" t="inlineStr">
        <is>
          <t>5083355</t>
        </is>
      </c>
      <c r="F781" s="13" t="inlineStr">
        <is>
          <t>2024-10-06</t>
        </is>
      </c>
      <c r="G781" s="13" t="n">
        <v>250</v>
      </c>
      <c r="H781" s="13" t="inlineStr"/>
    </row>
    <row r="782">
      <c r="A782" s="13" t="inlineStr">
        <is>
          <t>H124</t>
        </is>
      </c>
      <c r="B782" s="13" t="inlineStr">
        <is>
          <t>Gift to a slate candidate</t>
        </is>
      </c>
      <c r="C782" s="13" t="inlineStr">
        <is>
          <t>Eli for Portland</t>
        </is>
      </c>
      <c r="D782" s="13" t="inlineStr">
        <is>
          <t>23295</t>
        </is>
      </c>
      <c r="E782" s="13" t="inlineStr">
        <is>
          <t>5122815</t>
        </is>
      </c>
      <c r="F782" s="13" t="inlineStr">
        <is>
          <t>2024-10-26</t>
        </is>
      </c>
      <c r="G782" s="13" t="n">
        <v>250</v>
      </c>
      <c r="H782" s="13" t="inlineStr"/>
    </row>
    <row r="783">
      <c r="A783" s="13" t="inlineStr">
        <is>
          <t>H124</t>
        </is>
      </c>
      <c r="B783" s="13" t="inlineStr">
        <is>
          <t>Gift to a slate candidate</t>
        </is>
      </c>
      <c r="C783" s="13" t="inlineStr">
        <is>
          <t>Friends of Olivia</t>
        </is>
      </c>
      <c r="D783" s="13" t="inlineStr">
        <is>
          <t>23199</t>
        </is>
      </c>
      <c r="E783" s="13" t="inlineStr">
        <is>
          <t>5868461</t>
        </is>
      </c>
      <c r="F783" s="13" t="inlineStr">
        <is>
          <t>2026-09-30</t>
        </is>
      </c>
      <c r="G783" s="13" t="n">
        <v>250</v>
      </c>
      <c r="H783" s="13" t="inlineStr"/>
    </row>
    <row r="784">
      <c r="A784" s="13" t="inlineStr">
        <is>
          <t>H124</t>
        </is>
      </c>
      <c r="B784" s="13" t="inlineStr">
        <is>
          <t>Republican gift</t>
        </is>
      </c>
      <c r="C784" s="13" t="inlineStr">
        <is>
          <t>Friends of Christine Drazan</t>
        </is>
      </c>
      <c r="D784" s="13" t="inlineStr">
        <is>
          <t>19050</t>
        </is>
      </c>
      <c r="E784" s="13" t="inlineStr">
        <is>
          <t>5861924</t>
        </is>
      </c>
      <c r="F784" s="13" t="inlineStr">
        <is>
          <t>2026-10-01</t>
        </is>
      </c>
      <c r="G784" s="13" t="n">
        <v>250</v>
      </c>
      <c r="H784" s="13" t="inlineStr">
        <is>
          <t>Street address or PO box</t>
        </is>
      </c>
    </row>
    <row r="785">
      <c r="A785" s="13" t="inlineStr">
        <is>
          <t>H125</t>
        </is>
      </c>
      <c r="B785" s="13" t="inlineStr">
        <is>
          <t>Gift to a slate candidate</t>
        </is>
      </c>
      <c r="C785" s="13" t="inlineStr">
        <is>
          <t>Friends of Julia Brim-Edwards</t>
        </is>
      </c>
      <c r="D785" s="13" t="inlineStr">
        <is>
          <t>21206</t>
        </is>
      </c>
      <c r="E785" s="13" t="inlineStr">
        <is>
          <t>5627308</t>
        </is>
      </c>
      <c r="F785" s="13" t="inlineStr">
        <is>
          <t>2026-04-08</t>
        </is>
      </c>
      <c r="G785" s="13" t="n">
        <v>500</v>
      </c>
      <c r="H785" s="13" t="inlineStr"/>
    </row>
    <row r="786">
      <c r="A786" s="13" t="inlineStr">
        <is>
          <t>H125</t>
        </is>
      </c>
      <c r="B786" s="13" t="inlineStr">
        <is>
          <t>Republican gift</t>
        </is>
      </c>
      <c r="C786" s="13" t="inlineStr">
        <is>
          <t>Friends of Christine Drazan</t>
        </is>
      </c>
      <c r="D786" s="13" t="inlineStr">
        <is>
          <t>19050</t>
        </is>
      </c>
      <c r="E786" s="13" t="inlineStr">
        <is>
          <t>5878886</t>
        </is>
      </c>
      <c r="F786" s="13" t="inlineStr">
        <is>
          <t>2026-10-12</t>
        </is>
      </c>
      <c r="G786" s="13" t="n">
        <v>250</v>
      </c>
      <c r="H786" s="13" t="inlineStr">
        <is>
          <t>Street address or PO box</t>
        </is>
      </c>
    </row>
  </sheetData>
  <mergeCells count="1">
    <mergeCell ref="A1:H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2.xml><?xml version="1.0" encoding="utf-8"?>
<worksheet xmlns="http://schemas.openxmlformats.org/spreadsheetml/2006/main">
  <sheetPr>
    <tabColor rgb="008A8F99"/>
    <outlinePr summaryBelow="1" summaryRight="1"/>
    <pageSetUpPr/>
  </sheetPr>
  <dimension ref="A1:O4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9" customWidth="1" min="3" max="3"/>
    <col width="20" customWidth="1" min="4" max="4"/>
    <col width="14" customWidth="1" min="5" max="5"/>
    <col width="12" customWidth="1" min="6" max="6"/>
    <col width="12" customWidth="1" min="7" max="7"/>
    <col width="8" customWidth="1" min="8" max="8"/>
    <col width="8" customWidth="1" min="9" max="9"/>
    <col width="8" customWidth="1" min="10" max="10"/>
    <col width="10" customWidth="1" min="11" max="11"/>
    <col width="8" customWidth="1" min="12" max="12"/>
    <col width="11" customWidth="1" min="13" max="13"/>
    <col width="8" customWidth="1" min="14" max="14"/>
    <col width="60" customWidth="1" min="15" max="15"/>
  </cols>
  <sheetData>
    <row r="1" ht="42" customHeight="1">
      <c r="A1" s="5" t="inlineStr">
        <is>
          <t>Everything we compared donors against, plus committees we considered and left out. Donor columns count pairs; a donor can count under several committees.</t>
        </is>
      </c>
    </row>
    <row r="2">
      <c r="A2" s="11" t="inlineStr">
        <is>
          <t>← Back to Start here</t>
        </is>
      </c>
    </row>
    <row r="4" ht="34" customHeight="1">
      <c r="A4" s="12" t="inlineStr">
        <is>
          <t>Group</t>
        </is>
      </c>
      <c r="B4" s="12" t="inlineStr">
        <is>
          <t>Committee</t>
        </is>
      </c>
      <c r="C4" s="12" t="inlineStr">
        <is>
          <t>Filer Id</t>
        </is>
      </c>
      <c r="D4" s="12" t="inlineStr">
        <is>
          <t>Candidate</t>
        </is>
      </c>
      <c r="E4" s="12" t="inlineStr">
        <is>
          <t>Party as filed</t>
        </is>
      </c>
      <c r="F4" s="12" t="inlineStr">
        <is>
          <t>Gifts in export from</t>
        </is>
      </c>
      <c r="G4" s="12" t="inlineStr">
        <is>
          <t>to</t>
        </is>
      </c>
      <c r="H4" s="12" t="inlineStr">
        <is>
          <t>Torres</t>
        </is>
      </c>
      <c r="I4" s="12" t="inlineStr">
        <is>
          <t>Novick</t>
        </is>
      </c>
      <c r="J4" s="12" t="inlineStr">
        <is>
          <t>Clark</t>
        </is>
      </c>
      <c r="K4" s="12" t="inlineStr">
        <is>
          <t>Zimmerman</t>
        </is>
      </c>
      <c r="L4" s="12" t="inlineStr">
        <is>
          <t>Arnold</t>
        </is>
      </c>
      <c r="M4" s="12" t="inlineStr">
        <is>
          <t>Brim-Edwards</t>
        </is>
      </c>
      <c r="N4" s="12" t="inlineStr">
        <is>
          <t>All six</t>
        </is>
      </c>
      <c r="O4" s="12" t="inlineStr">
        <is>
          <t>Why included or excluded</t>
        </is>
      </c>
    </row>
    <row r="5">
      <c r="A5" s="13" t="inlineStr">
        <is>
          <t>Republican</t>
        </is>
      </c>
      <c r="B5" s="15" t="inlineStr">
        <is>
          <t>Knute for Governor</t>
        </is>
      </c>
      <c r="C5" s="13" t="inlineStr">
        <is>
          <t>15192</t>
        </is>
      </c>
      <c r="D5" s="13" t="inlineStr">
        <is>
          <t>Knute Buehler</t>
        </is>
      </c>
      <c r="E5" s="13" t="inlineStr">
        <is>
          <t>Republican</t>
        </is>
      </c>
      <c r="F5" s="13" t="inlineStr">
        <is>
          <t>2011-08-22</t>
        </is>
      </c>
      <c r="G5" s="13" t="inlineStr">
        <is>
          <t>2019-09-10</t>
        </is>
      </c>
      <c r="H5" s="13" t="n">
        <v>16</v>
      </c>
      <c r="I5" s="13" t="n">
        <v>12</v>
      </c>
      <c r="J5" s="13" t="n">
        <v>18</v>
      </c>
      <c r="K5" s="13" t="n">
        <v>19</v>
      </c>
      <c r="L5" s="13" t="n">
        <v>13</v>
      </c>
      <c r="M5" s="13" t="n">
        <v>35</v>
      </c>
      <c r="N5" s="13" t="n">
        <v>113</v>
      </c>
      <c r="O5" s="15" t="inlineStr">
        <is>
          <t>Candidate filed as a Republican.</t>
        </is>
      </c>
    </row>
    <row r="6">
      <c r="A6" s="13" t="inlineStr">
        <is>
          <t>Republican</t>
        </is>
      </c>
      <c r="B6" s="15" t="inlineStr">
        <is>
          <t>Friends of Christine Drazan</t>
        </is>
      </c>
      <c r="C6" s="13" t="inlineStr">
        <is>
          <t>19050</t>
        </is>
      </c>
      <c r="D6" s="13" t="inlineStr">
        <is>
          <t>Christine Drazan</t>
        </is>
      </c>
      <c r="E6" s="13" t="inlineStr">
        <is>
          <t>Republican</t>
        </is>
      </c>
      <c r="F6" s="13" t="inlineStr">
        <is>
          <t>2018-02-05</t>
        </is>
      </c>
      <c r="G6" s="13" t="inlineStr">
        <is>
          <t>2026-10-16</t>
        </is>
      </c>
      <c r="H6" s="13" t="n">
        <v>7</v>
      </c>
      <c r="I6" s="13" t="n">
        <v>3</v>
      </c>
      <c r="J6" s="13" t="n">
        <v>11</v>
      </c>
      <c r="K6" s="13" t="n">
        <v>9</v>
      </c>
      <c r="L6" s="13" t="n">
        <v>15</v>
      </c>
      <c r="M6" s="13" t="n">
        <v>23</v>
      </c>
      <c r="N6" s="13" t="n">
        <v>68</v>
      </c>
      <c r="O6" s="15" t="inlineStr">
        <is>
          <t>Candidate filed as a Republican.</t>
        </is>
      </c>
    </row>
    <row r="7">
      <c r="A7" s="13" t="inlineStr">
        <is>
          <t>Republican</t>
        </is>
      </c>
      <c r="B7" s="15" t="inlineStr">
        <is>
          <t>Friends of Will Lathrop</t>
        </is>
      </c>
      <c r="C7" s="13" t="inlineStr">
        <is>
          <t>21896</t>
        </is>
      </c>
      <c r="D7" s="13" t="inlineStr">
        <is>
          <t>Will Lathrop</t>
        </is>
      </c>
      <c r="E7" s="13" t="inlineStr">
        <is>
          <t>Republican</t>
        </is>
      </c>
      <c r="F7" s="13" t="inlineStr">
        <is>
          <t>2024-01-02</t>
        </is>
      </c>
      <c r="G7" s="13" t="inlineStr">
        <is>
          <t>2026-03-31</t>
        </is>
      </c>
      <c r="H7" s="13" t="n">
        <v>4</v>
      </c>
      <c r="I7" s="13" t="n">
        <v>4</v>
      </c>
      <c r="J7" s="13" t="n">
        <v>1</v>
      </c>
      <c r="K7" s="13" t="n">
        <v>5</v>
      </c>
      <c r="L7" s="13" t="n">
        <v>8</v>
      </c>
      <c r="M7" s="13" t="n">
        <v>8</v>
      </c>
      <c r="N7" s="13" t="n">
        <v>30</v>
      </c>
      <c r="O7" s="15" t="inlineStr">
        <is>
          <t>Candidate filed as a Republican.</t>
        </is>
      </c>
    </row>
    <row r="8">
      <c r="A8" s="13" t="inlineStr">
        <is>
          <t>Republican</t>
        </is>
      </c>
      <c r="B8" s="15" t="inlineStr">
        <is>
          <t>Bruce Starr for State Senate Committee</t>
        </is>
      </c>
      <c r="C8" s="13" t="inlineStr">
        <is>
          <t>2752</t>
        </is>
      </c>
      <c r="D8" s="13" t="inlineStr">
        <is>
          <t>Bruce Starr</t>
        </is>
      </c>
      <c r="E8" s="13" t="inlineStr">
        <is>
          <t>Republican</t>
        </is>
      </c>
      <c r="F8" s="13" t="inlineStr">
        <is>
          <t>2006-12-18</t>
        </is>
      </c>
      <c r="G8" s="13" t="inlineStr">
        <is>
          <t>2018-03-31</t>
        </is>
      </c>
      <c r="H8" s="13" t="n">
        <v>3</v>
      </c>
      <c r="I8" s="13" t="n">
        <v>3</v>
      </c>
      <c r="J8" s="13" t="n">
        <v>4</v>
      </c>
      <c r="K8" s="13" t="n">
        <v>5</v>
      </c>
      <c r="L8" s="13" t="n">
        <v>3</v>
      </c>
      <c r="M8" s="13" t="n">
        <v>7</v>
      </c>
      <c r="N8" s="13" t="n">
        <v>25</v>
      </c>
      <c r="O8" s="15" t="inlineStr">
        <is>
          <t>Candidate filed as a Republican.</t>
        </is>
      </c>
    </row>
    <row r="9">
      <c r="A9" s="13" t="inlineStr">
        <is>
          <t>Republican</t>
        </is>
      </c>
      <c r="B9" s="15" t="inlineStr">
        <is>
          <t>Friends of Allen Alley</t>
        </is>
      </c>
      <c r="C9" s="13" t="inlineStr">
        <is>
          <t>12878</t>
        </is>
      </c>
      <c r="D9" s="13" t="inlineStr">
        <is>
          <t>Allen H. Alley</t>
        </is>
      </c>
      <c r="E9" s="13" t="inlineStr">
        <is>
          <t>Republican</t>
        </is>
      </c>
      <c r="F9" s="13" t="inlineStr">
        <is>
          <t>2008-03-06</t>
        </is>
      </c>
      <c r="G9" s="13" t="inlineStr">
        <is>
          <t>2018-02-08</t>
        </is>
      </c>
      <c r="H9" s="13" t="n">
        <v>5</v>
      </c>
      <c r="I9" s="13" t="n">
        <v>3</v>
      </c>
      <c r="J9" s="13" t="n">
        <v>2</v>
      </c>
      <c r="K9" s="13" t="n">
        <v>3</v>
      </c>
      <c r="L9" s="13" t="n">
        <v>0</v>
      </c>
      <c r="M9" s="13" t="n">
        <v>8</v>
      </c>
      <c r="N9" s="13" t="n">
        <v>21</v>
      </c>
      <c r="O9" s="15" t="inlineStr">
        <is>
          <t>Candidate filed as a Republican.</t>
        </is>
      </c>
    </row>
    <row r="10">
      <c r="A10" s="13" t="inlineStr">
        <is>
          <t>Republican</t>
        </is>
      </c>
      <c r="B10" s="15" t="inlineStr">
        <is>
          <t>Citizens to Re-Elect Dennis Richardson</t>
        </is>
      </c>
      <c r="C10" s="13" t="inlineStr">
        <is>
          <t>4155</t>
        </is>
      </c>
      <c r="D10" s="13" t="inlineStr">
        <is>
          <t>Dennis M Richardson</t>
        </is>
      </c>
      <c r="E10" s="13" t="inlineStr">
        <is>
          <t>Republican</t>
        </is>
      </c>
      <c r="F10" s="13" t="inlineStr">
        <is>
          <t>2006-12-01</t>
        </is>
      </c>
      <c r="G10" s="13" t="inlineStr">
        <is>
          <t>2019-02-19</t>
        </is>
      </c>
      <c r="H10" s="13" t="n">
        <v>3</v>
      </c>
      <c r="I10" s="13" t="n">
        <v>3</v>
      </c>
      <c r="J10" s="13" t="n">
        <v>3</v>
      </c>
      <c r="K10" s="13" t="n">
        <v>2</v>
      </c>
      <c r="L10" s="13" t="n">
        <v>2</v>
      </c>
      <c r="M10" s="13" t="n">
        <v>5</v>
      </c>
      <c r="N10" s="13" t="n">
        <v>18</v>
      </c>
      <c r="O10" s="15" t="inlineStr">
        <is>
          <t>Candidate filed as a Republican.</t>
        </is>
      </c>
    </row>
    <row r="11">
      <c r="A11" s="13" t="inlineStr">
        <is>
          <t>Republican</t>
        </is>
      </c>
      <c r="B11" s="15" t="inlineStr">
        <is>
          <t>Friends of Chris Dudley</t>
        </is>
      </c>
      <c r="C11" s="13" t="inlineStr">
        <is>
          <t>13998</t>
        </is>
      </c>
      <c r="D11" s="13" t="inlineStr">
        <is>
          <t>Chris Dudley</t>
        </is>
      </c>
      <c r="E11" s="13" t="inlineStr">
        <is>
          <t>Republican</t>
        </is>
      </c>
      <c r="F11" s="13" t="inlineStr">
        <is>
          <t>2009-11-03</t>
        </is>
      </c>
      <c r="G11" s="13" t="inlineStr">
        <is>
          <t>2011-01-03</t>
        </is>
      </c>
      <c r="H11" s="13" t="n">
        <v>4</v>
      </c>
      <c r="I11" s="13" t="n">
        <v>2</v>
      </c>
      <c r="J11" s="13" t="n">
        <v>3</v>
      </c>
      <c r="K11" s="13" t="n">
        <v>3</v>
      </c>
      <c r="L11" s="13" t="n">
        <v>1</v>
      </c>
      <c r="M11" s="13" t="n">
        <v>5</v>
      </c>
      <c r="N11" s="13" t="n">
        <v>18</v>
      </c>
      <c r="O11" s="15" t="inlineStr">
        <is>
          <t>Candidate filed as a Republican.</t>
        </is>
      </c>
    </row>
    <row r="12">
      <c r="A12" s="13" t="inlineStr">
        <is>
          <t>Republican</t>
        </is>
      </c>
      <c r="B12" s="15" t="inlineStr">
        <is>
          <t>Dudley for Oregon</t>
        </is>
      </c>
      <c r="C12" s="13" t="inlineStr">
        <is>
          <t>24693</t>
        </is>
      </c>
      <c r="D12" s="13" t="inlineStr">
        <is>
          <t>Chris Dudley</t>
        </is>
      </c>
      <c r="E12" s="13" t="inlineStr">
        <is>
          <t>Republican</t>
        </is>
      </c>
      <c r="F12" s="13" t="inlineStr">
        <is>
          <t>2026-01-25</t>
        </is>
      </c>
      <c r="G12" s="13" t="inlineStr">
        <is>
          <t>2026-05-24</t>
        </is>
      </c>
      <c r="H12" s="13" t="n">
        <v>2</v>
      </c>
      <c r="I12" s="13" t="n">
        <v>1</v>
      </c>
      <c r="J12" s="13" t="n">
        <v>1</v>
      </c>
      <c r="K12" s="13" t="n">
        <v>2</v>
      </c>
      <c r="L12" s="13" t="n">
        <v>1</v>
      </c>
      <c r="M12" s="13" t="n">
        <v>8</v>
      </c>
      <c r="N12" s="13" t="n">
        <v>15</v>
      </c>
      <c r="O12" s="15" t="inlineStr">
        <is>
          <t>Candidate filed as a Republican.</t>
        </is>
      </c>
    </row>
    <row r="13">
      <c r="A13" s="13" t="inlineStr">
        <is>
          <t>Republican</t>
        </is>
      </c>
      <c r="B13" s="15" t="inlineStr">
        <is>
          <t>Bud Pierce for a Better Oregon</t>
        </is>
      </c>
      <c r="C13" s="13" t="inlineStr">
        <is>
          <t>17397</t>
        </is>
      </c>
      <c r="D13" s="13" t="inlineStr">
        <is>
          <t>William C Pierce</t>
        </is>
      </c>
      <c r="E13" s="13" t="inlineStr">
        <is>
          <t>Republican</t>
        </is>
      </c>
      <c r="F13" s="13" t="inlineStr">
        <is>
          <t>2015-04-26</t>
        </is>
      </c>
      <c r="G13" s="13" t="inlineStr">
        <is>
          <t>2018-03-01</t>
        </is>
      </c>
      <c r="H13" s="13" t="n">
        <v>3</v>
      </c>
      <c r="I13" s="13" t="n">
        <v>1</v>
      </c>
      <c r="J13" s="13" t="n">
        <v>2</v>
      </c>
      <c r="K13" s="13" t="n">
        <v>1</v>
      </c>
      <c r="L13" s="13" t="n">
        <v>3</v>
      </c>
      <c r="M13" s="13" t="n">
        <v>3</v>
      </c>
      <c r="N13" s="13" t="n">
        <v>13</v>
      </c>
      <c r="O13" s="15" t="inlineStr">
        <is>
          <t>Candidate filed as a Republican.</t>
        </is>
      </c>
    </row>
    <row r="14">
      <c r="A14" s="13" t="inlineStr">
        <is>
          <t>Republican</t>
        </is>
      </c>
      <c r="B14" s="15" t="inlineStr">
        <is>
          <t>Friends of Jeff Helfrich</t>
        </is>
      </c>
      <c r="C14" s="13" t="inlineStr">
        <is>
          <t>15984</t>
        </is>
      </c>
      <c r="D14" s="13" t="inlineStr">
        <is>
          <t>Jeff Helfrich</t>
        </is>
      </c>
      <c r="E14" s="13" t="inlineStr">
        <is>
          <t>Republican</t>
        </is>
      </c>
      <c r="F14" s="13" t="inlineStr">
        <is>
          <t>2012-10-06</t>
        </is>
      </c>
      <c r="G14" s="13" t="inlineStr">
        <is>
          <t>2026-10-12</t>
        </is>
      </c>
      <c r="H14" s="13" t="n">
        <v>1</v>
      </c>
      <c r="I14" s="13" t="n">
        <v>1</v>
      </c>
      <c r="J14" s="13" t="n">
        <v>3</v>
      </c>
      <c r="K14" s="13" t="n">
        <v>2</v>
      </c>
      <c r="L14" s="13" t="n">
        <v>2</v>
      </c>
      <c r="M14" s="13" t="n">
        <v>3</v>
      </c>
      <c r="N14" s="13" t="n">
        <v>12</v>
      </c>
      <c r="O14" s="15" t="inlineStr">
        <is>
          <t>Candidate filed as a Republican.</t>
        </is>
      </c>
    </row>
    <row r="15">
      <c r="A15" s="13" t="inlineStr">
        <is>
          <t>Republican</t>
        </is>
      </c>
      <c r="B15" s="15" t="inlineStr">
        <is>
          <t>Hicks for Senate</t>
        </is>
      </c>
      <c r="C15" s="13" t="inlineStr">
        <is>
          <t>24485</t>
        </is>
      </c>
      <c r="D15" s="13" t="inlineStr">
        <is>
          <t>Brad S Hicks</t>
        </is>
      </c>
      <c r="E15" s="13" t="inlineStr">
        <is>
          <t>Republican</t>
        </is>
      </c>
      <c r="F15" s="13" t="inlineStr">
        <is>
          <t>2025-10-16</t>
        </is>
      </c>
      <c r="G15" s="13" t="inlineStr">
        <is>
          <t>2026-10-16</t>
        </is>
      </c>
      <c r="H15" s="13" t="n">
        <v>3</v>
      </c>
      <c r="I15" s="13" t="n">
        <v>1</v>
      </c>
      <c r="J15" s="13" t="n">
        <v>2</v>
      </c>
      <c r="K15" s="13" t="n">
        <v>1</v>
      </c>
      <c r="L15" s="13" t="n">
        <v>0</v>
      </c>
      <c r="M15" s="13" t="n">
        <v>3</v>
      </c>
      <c r="N15" s="13" t="n">
        <v>10</v>
      </c>
      <c r="O15" s="15" t="inlineStr">
        <is>
          <t>Candidate filed as a Republican.</t>
        </is>
      </c>
    </row>
    <row r="16">
      <c r="A16" s="13" t="inlineStr">
        <is>
          <t>Republican</t>
        </is>
      </c>
      <c r="B16" s="15" t="inlineStr">
        <is>
          <t>Bring Balance to Salem PAC</t>
        </is>
      </c>
      <c r="C16" s="13" t="inlineStr">
        <is>
          <t>21717</t>
        </is>
      </c>
      <c r="D16" s="13" t="inlineStr"/>
      <c r="E16" s="13" t="inlineStr"/>
      <c r="F16" s="13" t="inlineStr">
        <is>
          <t>2024-02-05</t>
        </is>
      </c>
      <c r="G16" s="13" t="inlineStr">
        <is>
          <t>2026-10-07</t>
        </is>
      </c>
      <c r="H16" s="13" t="n">
        <v>1</v>
      </c>
      <c r="I16" s="13" t="n">
        <v>2</v>
      </c>
      <c r="J16" s="13" t="n">
        <v>0</v>
      </c>
      <c r="K16" s="13" t="n">
        <v>3</v>
      </c>
      <c r="L16" s="13" t="n">
        <v>0</v>
      </c>
      <c r="M16" s="13" t="n">
        <v>3</v>
      </c>
      <c r="N16" s="13" t="n">
        <v>9</v>
      </c>
      <c r="O16" s="15" t="inlineStr">
        <is>
          <t>Republican legislative PAC.</t>
        </is>
      </c>
    </row>
    <row r="17">
      <c r="A17" s="13" t="inlineStr">
        <is>
          <t>Republican</t>
        </is>
      </c>
      <c r="B17" s="15" t="inlineStr">
        <is>
          <t>Friends of Kim Thatcher</t>
        </is>
      </c>
      <c r="C17" s="13" t="inlineStr">
        <is>
          <t>4871</t>
        </is>
      </c>
      <c r="D17" s="13" t="inlineStr">
        <is>
          <t>Kim Thatcher</t>
        </is>
      </c>
      <c r="E17" s="13" t="inlineStr">
        <is>
          <t>Republican</t>
        </is>
      </c>
      <c r="F17" s="13" t="inlineStr">
        <is>
          <t>2006-11-27</t>
        </is>
      </c>
      <c r="G17" s="13" t="inlineStr">
        <is>
          <t>2026-10-12</t>
        </is>
      </c>
      <c r="H17" s="13" t="n">
        <v>1</v>
      </c>
      <c r="I17" s="13" t="n">
        <v>0</v>
      </c>
      <c r="J17" s="13" t="n">
        <v>2</v>
      </c>
      <c r="K17" s="13" t="n">
        <v>1</v>
      </c>
      <c r="L17" s="13" t="n">
        <v>1</v>
      </c>
      <c r="M17" s="13" t="n">
        <v>3</v>
      </c>
      <c r="N17" s="13" t="n">
        <v>8</v>
      </c>
      <c r="O17" s="15" t="inlineStr">
        <is>
          <t>Candidate filed as a Republican.</t>
        </is>
      </c>
    </row>
    <row r="18">
      <c r="A18" s="13" t="inlineStr">
        <is>
          <t>Republican</t>
        </is>
      </c>
      <c r="B18" s="15" t="inlineStr">
        <is>
          <t>The Leadership Fund</t>
        </is>
      </c>
      <c r="C18" s="13" t="inlineStr">
        <is>
          <t>2690</t>
        </is>
      </c>
      <c r="D18" s="13" t="inlineStr"/>
      <c r="E18" s="13" t="inlineStr"/>
      <c r="F18" s="13" t="inlineStr">
        <is>
          <t>2006-11-29</t>
        </is>
      </c>
      <c r="G18" s="13" t="inlineStr">
        <is>
          <t>2026-10-09</t>
        </is>
      </c>
      <c r="H18" s="13" t="n">
        <v>1</v>
      </c>
      <c r="I18" s="13" t="n">
        <v>0</v>
      </c>
      <c r="J18" s="13" t="n">
        <v>1</v>
      </c>
      <c r="K18" s="13" t="n">
        <v>1</v>
      </c>
      <c r="L18" s="13" t="n">
        <v>0</v>
      </c>
      <c r="M18" s="13" t="n">
        <v>5</v>
      </c>
      <c r="N18" s="13" t="n">
        <v>8</v>
      </c>
      <c r="O18" s="15" t="inlineStr">
        <is>
          <t>House Republican caucus committee (added Oct 18, 2026).</t>
        </is>
      </c>
    </row>
    <row r="19">
      <c r="A19" s="13" t="inlineStr">
        <is>
          <t>Republican</t>
        </is>
      </c>
      <c r="B19" s="15" t="inlineStr">
        <is>
          <t>Courtney Bangs PAC</t>
        </is>
      </c>
      <c r="C19" s="13" t="inlineStr">
        <is>
          <t>20246</t>
        </is>
      </c>
      <c r="D19" s="13" t="inlineStr">
        <is>
          <t>Courtney D Bangs</t>
        </is>
      </c>
      <c r="E19" s="13" t="inlineStr">
        <is>
          <t>Republican</t>
        </is>
      </c>
      <c r="F19" s="13" t="inlineStr">
        <is>
          <t>2019-11-22</t>
        </is>
      </c>
      <c r="G19" s="13" t="inlineStr">
        <is>
          <t>2026-10-11</t>
        </is>
      </c>
      <c r="H19" s="13" t="n">
        <v>2</v>
      </c>
      <c r="I19" s="13" t="n">
        <v>1</v>
      </c>
      <c r="J19" s="13" t="n">
        <v>2</v>
      </c>
      <c r="K19" s="13" t="n">
        <v>0</v>
      </c>
      <c r="L19" s="13" t="n">
        <v>0</v>
      </c>
      <c r="M19" s="13" t="n">
        <v>1</v>
      </c>
      <c r="N19" s="13" t="n">
        <v>6</v>
      </c>
      <c r="O19" s="15" t="inlineStr">
        <is>
          <t>Candidate filed as a Republican.</t>
        </is>
      </c>
    </row>
    <row r="20">
      <c r="A20" s="13" t="inlineStr">
        <is>
          <t>Republican</t>
        </is>
      </c>
      <c r="B20" s="15" t="inlineStr">
        <is>
          <t>Tim Knopp for State Senate</t>
        </is>
      </c>
      <c r="C20" s="13" t="inlineStr">
        <is>
          <t>15627</t>
        </is>
      </c>
      <c r="D20" s="13" t="inlineStr">
        <is>
          <t>Tim Knopp</t>
        </is>
      </c>
      <c r="E20" s="13" t="inlineStr">
        <is>
          <t>Republican</t>
        </is>
      </c>
      <c r="F20" s="13" t="inlineStr">
        <is>
          <t>2012-03-07</t>
        </is>
      </c>
      <c r="G20" s="13" t="inlineStr">
        <is>
          <t>2025-05-22</t>
        </is>
      </c>
      <c r="H20" s="13" t="n">
        <v>0</v>
      </c>
      <c r="I20" s="13" t="n">
        <v>0</v>
      </c>
      <c r="J20" s="13" t="n">
        <v>2</v>
      </c>
      <c r="K20" s="13" t="n">
        <v>1</v>
      </c>
      <c r="L20" s="13" t="n">
        <v>0</v>
      </c>
      <c r="M20" s="13" t="n">
        <v>1</v>
      </c>
      <c r="N20" s="13" t="n">
        <v>4</v>
      </c>
      <c r="O20" s="15" t="inlineStr">
        <is>
          <t>Candidate filed as a Republican.</t>
        </is>
      </c>
    </row>
    <row r="21">
      <c r="A21" s="13" t="inlineStr">
        <is>
          <t>Republican</t>
        </is>
      </c>
      <c r="B21" s="15" t="inlineStr">
        <is>
          <t>Committee to Elect Dennis Linthicum</t>
        </is>
      </c>
      <c r="C21" s="13" t="inlineStr">
        <is>
          <t>17895</t>
        </is>
      </c>
      <c r="D21" s="13" t="inlineStr">
        <is>
          <t>Dennis B Linthicum</t>
        </is>
      </c>
      <c r="E21" s="13" t="inlineStr">
        <is>
          <t>Republican</t>
        </is>
      </c>
      <c r="F21" s="13" t="inlineStr">
        <is>
          <t>2016-03-10</t>
        </is>
      </c>
      <c r="G21" s="13" t="inlineStr">
        <is>
          <t>2026-10-08</t>
        </is>
      </c>
      <c r="H21" s="13" t="n">
        <v>0</v>
      </c>
      <c r="I21" s="13" t="n">
        <v>0</v>
      </c>
      <c r="J21" s="13" t="n">
        <v>0</v>
      </c>
      <c r="K21" s="13" t="n">
        <v>1</v>
      </c>
      <c r="L21" s="13" t="n">
        <v>1</v>
      </c>
      <c r="M21" s="13" t="n">
        <v>1</v>
      </c>
      <c r="N21" s="13" t="n">
        <v>3</v>
      </c>
      <c r="O21" s="15" t="inlineStr">
        <is>
          <t>Candidate filed as a Republican.</t>
        </is>
      </c>
    </row>
    <row r="22">
      <c r="A22" s="13" t="inlineStr">
        <is>
          <t>Republican</t>
        </is>
      </c>
      <c r="B22" s="15" t="inlineStr">
        <is>
          <t>Friends of Anna Scharf</t>
        </is>
      </c>
      <c r="C22" s="13" t="inlineStr">
        <is>
          <t>21575</t>
        </is>
      </c>
      <c r="D22" s="13" t="inlineStr">
        <is>
          <t>Anna Scharf</t>
        </is>
      </c>
      <c r="E22" s="13" t="inlineStr">
        <is>
          <t>Republican</t>
        </is>
      </c>
      <c r="F22" s="13" t="inlineStr">
        <is>
          <t>2021-07-15</t>
        </is>
      </c>
      <c r="G22" s="13" t="inlineStr">
        <is>
          <t>2026-10-15</t>
        </is>
      </c>
      <c r="H22" s="13" t="n">
        <v>1</v>
      </c>
      <c r="I22" s="13" t="n">
        <v>0</v>
      </c>
      <c r="J22" s="13" t="n">
        <v>1</v>
      </c>
      <c r="K22" s="13" t="n">
        <v>0</v>
      </c>
      <c r="L22" s="13" t="n">
        <v>0</v>
      </c>
      <c r="M22" s="13" t="n">
        <v>1</v>
      </c>
      <c r="N22" s="13" t="n">
        <v>3</v>
      </c>
      <c r="O22" s="15" t="inlineStr">
        <is>
          <t>Candidate filed as a Republican.</t>
        </is>
      </c>
    </row>
    <row r="23">
      <c r="A23" s="13" t="inlineStr">
        <is>
          <t>Republican</t>
        </is>
      </c>
      <c r="B23" s="15" t="inlineStr">
        <is>
          <t>Multnomah County Republican Central Committee</t>
        </is>
      </c>
      <c r="C23" s="13" t="inlineStr">
        <is>
          <t>21594</t>
        </is>
      </c>
      <c r="D23" s="13" t="inlineStr"/>
      <c r="E23" s="13" t="inlineStr">
        <is>
          <t>Republican</t>
        </is>
      </c>
      <c r="F23" s="13" t="inlineStr">
        <is>
          <t>2021-08-04</t>
        </is>
      </c>
      <c r="G23" s="13" t="inlineStr">
        <is>
          <t>2026-10-05</t>
        </is>
      </c>
      <c r="H23" s="13" t="n">
        <v>0</v>
      </c>
      <c r="I23" s="13" t="n">
        <v>0</v>
      </c>
      <c r="J23" s="13" t="n">
        <v>0</v>
      </c>
      <c r="K23" s="13" t="n">
        <v>1</v>
      </c>
      <c r="L23" s="13" t="n">
        <v>1</v>
      </c>
      <c r="M23" s="13" t="n">
        <v>0</v>
      </c>
      <c r="N23" s="13" t="n">
        <v>2</v>
      </c>
      <c r="O23" s="15" t="inlineStr">
        <is>
          <t>Republican party committee (added Oct 18, 2026).</t>
        </is>
      </c>
    </row>
    <row r="24">
      <c r="A24" s="13" t="inlineStr">
        <is>
          <t>Republican</t>
        </is>
      </c>
      <c r="B24" s="15" t="inlineStr">
        <is>
          <t>Oregon Republican Party</t>
        </is>
      </c>
      <c r="C24" s="13" t="inlineStr">
        <is>
          <t>379</t>
        </is>
      </c>
      <c r="D24" s="13" t="inlineStr"/>
      <c r="E24" s="13" t="inlineStr"/>
      <c r="F24" s="13" t="inlineStr">
        <is>
          <t>2024-02-05</t>
        </is>
      </c>
      <c r="G24" s="13" t="inlineStr">
        <is>
          <t>2026-10-09</t>
        </is>
      </c>
      <c r="H24" s="13" t="n">
        <v>0</v>
      </c>
      <c r="I24" s="13" t="n">
        <v>0</v>
      </c>
      <c r="J24" s="13" t="n">
        <v>0</v>
      </c>
      <c r="K24" s="13" t="n">
        <v>0</v>
      </c>
      <c r="L24" s="13" t="n">
        <v>2</v>
      </c>
      <c r="M24" s="13" t="n">
        <v>0</v>
      </c>
      <c r="N24" s="13" t="n">
        <v>2</v>
      </c>
      <c r="O24" s="15" t="inlineStr">
        <is>
          <t>State Republican Party.</t>
        </is>
      </c>
    </row>
    <row r="25">
      <c r="A25" s="13" t="inlineStr">
        <is>
          <t>Republican</t>
        </is>
      </c>
      <c r="B25" s="15" t="inlineStr">
        <is>
          <t>Evergreen Oregon PAC</t>
        </is>
      </c>
      <c r="C25" s="13" t="inlineStr">
        <is>
          <t>20202</t>
        </is>
      </c>
      <c r="D25" s="13" t="inlineStr"/>
      <c r="E25" s="13" t="inlineStr"/>
      <c r="F25" s="13" t="inlineStr">
        <is>
          <t>2019-10-27</t>
        </is>
      </c>
      <c r="G25" s="13" t="inlineStr">
        <is>
          <t>2023-10-02</t>
        </is>
      </c>
      <c r="H25" s="13" t="n">
        <v>1</v>
      </c>
      <c r="I25" s="13" t="n">
        <v>0</v>
      </c>
      <c r="J25" s="13" t="n">
        <v>0</v>
      </c>
      <c r="K25" s="13" t="n">
        <v>0</v>
      </c>
      <c r="L25" s="13" t="n">
        <v>0</v>
      </c>
      <c r="M25" s="13" t="n">
        <v>0</v>
      </c>
      <c r="N25" s="13" t="n">
        <v>1</v>
      </c>
      <c r="O25" s="15" t="inlineStr">
        <is>
          <t>House Republican caucus PAC (added Oct 18, 2026).</t>
        </is>
      </c>
    </row>
    <row r="26">
      <c r="A26" s="13" t="inlineStr">
        <is>
          <t>Republican</t>
        </is>
      </c>
      <c r="B26" s="15" t="inlineStr">
        <is>
          <t>Boquist Leadership Fund</t>
        </is>
      </c>
      <c r="C26" s="13" t="inlineStr">
        <is>
          <t>4893</t>
        </is>
      </c>
      <c r="D26" s="13" t="inlineStr">
        <is>
          <t>Brian J. Boquist</t>
        </is>
      </c>
      <c r="E26" s="13" t="inlineStr">
        <is>
          <t>Republican</t>
        </is>
      </c>
      <c r="F26" s="13" t="inlineStr">
        <is>
          <t>2006-11-27</t>
        </is>
      </c>
      <c r="G26" s="13" t="inlineStr">
        <is>
          <t>2024-11-14</t>
        </is>
      </c>
      <c r="H26" s="13" t="n">
        <v>0</v>
      </c>
      <c r="I26" s="13" t="n">
        <v>0</v>
      </c>
      <c r="J26" s="13" t="n">
        <v>0</v>
      </c>
      <c r="K26" s="13" t="n">
        <v>0</v>
      </c>
      <c r="L26" s="13" t="n">
        <v>0</v>
      </c>
      <c r="M26" s="13" t="n">
        <v>0</v>
      </c>
      <c r="N26" s="13" t="n">
        <v>0</v>
      </c>
      <c r="O26" s="15" t="inlineStr">
        <is>
          <t>Boquist was registered Independent 2021-2023; gifts in those years are not counted as Republican.</t>
        </is>
      </c>
    </row>
    <row r="27">
      <c r="A27" s="13" t="inlineStr">
        <is>
          <t>Republican</t>
        </is>
      </c>
      <c r="B27" s="15" t="inlineStr">
        <is>
          <t>Clackamas County Republican Party</t>
        </is>
      </c>
      <c r="C27" s="13" t="inlineStr">
        <is>
          <t>294</t>
        </is>
      </c>
      <c r="D27" s="13" t="inlineStr"/>
      <c r="E27" s="13" t="inlineStr">
        <is>
          <t>Republican</t>
        </is>
      </c>
      <c r="F27" s="13" t="inlineStr">
        <is>
          <t>2007-02-01</t>
        </is>
      </c>
      <c r="G27" s="13" t="inlineStr">
        <is>
          <t>2026-10-09</t>
        </is>
      </c>
      <c r="H27" s="13" t="n">
        <v>0</v>
      </c>
      <c r="I27" s="13" t="n">
        <v>0</v>
      </c>
      <c r="J27" s="13" t="n">
        <v>0</v>
      </c>
      <c r="K27" s="13" t="n">
        <v>0</v>
      </c>
      <c r="L27" s="13" t="n">
        <v>0</v>
      </c>
      <c r="M27" s="13" t="n">
        <v>0</v>
      </c>
      <c r="N27" s="13" t="n">
        <v>0</v>
      </c>
      <c r="O27" s="15" t="inlineStr">
        <is>
          <t>Republican party committee (added Oct 18, 2026).</t>
        </is>
      </c>
    </row>
    <row r="28">
      <c r="A28" s="13" t="inlineStr">
        <is>
          <t>Republican</t>
        </is>
      </c>
      <c r="B28" s="15" t="inlineStr">
        <is>
          <t>Senate Republican Leadership Fund</t>
        </is>
      </c>
      <c r="C28" s="13" t="inlineStr">
        <is>
          <t>20381</t>
        </is>
      </c>
      <c r="D28" s="13" t="inlineStr"/>
      <c r="E28" s="13" t="inlineStr"/>
      <c r="F28" s="13" t="inlineStr">
        <is>
          <t>2020-01-27</t>
        </is>
      </c>
      <c r="G28" s="13" t="inlineStr">
        <is>
          <t>2020-05-06</t>
        </is>
      </c>
      <c r="H28" s="13" t="n">
        <v>0</v>
      </c>
      <c r="I28" s="13" t="n">
        <v>0</v>
      </c>
      <c r="J28" s="13" t="n">
        <v>0</v>
      </c>
      <c r="K28" s="13" t="n">
        <v>0</v>
      </c>
      <c r="L28" s="13" t="n">
        <v>0</v>
      </c>
      <c r="M28" s="13" t="n">
        <v>0</v>
      </c>
      <c r="N28" s="13" t="n">
        <v>0</v>
      </c>
      <c r="O28" s="15" t="inlineStr">
        <is>
          <t>Senate Republican caucus committee (added Oct 18, 2026).</t>
        </is>
      </c>
    </row>
    <row r="29">
      <c r="A29" s="13" t="inlineStr">
        <is>
          <t>Republican</t>
        </is>
      </c>
      <c r="B29" s="15" t="inlineStr">
        <is>
          <t>Washington County Republican Central Committee</t>
        </is>
      </c>
      <c r="C29" s="13" t="inlineStr">
        <is>
          <t>349</t>
        </is>
      </c>
      <c r="D29" s="13" t="inlineStr"/>
      <c r="E29" s="13" t="inlineStr">
        <is>
          <t>Republican</t>
        </is>
      </c>
      <c r="F29" s="13" t="inlineStr">
        <is>
          <t>2006-11-27</t>
        </is>
      </c>
      <c r="G29" s="13" t="inlineStr">
        <is>
          <t>2026-10-05</t>
        </is>
      </c>
      <c r="H29" s="13" t="n">
        <v>0</v>
      </c>
      <c r="I29" s="13" t="n">
        <v>0</v>
      </c>
      <c r="J29" s="13" t="n">
        <v>0</v>
      </c>
      <c r="K29" s="13" t="n">
        <v>0</v>
      </c>
      <c r="L29" s="13" t="n">
        <v>0</v>
      </c>
      <c r="M29" s="13" t="n">
        <v>0</v>
      </c>
      <c r="N29" s="13" t="n">
        <v>0</v>
      </c>
      <c r="O29" s="15" t="inlineStr">
        <is>
          <t>Republican party committee (added Oct 18, 2026).</t>
        </is>
      </c>
    </row>
    <row r="30">
      <c r="A30" s="13" t="inlineStr">
        <is>
          <t>Portland conservative</t>
        </is>
      </c>
      <c r="B30" s="15" t="inlineStr">
        <is>
          <t>Friends of Rene Gonzalez</t>
        </is>
      </c>
      <c r="C30" s="13" t="inlineStr">
        <is>
          <t>21605</t>
        </is>
      </c>
      <c r="D30" s="13" t="inlineStr">
        <is>
          <t>Rene Gonzalez</t>
        </is>
      </c>
      <c r="E30" s="13" t="inlineStr"/>
      <c r="F30" s="13" t="inlineStr">
        <is>
          <t>2021-08-16</t>
        </is>
      </c>
      <c r="G30" s="13" t="inlineStr">
        <is>
          <t>2024-12-14</t>
        </is>
      </c>
      <c r="H30" s="13" t="n">
        <v>48</v>
      </c>
      <c r="I30" s="13" t="n">
        <v>31</v>
      </c>
      <c r="J30" s="13" t="n">
        <v>51</v>
      </c>
      <c r="K30" s="13" t="n">
        <v>71</v>
      </c>
      <c r="L30" s="13" t="n">
        <v>68</v>
      </c>
      <c r="M30" s="13" t="n">
        <v>87</v>
      </c>
      <c r="N30" s="13" t="n">
        <v>356</v>
      </c>
      <c r="O30" s="15" t="inlineStr">
        <is>
          <t>Original conservative-leaning nonpartisan race (team judgment). Also meets the overlap rule: none of the progressive councilors' donors match it.</t>
        </is>
      </c>
    </row>
    <row r="31">
      <c r="A31" s="13" t="inlineStr">
        <is>
          <t>Portland conservative</t>
        </is>
      </c>
      <c r="B31" s="15" t="inlineStr">
        <is>
          <t>Friends of Vadim</t>
        </is>
      </c>
      <c r="C31" s="13" t="inlineStr">
        <is>
          <t>21632</t>
        </is>
      </c>
      <c r="D31" s="13" t="inlineStr">
        <is>
          <t>Vadim Mozyrsky</t>
        </is>
      </c>
      <c r="E31" s="13" t="inlineStr">
        <is>
          <t>Nonpartisan</t>
        </is>
      </c>
      <c r="F31" s="13" t="inlineStr">
        <is>
          <t>2021-09-08</t>
        </is>
      </c>
      <c r="G31" s="13" t="inlineStr">
        <is>
          <t>2024-11-28</t>
        </is>
      </c>
      <c r="H31" s="13" t="n">
        <v>43</v>
      </c>
      <c r="I31" s="13" t="n">
        <v>32</v>
      </c>
      <c r="J31" s="13" t="n">
        <v>44</v>
      </c>
      <c r="K31" s="13" t="n">
        <v>61</v>
      </c>
      <c r="L31" s="13" t="n">
        <v>46</v>
      </c>
      <c r="M31" s="13" t="n">
        <v>91</v>
      </c>
      <c r="N31" s="13" t="n">
        <v>317</v>
      </c>
      <c r="O31" s="15" t="inlineStr">
        <is>
          <t>Original conservative-leaning nonpartisan race (team judgment). Also meets the overlap rule: none of the progressive councilors' donors match it.</t>
        </is>
      </c>
    </row>
    <row r="32">
      <c r="A32" s="13" t="inlineStr">
        <is>
          <t>Portland conservative</t>
        </is>
      </c>
      <c r="B32" s="15" t="inlineStr">
        <is>
          <t>Friends of Sam Adams</t>
        </is>
      </c>
      <c r="C32" s="13" t="inlineStr">
        <is>
          <t>20340</t>
        </is>
      </c>
      <c r="D32" s="13" t="inlineStr">
        <is>
          <t>Sam Adams</t>
        </is>
      </c>
      <c r="E32" s="13" t="inlineStr">
        <is>
          <t>Nonpartisan</t>
        </is>
      </c>
      <c r="F32" s="13" t="inlineStr">
        <is>
          <t>2020-01-14</t>
        </is>
      </c>
      <c r="G32" s="13" t="inlineStr">
        <is>
          <t>2026-03-10</t>
        </is>
      </c>
      <c r="H32" s="13" t="n">
        <v>20</v>
      </c>
      <c r="I32" s="13" t="n">
        <v>36</v>
      </c>
      <c r="J32" s="13" t="n">
        <v>34</v>
      </c>
      <c r="K32" s="13" t="n">
        <v>42</v>
      </c>
      <c r="L32" s="13" t="n">
        <v>18</v>
      </c>
      <c r="M32" s="13" t="n">
        <v>78</v>
      </c>
      <c r="N32" s="13" t="n">
        <v>228</v>
      </c>
      <c r="O32" s="15" t="inlineStr">
        <is>
          <t>Passed the overlap test Oct 18, 2026: at least 3% of the slate's donors gave to it and none of the progressive councilors' donors did.</t>
        </is>
      </c>
    </row>
    <row r="33">
      <c r="A33" s="13" t="inlineStr">
        <is>
          <t>Portland conservative</t>
        </is>
      </c>
      <c r="B33" s="15" t="inlineStr">
        <is>
          <t>Vote Vasquez</t>
        </is>
      </c>
      <c r="C33" s="13" t="inlineStr">
        <is>
          <t>23012</t>
        </is>
      </c>
      <c r="D33" s="13" t="inlineStr">
        <is>
          <t>Nathan Vasquez</t>
        </is>
      </c>
      <c r="E33" s="13" t="inlineStr">
        <is>
          <t>Nonpartisan</t>
        </is>
      </c>
      <c r="F33" s="13" t="inlineStr">
        <is>
          <t>2023-05-19</t>
        </is>
      </c>
      <c r="G33" s="13" t="inlineStr">
        <is>
          <t>2026-10-07</t>
        </is>
      </c>
      <c r="H33" s="13" t="n">
        <v>30</v>
      </c>
      <c r="I33" s="13" t="n">
        <v>19</v>
      </c>
      <c r="J33" s="13" t="n">
        <v>27</v>
      </c>
      <c r="K33" s="13" t="n">
        <v>38</v>
      </c>
      <c r="L33" s="13" t="n">
        <v>41</v>
      </c>
      <c r="M33" s="13" t="n">
        <v>60</v>
      </c>
      <c r="N33" s="13" t="n">
        <v>215</v>
      </c>
      <c r="O33" s="15" t="inlineStr">
        <is>
          <t>Original conservative-leaning nonpartisan race (team judgment). Also meets the overlap rule: none of the progressive councilors' donors match it.</t>
        </is>
      </c>
    </row>
    <row r="34">
      <c r="A34" s="13" t="inlineStr">
        <is>
          <t>Portland conservative</t>
        </is>
      </c>
      <c r="B34" s="15" t="inlineStr">
        <is>
          <t>Friends of Pam Treece</t>
        </is>
      </c>
      <c r="C34" s="13" t="inlineStr">
        <is>
          <t>18397</t>
        </is>
      </c>
      <c r="D34" s="13" t="inlineStr">
        <is>
          <t>Pam Treece</t>
        </is>
      </c>
      <c r="E34" s="13" t="inlineStr">
        <is>
          <t>Nonpartisan</t>
        </is>
      </c>
      <c r="F34" s="13" t="inlineStr">
        <is>
          <t>2017-05-01</t>
        </is>
      </c>
      <c r="G34" s="13" t="inlineStr">
        <is>
          <t>2026-10-16</t>
        </is>
      </c>
      <c r="H34" s="13" t="n">
        <v>12</v>
      </c>
      <c r="I34" s="13" t="n">
        <v>16</v>
      </c>
      <c r="J34" s="13" t="n">
        <v>23</v>
      </c>
      <c r="K34" s="13" t="n">
        <v>21</v>
      </c>
      <c r="L34" s="13" t="n">
        <v>5</v>
      </c>
      <c r="M34" s="13" t="n">
        <v>32</v>
      </c>
      <c r="N34" s="13" t="n">
        <v>109</v>
      </c>
      <c r="O34" s="15" t="inlineStr">
        <is>
          <t>Passed the overlap test Oct 18, 2026: at least 3% of the slate's donors gave to it and none of the progressive councilors' donors did.</t>
        </is>
      </c>
    </row>
    <row r="35">
      <c r="A35" s="13" t="inlineStr">
        <is>
          <t>Portland conservative</t>
        </is>
      </c>
      <c r="B35" s="15" t="inlineStr">
        <is>
          <t>Portland Accountability PAC</t>
        </is>
      </c>
      <c r="C35" s="13" t="inlineStr">
        <is>
          <t>22544</t>
        </is>
      </c>
      <c r="D35" s="13" t="inlineStr"/>
      <c r="E35" s="13" t="inlineStr"/>
      <c r="F35" s="13" t="inlineStr">
        <is>
          <t>2022-10-04</t>
        </is>
      </c>
      <c r="G35" s="13" t="inlineStr">
        <is>
          <t>2023-05-01</t>
        </is>
      </c>
      <c r="H35" s="13" t="n">
        <v>10</v>
      </c>
      <c r="I35" s="13" t="n">
        <v>13</v>
      </c>
      <c r="J35" s="13" t="n">
        <v>14</v>
      </c>
      <c r="K35" s="13" t="n">
        <v>15</v>
      </c>
      <c r="L35" s="13" t="n">
        <v>6</v>
      </c>
      <c r="M35" s="13" t="n">
        <v>24</v>
      </c>
      <c r="N35" s="13" t="n">
        <v>82</v>
      </c>
      <c r="O35" s="15" t="inlineStr">
        <is>
          <t>2022 PAC backing Rene Gonzalez. Passed the overlap test Oct 18, 2026: at least 3% of the slate's donors gave to it and none of the progressive councilors' donors did.</t>
        </is>
      </c>
    </row>
    <row r="36">
      <c r="A36" s="13" t="inlineStr">
        <is>
          <t>Excluded</t>
        </is>
      </c>
      <c r="B36" s="15" t="inlineStr">
        <is>
          <t>Committee to Elect Loretta Smith</t>
        </is>
      </c>
      <c r="C36" s="13" t="inlineStr">
        <is>
          <t>14377</t>
        </is>
      </c>
      <c r="D36" s="13" t="inlineStr">
        <is>
          <t>Loretta J. Smith</t>
        </is>
      </c>
      <c r="E36" s="13" t="inlineStr">
        <is>
          <t>Nonpartisan</t>
        </is>
      </c>
      <c r="F36" s="13" t="inlineStr">
        <is>
          <t>2010-03-12</t>
        </is>
      </c>
      <c r="G36" s="13" t="inlineStr">
        <is>
          <t>2026-09-25</t>
        </is>
      </c>
      <c r="H36" s="13" t="inlineStr"/>
      <c r="I36" s="13" t="inlineStr"/>
      <c r="J36" s="13" t="inlineStr"/>
      <c r="K36" s="13" t="inlineStr"/>
      <c r="L36" s="13" t="inlineStr"/>
      <c r="M36" s="13" t="inlineStr"/>
      <c r="N36" s="13" t="inlineStr"/>
      <c r="O36" s="15" t="inlineStr">
        <is>
          <t>Excluded Oct 18, 2026: 3 of Shannon Singleton's donors also gave to her.</t>
        </is>
      </c>
    </row>
    <row r="37">
      <c r="A37" s="13" t="inlineStr">
        <is>
          <t>Excluded</t>
        </is>
      </c>
      <c r="B37" s="15" t="inlineStr">
        <is>
          <t>Dan Ryan for Portland</t>
        </is>
      </c>
      <c r="C37" s="13" t="inlineStr">
        <is>
          <t>20344</t>
        </is>
      </c>
      <c r="D37" s="13" t="inlineStr">
        <is>
          <t>Dan Ryan</t>
        </is>
      </c>
      <c r="E37" s="13" t="inlineStr">
        <is>
          <t>Nonpartisan</t>
        </is>
      </c>
      <c r="F37" s="13" t="inlineStr">
        <is>
          <t>2020-01-17</t>
        </is>
      </c>
      <c r="G37" s="13" t="inlineStr">
        <is>
          <t>2025-10-05</t>
        </is>
      </c>
      <c r="H37" s="13" t="inlineStr"/>
      <c r="I37" s="13" t="inlineStr"/>
      <c r="J37" s="13" t="inlineStr"/>
      <c r="K37" s="13" t="inlineStr"/>
      <c r="L37" s="13" t="inlineStr"/>
      <c r="M37" s="13" t="inlineStr"/>
      <c r="N37" s="13" t="inlineStr"/>
      <c r="O37" s="15" t="inlineStr">
        <is>
          <t>Excluded Oct 18, 2026: failed the overlap test (3 progressive-councilor donors gave to it).</t>
        </is>
      </c>
    </row>
    <row r="38">
      <c r="A38" s="13" t="inlineStr">
        <is>
          <t>Excluded</t>
        </is>
      </c>
      <c r="B38" s="15" t="inlineStr">
        <is>
          <t>Friends of Mingus Mapps</t>
        </is>
      </c>
      <c r="C38" s="13" t="inlineStr">
        <is>
          <t>20023</t>
        </is>
      </c>
      <c r="D38" s="13" t="inlineStr">
        <is>
          <t>Mingus Mapps</t>
        </is>
      </c>
      <c r="E38" s="13" t="inlineStr">
        <is>
          <t>Nonpartisan</t>
        </is>
      </c>
      <c r="F38" s="13" t="inlineStr">
        <is>
          <t>2019-08-31</t>
        </is>
      </c>
      <c r="G38" s="13" t="inlineStr">
        <is>
          <t>2025-08-22</t>
        </is>
      </c>
      <c r="H38" s="13" t="inlineStr"/>
      <c r="I38" s="13" t="inlineStr"/>
      <c r="J38" s="13" t="inlineStr"/>
      <c r="K38" s="13" t="inlineStr"/>
      <c r="L38" s="13" t="inlineStr"/>
      <c r="M38" s="13" t="inlineStr"/>
      <c r="N38" s="13" t="inlineStr"/>
      <c r="O38" s="15" t="inlineStr">
        <is>
          <t>Excluded Oct 18, 2026: failed the overlap test (3 progressive-councilor donors gave to it).</t>
        </is>
      </c>
    </row>
    <row r="39">
      <c r="A39" s="13" t="inlineStr">
        <is>
          <t>Excluded</t>
        </is>
      </c>
      <c r="B39" s="15" t="inlineStr">
        <is>
          <t>Friends of Sharon Meieran</t>
        </is>
      </c>
      <c r="C39" s="13" t="inlineStr">
        <is>
          <t>15132</t>
        </is>
      </c>
      <c r="D39" s="13" t="inlineStr">
        <is>
          <t>Sharon E Meieran</t>
        </is>
      </c>
      <c r="E39" s="13" t="inlineStr">
        <is>
          <t>Nonpartisan</t>
        </is>
      </c>
      <c r="F39" s="13" t="inlineStr">
        <is>
          <t>2011-07-18</t>
        </is>
      </c>
      <c r="G39" s="13" t="inlineStr">
        <is>
          <t>2026-10-09</t>
        </is>
      </c>
      <c r="H39" s="13" t="inlineStr"/>
      <c r="I39" s="13" t="inlineStr"/>
      <c r="J39" s="13" t="inlineStr"/>
      <c r="K39" s="13" t="inlineStr"/>
      <c r="L39" s="13" t="inlineStr"/>
      <c r="M39" s="13" t="inlineStr"/>
      <c r="N39" s="13" t="inlineStr"/>
      <c r="O39" s="15" t="inlineStr">
        <is>
          <t>Excluded Oct 18, 2026: failed the overlap test (3 progressive-councilor donors gave to it).</t>
        </is>
      </c>
    </row>
    <row r="40">
      <c r="A40" s="13" t="inlineStr">
        <is>
          <t>Excluded</t>
        </is>
      </c>
      <c r="B40" s="15" t="inlineStr">
        <is>
          <t>Friends of Tootie Smith</t>
        </is>
      </c>
      <c r="C40" s="13" t="inlineStr">
        <is>
          <t>20016</t>
        </is>
      </c>
      <c r="D40" s="13" t="inlineStr">
        <is>
          <t>Tootie Smith</t>
        </is>
      </c>
      <c r="E40" s="13" t="inlineStr">
        <is>
          <t>Nonpartisan</t>
        </is>
      </c>
      <c r="F40" s="13" t="inlineStr">
        <is>
          <t>2019-07-02</t>
        </is>
      </c>
      <c r="G40" s="13" t="inlineStr">
        <is>
          <t>2024-12-16</t>
        </is>
      </c>
      <c r="H40" s="13" t="inlineStr"/>
      <c r="I40" s="13" t="inlineStr"/>
      <c r="J40" s="13" t="inlineStr"/>
      <c r="K40" s="13" t="inlineStr"/>
      <c r="L40" s="13" t="inlineStr"/>
      <c r="M40" s="13" t="inlineStr"/>
      <c r="N40" s="13" t="inlineStr"/>
      <c r="O40" s="15" t="inlineStr">
        <is>
          <t>Excluded Oct 18, 2026: filed nonpartisan, so not Republican under the party-as-filed rule; outside Portland, so not tested as a Portland conservative.</t>
        </is>
      </c>
    </row>
    <row r="41">
      <c r="A41" s="13" t="inlineStr">
        <is>
          <t>Excluded</t>
        </is>
      </c>
      <c r="B41" s="15" t="inlineStr">
        <is>
          <t>Go Portland Go</t>
        </is>
      </c>
      <c r="C41" s="13" t="inlineStr">
        <is>
          <t>24993</t>
        </is>
      </c>
      <c r="D41" s="13" t="inlineStr"/>
      <c r="E41" s="13" t="inlineStr"/>
      <c r="F41" s="13" t="inlineStr">
        <is>
          <t>2026-04-19</t>
        </is>
      </c>
      <c r="G41" s="13" t="inlineStr">
        <is>
          <t>2026-10-09</t>
        </is>
      </c>
      <c r="H41" s="13" t="inlineStr"/>
      <c r="I41" s="13" t="inlineStr"/>
      <c r="J41" s="13" t="inlineStr"/>
      <c r="K41" s="13" t="inlineStr"/>
      <c r="L41" s="13" t="inlineStr"/>
      <c r="M41" s="13" t="inlineStr"/>
      <c r="N41" s="13" t="inlineStr"/>
      <c r="O41" s="15" t="inlineStr">
        <is>
          <t>Excluded Oct 18, 2026: circular. It backs the slate.</t>
        </is>
      </c>
    </row>
    <row r="42">
      <c r="A42" s="13" t="inlineStr">
        <is>
          <t>Excluded</t>
        </is>
      </c>
      <c r="B42" s="15" t="inlineStr">
        <is>
          <t>Jessie Burke's Positivity PAC</t>
        </is>
      </c>
      <c r="C42" s="13" t="inlineStr">
        <is>
          <t>23326</t>
        </is>
      </c>
      <c r="D42" s="13" t="inlineStr">
        <is>
          <t>Jessie Burke</t>
        </is>
      </c>
      <c r="E42" s="13" t="inlineStr">
        <is>
          <t>Nonpartisan</t>
        </is>
      </c>
      <c r="F42" s="13" t="inlineStr">
        <is>
          <t>2023-12-29</t>
        </is>
      </c>
      <c r="G42" s="13" t="inlineStr">
        <is>
          <t>2024-11-09</t>
        </is>
      </c>
      <c r="H42" s="13" t="inlineStr"/>
      <c r="I42" s="13" t="inlineStr"/>
      <c r="J42" s="13" t="inlineStr"/>
      <c r="K42" s="13" t="inlineStr"/>
      <c r="L42" s="13" t="inlineStr"/>
      <c r="M42" s="13" t="inlineStr"/>
      <c r="N42" s="13" t="inlineStr"/>
      <c r="O42" s="15" t="inlineStr">
        <is>
          <t>Excluded Oct 18, 2026: may have backed slate candidates (circular).</t>
        </is>
      </c>
    </row>
    <row r="43">
      <c r="A43" s="13" t="inlineStr">
        <is>
          <t>Excluded</t>
        </is>
      </c>
      <c r="B43" s="15" t="inlineStr">
        <is>
          <t>Keith Wilson for Mayor</t>
        </is>
      </c>
      <c r="C43" s="13" t="inlineStr">
        <is>
          <t>23349</t>
        </is>
      </c>
      <c r="D43" s="13" t="inlineStr">
        <is>
          <t>Keith Wilson</t>
        </is>
      </c>
      <c r="E43" s="13" t="inlineStr">
        <is>
          <t>Nonpartisan</t>
        </is>
      </c>
      <c r="F43" s="13" t="inlineStr">
        <is>
          <t>2024-02-09</t>
        </is>
      </c>
      <c r="G43" s="13" t="inlineStr">
        <is>
          <t>2026-09-10</t>
        </is>
      </c>
      <c r="H43" s="13" t="inlineStr"/>
      <c r="I43" s="13" t="inlineStr"/>
      <c r="J43" s="13" t="inlineStr"/>
      <c r="K43" s="13" t="inlineStr"/>
      <c r="L43" s="13" t="inlineStr"/>
      <c r="M43" s="13" t="inlineStr"/>
      <c r="N43" s="13" t="inlineStr"/>
      <c r="O43" s="15" t="inlineStr">
        <is>
          <t>Excluded Oct 18, 2026: weakest signal (2.7% of his own donors gave to Republicans), overlaps progressive councilors' donors, and he endorses a slate candidate.</t>
        </is>
      </c>
    </row>
  </sheetData>
  <mergeCells count="1">
    <mergeCell ref="A1:H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2026-10-20T06:40:22Z</dcterms:created>
  <dcterms:modified xmlns:dcterms="http://purl.org/dc/terms/" xmlns:xsi="http://www.w3.org/2001/XMLSchema-instance" xsi:type="dcterms:W3CDTF">2026-10-20T06:40:23Z</dcterms:modified>
</cp:coreProperties>
</file>