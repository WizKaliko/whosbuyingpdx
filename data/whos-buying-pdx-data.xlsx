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tables/table3.xml" ContentType="application/vnd.openxmlformats-officedocument.spreadsheetml.table+xml"/>
  <Override PartName="/xl/tables/table7.xml" ContentType="application/vnd.openxmlformats-officedocument.spreadsheetml.table+xml"/>
  <Override PartName="/xl/tables/table6.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4.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tart here" sheetId="1" state="visible" r:id="rId3"/>
    <sheet name="How we got each number" sheetId="2" state="visible" r:id="rId4"/>
    <sheet name="Why the numbers changed" sheetId="3" state="visible" r:id="rId5"/>
    <sheet name="How to check a row" sheetId="4" state="visible" r:id="rId6"/>
    <sheet name="Words we use" sheetId="5" state="visible" r:id="rId7"/>
    <sheet name="Candidates" sheetId="6" state="visible" r:id="rId8"/>
    <sheet name="Republican households" sheetId="7" state="visible" r:id="rId9"/>
    <sheet name="PC-only households" sheetId="8" state="visible" r:id="rId10"/>
    <sheet name="Candidate R matches" sheetId="9" state="visible" r:id="rId11"/>
    <sheet name="Candidate PC matches" sheetId="10" state="visible" r:id="rId12"/>
    <sheet name="Gifts" sheetId="11" state="visible" r:id="rId13"/>
    <sheet name="Committees"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<sst xmlns="http://schemas.openxmlformats.org/spreadsheetml/2006/main" count="12391" uniqueCount="3480">
  <si>
    <t xml:space="preserve">Who's Buying PDX: the data behind the numbers</t>
  </si>
  <si>
    <t xml:space="preserve">This workbook lets you check every donor number on whosbuyingpdx.com yourself. It starts with the six candidates' public filings and walks, one step at a time, to each number on the site.</t>
  </si>
  <si>
    <t xml:space="preserve">Built Oct 20, 2026 from Oregon ORESTAR campaign-finance exports pulled Oct 17–18, 2026. Independent citizen project.</t>
  </si>
  <si>
    <t xml:space="preserve">What we're measuring, in one sentence</t>
  </si>
  <si>
    <t xml:space="preserve">For six business-backed candidates, how many of their donors have also given to Republican campaigns (since 2006) or to a short list of other Portland conservative campaigns. The same test run on the three progressive councilors running against them finds none.</t>
  </si>
  <si>
    <t xml:space="preserve">Read these tabs in order</t>
  </si>
  <si>
    <t xml:space="preserve">1. How we got each number — the step-by-step math, from donor lists to 132 and 377</t>
  </si>
  <si>
    <t xml:space="preserve">2. Why the numbers changed — what we corrected on Oct 20, and why</t>
  </si>
  <si>
    <t xml:space="preserve">3. How to check a row — look up any gift yourself in ORESTAR</t>
  </si>
  <si>
    <t xml:space="preserve">4. Words we use — household, match, Likely, Portland conservative</t>
  </si>
  <si>
    <t xml:space="preserve">The data (every row is one record you can check):</t>
  </si>
  <si>
    <t xml:space="preserve">Candidates — donor counts and shares for all ten candidates</t>
  </si>
  <si>
    <t xml:space="preserve">Republican households (132) — one row per household</t>
  </si>
  <si>
    <t xml:space="preserve">Portland-conservative-only households (245) — one row per household</t>
  </si>
  <si>
    <t xml:space="preserve">Candidate × Republican matches (263) — one row per donor per candidate</t>
  </si>
  <si>
    <t xml:space="preserve">Candidate × Portland-conservative matches (458)</t>
  </si>
  <si>
    <t xml:space="preserve">Gifts (835) — every gift behind the Republican households, with its Transaction ID</t>
  </si>
  <si>
    <t xml:space="preserve">Committees (39) — what we compared against, and what we left out and why</t>
  </si>
  <si>
    <t xml:space="preserve">What's in here, and what isn't</t>
  </si>
  <si>
    <t xml:space="preserve">In: every gift's ORESTAR committee number (Filer Id) and Transaction ID, its date, which committees it went to, and how it matched. Amounts are rounded (to $250 under $1,000, otherwise to $1,000).</t>
  </si>
  <si>
    <t xml:space="preserve">Not in: donor names, street addresses or employers. Each household gets a code instead (H001, P001). These are all public records, so anyone can look up a Transaction ID and see the original filing. We just aren't publishing a ready-made list of names.</t>
  </si>
  <si>
    <t xml:space="preserve">How we got each number</t>
  </si>
  <si>
    <t xml:space="preserve">Each step below uses live formulas that count rows in the data tabs, so you can click a number and see where it comes from.</t>
  </si>
  <si>
    <t xml:space="preserve">Step 1. Start with each candidate's donors</t>
  </si>
  <si>
    <t xml:space="preserve">We take every individual (not a business, PAC or union) who gave each candidate more than $100 in total since Jan 1, 2023. Those are roughly the donors Oregon requires campaigns to name (Oregon's $100 line applies per year; we add up everything since 2023). Most gifts of $100 or less, including most Small Donor Elections gifts, are reported only as an unnamed total, so they can't be checked; the few small donors campaigns name anyway are left out too, so every candidate is measured the same way. One person who files under two forms of a name (Bob and Robert, at the same address) is one donor.</t>
  </si>
  <si>
    <t xml:space="preserve">Individual donors, all six business-backed candidates added together</t>
  </si>
  <si>
    <t xml:space="preserve">Torres 201, Novick 279, Clark 292, Zimmerman 254, Arnold 183, Brim-Edwards 468</t>
  </si>
  <si>
    <t xml:space="preserve">A person who gave to three of the six is on three lists here. We fix that in Step 4.</t>
  </si>
  <si>
    <t xml:space="preserve">Step 2. Check each donor against Republican campaigns</t>
  </si>
  <si>
    <t xml:space="preserve">For each donor, we look for gifts since 2006 to 25 Republican candidate, caucus and party committees (see the Committees tab). A Republican gift counts only if it's filed under the same person's name (the same first name, or a common nickname of it: Bob and Robert, Jim and James) AND its own filing matches the donor by the same street address or PO box (same ZIP or city), or by the same ZIP and the same specific employer. A matching name alone never counts, and a spouse's gift doesn't count for the other spouse.</t>
  </si>
  <si>
    <t xml:space="preserve">Donor-and-candidate pairs with a Republican match</t>
  </si>
  <si>
    <t xml:space="preserve">one row per donor per candidate</t>
  </si>
  <si>
    <t xml:space="preserve">   matched directly by address, PO box or ZIP + employer</t>
  </si>
  <si>
    <t xml:space="preserve">   linked through another filing (explained row by row)</t>
  </si>
  <si>
    <t xml:space="preserve">e.g. same employer at a home address on one gift and the office on the other</t>
  </si>
  <si>
    <t xml:space="preserve">Step 3. Then check the rest against Portland conservative campaigns</t>
  </si>
  <si>
    <t xml:space="preserve">Donors with no Republican match are checked against six local campaigns we call Portland conservative (Gonzalez, Vasquez, Mozyrsky, Adams, Treece, and a 2022 pro-Gonzalez PAC), using the same matching rules. Each donor counts once per candidate: Republican first, then Portland conservative.</t>
  </si>
  <si>
    <t xml:space="preserve">Donor-and-candidate pairs with a Portland-conservative match (and no Republican one)</t>
  </si>
  <si>
    <t xml:space="preserve">Total pairs (Republican + Portland conservative)</t>
  </si>
  <si>
    <t xml:space="preserve">These pairs give each candidate's share. Example: Zimmerman has 43 Republican + 90 Portland conservative = 133 of 254 donors = 52%. See the Candidates tab for all ten.</t>
  </si>
  <si>
    <t xml:space="preserve">Step 4. Count each household once (this is where 132 and 377 come from)</t>
  </si>
  <si>
    <t xml:space="preserve">The site's headline numbers count households, not donor-and-candidate pairs. A household is the donors with the same last name at the same home address or PO box. So a couple who both gave are one household, and a household that gave to four of the six candidates is counted once, not four times. One person who files from two addresses (home and office, a move, a typo) is also counted once. Relatives who only share a business address are not grouped: three brothers who give from their family company's office are three households.</t>
  </si>
  <si>
    <t xml:space="preserve">Pairs from Step 2 (Republican)</t>
  </si>
  <si>
    <t xml:space="preserve">   minus repeats where two people in one household are on the same candidate's list</t>
  </si>
  <si>
    <t xml:space="preserve">5 households have two members on the same candidate's donor list</t>
  </si>
  <si>
    <t xml:space="preserve">   = household-and-candidate pairs</t>
  </si>
  <si>
    <t xml:space="preserve">   minus repeats where one household gave to several of the six</t>
  </si>
  <si>
    <t xml:space="preserve">75 gave to one candidate, 21 gave to two, 16 gave to three, 9 gave to four, 9 gave to five, 2 gave to all six</t>
  </si>
  <si>
    <t xml:space="preserve">Republican households</t>
  </si>
  <si>
    <t xml:space="preserve">the 132 on the site</t>
  </si>
  <si>
    <t xml:space="preserve">Portland-conservative-only households (no Republican match for any of the six)</t>
  </si>
  <si>
    <t xml:space="preserve">458 pairs from Step 3, grouped the same way</t>
  </si>
  <si>
    <t xml:space="preserve">Households that gave to Republicans or Portland conservatives</t>
  </si>
  <si>
    <t xml:space="preserve">the site's headline number</t>
  </si>
  <si>
    <t xml:space="preserve">Other numbers on the site, counted from the Republican households tab:</t>
  </si>
  <si>
    <t xml:space="preserve">Gave to Christine Drazan</t>
  </si>
  <si>
    <t xml:space="preserve">Gave to a Republican campaign in 2024–2026</t>
  </si>
  <si>
    <t xml:space="preserve">Matched for two or more of the six candidates (a Republican match on each one's list)</t>
  </si>
  <si>
    <t xml:space="preserve">Rest only on a link through other filings (no direct address or ZIP + employer match)</t>
  </si>
  <si>
    <t xml:space="preserve">Step 5. The comparison</t>
  </si>
  <si>
    <t xml:space="preserve">We ran the exact same test on the donors of the three progressive councilors running against them (Morillo, Koyama Lane, Green): zero gave to Republicans or Portland conservatives. Shannon Singleton (County Chair, running against Brim-Edwards) has 2 of 154: 1 Republican (a donor who gave to Knute Buehler in 2018) and 1 Portland conservative. Their counts are on the Candidates tab.</t>
  </si>
  <si>
    <t xml:space="preserve">Why the numbers changed</t>
  </si>
  <si>
    <t xml:space="preserve">Before publishing this data, we had an independent check run on every row against the raw ORESTAR filings. It found that our matching had missed real matches, and that our donor counts included some donors under $100. We fixed both, re-ran everything and checked it again. Every candidate's share went up. Corrections are dated on the site's Receipts page.</t>
  </si>
  <si>
    <t xml:space="preserve">What we fixed on Oct 20, 2026</t>
  </si>
  <si>
    <t xml:space="preserve">• Nicknames. We had required the first name to be spelled the same on both filings, so the same person filing as "Bob" on one gift and "Robert" on another, from the same address, counted as two different people. Now a common nickname counts as the same first name, when the address or ZIP + employer also match. Names that can belong to men or women (Chris, Pat, Sam, Alex) still have to match exactly, so a husband's gift can't be counted for his wife.
• Employer names. An employer written with and without "Inc." or "LLC" now counts as the same employer.
• Counted twice. A few people were on one candidate's list twice under two forms of their name, or with an apostrophe in their last name written two ways. Each now counts once, so some candidates' donor totals went down slightly. (Names that can belong to a man or a woman, like Chris or Pat, are still kept apart unless spelled the same, so a handful of people may still be counted twice; that can only lower a share, never raise it.)
• Street numbers. "22 Pl" and "22nd Place" now count as the same street.
• Over $100. Our donor counts said "donors who gave over $100," but they also included some donors who gave $100 or less in total, whom a few campaigns name anyway. Now every count includes only donors over $100, as the site says. This lowers the donor totals, raises the shares, and drops a few small donors from the household counts.</t>
  </si>
  <si>
    <t xml:space="preserve">Households that gave to Republicans</t>
  </si>
  <si>
    <t xml:space="preserve">was 125</t>
  </si>
  <si>
    <t xml:space="preserve">now 132</t>
  </si>
  <si>
    <t xml:space="preserve">Up because donors whose Republican gifts were filed under a nickname, or with a slightly different employer name, now match; a few small donors dropped out under the over-$100 rule.</t>
  </si>
  <si>
    <t xml:space="preserve">was 390</t>
  </si>
  <si>
    <t xml:space="preserve">now 377</t>
  </si>
  <si>
    <t xml:space="preserve">132 Republican + 245 Portland conservative only. Down because the earlier count included donors who gave $100 or less; the nickname fix alone would have raised it.</t>
  </si>
  <si>
    <t xml:space="preserve">was 41</t>
  </si>
  <si>
    <t xml:space="preserve">now 48</t>
  </si>
  <si>
    <t xml:space="preserve">Several Drazan gifts were filed under a nickname or another form of the donor's name.</t>
  </si>
  <si>
    <t xml:space="preserve">Matched for two or more of the six</t>
  </si>
  <si>
    <t xml:space="preserve">was 53</t>
  </si>
  <si>
    <t xml:space="preserve">now 57</t>
  </si>
  <si>
    <t xml:space="preserve">Some donors now match for more of the candidates they gave to.</t>
  </si>
  <si>
    <t xml:space="preserve">was 246</t>
  </si>
  <si>
    <t xml:space="preserve">now 263</t>
  </si>
  <si>
    <t xml:space="preserve">236 direct, 27 linked through other filings.</t>
  </si>
  <si>
    <t xml:space="preserve">Candidate shares</t>
  </si>
  <si>
    <t xml:space="preserve">was —</t>
  </si>
  <si>
    <t xml:space="preserve">now see list</t>
  </si>
  <si>
    <t xml:space="preserve">Torres 42% → 45%; Novick 26% → 31%; Clark 35% → 37%; Zimmerman 49% → 52%; Arnold 45% → 49%; Brim-Edwards 42% → 46%. Progressive councilors: still zero.</t>
  </si>
  <si>
    <t xml:space="preserve">Earlier corrections (Oct 19)</t>
  </si>
  <si>
    <t xml:space="preserve">On Oct 19 we re-checked every Republican match one donor at a time: eight people seen at two addresses now count once, gifts from the same PO box now match, and one link with no filing behind it was dropped. That took the Republican households from 128 to 125.</t>
  </si>
  <si>
    <t xml:space="preserve">Earlier versions you may have seen</t>
  </si>
  <si>
    <t xml:space="preserve">An Oct 17 draft showed 340 households with Republican or local-conservative gifts. That was before we added three more Portland conservative committees (Adams, Treece, and the 2022 pro-Gonzalez PAC) and seven Republican caucus and county-party committees on Oct 18. Each committee added or left out is on the Committees tab with the reason.</t>
  </si>
  <si>
    <t xml:space="preserve">An earlier name-only matcher gave much higher counts. It matched people by name anywhere in Oregon. We threw that method out; nothing in this workbook rests on a name alone.</t>
  </si>
  <si>
    <t xml:space="preserve">What we still can't see</t>
  </si>
  <si>
    <t xml:space="preserve">Our exports of three Republican committees don't go back to 2006: the Oregon Republican Party and Bring Balance to Salem start in 2024, and the Senate Republican Leadership Fund covers early 2020 only. Older gifts to them aren't checked, so the counts could be a little higher still.</t>
  </si>
  <si>
    <t xml:space="preserve">How to check a row yourself</t>
  </si>
  <si>
    <t xml:space="preserve">Every gift in this workbook is written as Filer Id:Transaction ID, for example 24897:5873439. The first number is the committee; the second is the gift.</t>
  </si>
  <si>
    <t xml:space="preserve">Look it up in ORESTAR</t>
  </si>
  <si>
    <t xml:space="preserve">1. Go to Oregon's campaign-finance search, ORESTAR (sos.oregon.gov → Elections → ORESTAR → search campaign finance transactions).</t>
  </si>
  <si>
    <t xml:space="preserve">2. Search the committee by its Filer Id, or by name (the Committees tab lists both).</t>
  </si>
  <si>
    <t xml:space="preserve">3. Narrow to the gift's date (the Gifts tab has it), then find the row with that Transaction ID. Exporting the results to Excel shows a Tran Id column.</t>
  </si>
  <si>
    <t xml:space="preserve">4. The filing shows the donor's name, address and employer, the same fields we matched on.</t>
  </si>
  <si>
    <t xml:space="preserve">5. Do the same for the candidate gift on that row. If the two filings share a street address or PO box (with the same ZIP or city), or a ZIP and a specific employer, it's a direct match.</t>
  </si>
  <si>
    <t xml:space="preserve">Worked example</t>
  </si>
  <si>
    <t xml:space="preserve">Household H012 gave to Olivia Clark, Julia Brim-Edwards. Its Republican gifts are listed as 13998:677176; 13998:761247; 13998:846517; 13998:911093; 15192:1615784; 15192:2145598; 19050:2761997
Look up one candidate gift (e.g. 21206:4536329) and one Republican gift. They match the way the Match basis column says: the same address or PO box, or the same ZIP and employer.</t>
  </si>
  <si>
    <t xml:space="preserve">Rows marked "Likely"</t>
  </si>
  <si>
    <t xml:space="preserve">A few links needed more than one filing: the same employer listed at a home address on one gift and the office on the other, or a third filing that ties two addresses together. Each one says why in the row, and lists the extra Transaction IDs we used. We count them, but we mark them so you can judge for yourself. 6 of the 132 Republican households rest only on links like these.</t>
  </si>
  <si>
    <t xml:space="preserve">Found a mistake?</t>
  </si>
  <si>
    <t xml:space="preserve">Tell us through the contact on whosbuyingpdx.com. Send the household code and the Transaction ID. If we got it wrong, we'll correct it on the Receipts page with the date.</t>
  </si>
  <si>
    <t xml:space="preserve">Words we use</t>
  </si>
  <si>
    <t xml:space="preserve">Donor</t>
  </si>
  <si>
    <t xml:space="preserve">An individual (not a business, PAC or union) who gave a candidate more than $100 in total since Jan 1, 2023: roughly the donors Oregon requires campaigns to name.</t>
  </si>
  <si>
    <t xml:space="preserve">Household</t>
  </si>
  <si>
    <t xml:space="preserve">Donors with the same last name at the same home address or PO box: usually a couple. A person who files from two addresses is counted once. Siblings or other relatives who only share a business address are separate households. Codes starting with H gave to Republicans; codes starting with P gave only to Portland conservatives.</t>
  </si>
  <si>
    <t xml:space="preserve">Pair</t>
  </si>
  <si>
    <t xml:space="preserve">One donor on one candidate's list. A household that gave to three candidates makes three pairs. Candidate percentages use pairs; the site's household totals use households.</t>
  </si>
  <si>
    <t xml:space="preserve">Republican campaign</t>
  </si>
  <si>
    <t xml:space="preserve">One of 25 committees that filed as Republican: candidates (Drazan, Buehler, Dudley and others), the Oregon Republican Party, county parties, and Republican legislative committees. Gifts back to 2006 where our exports reach (see Committees).</t>
  </si>
  <si>
    <t xml:space="preserve">Portland conservative</t>
  </si>
  <si>
    <t xml:space="preserve">Six local nonpartisan campaigns whose donors overlap the business-backed slate and none of the progressive councilors running against them: Rene Gonzalez, Nathan Vasquez, Vadim Mozyrsky, Sam Adams, Pam Treece, and Portland Accountability PAC (2022, pro-Gonzalez).</t>
  </si>
  <si>
    <t xml:space="preserve">Match</t>
  </si>
  <si>
    <t xml:space="preserve">A gift filed under the same person's name (same first name or a common nickname) whose own filing matches the donor by the same street address or PO box (same ZIP or city), or the same ZIP and the same specific employer. "Retired," "self-employed" and the like don't count as an employer.</t>
  </si>
  <si>
    <t xml:space="preserve">Confirmed</t>
  </si>
  <si>
    <t xml:space="preserve">Matched directly by one of those rules.</t>
  </si>
  <si>
    <t xml:space="preserve">Likely</t>
  </si>
  <si>
    <t xml:space="preserve">Linked through another filing: the same employer under two names, home vs. office address, or a third filing tying two addresses together. Explained row by row.</t>
  </si>
  <si>
    <t xml:space="preserve">Filer Id : Tran Id</t>
  </si>
  <si>
    <t xml:space="preserve">ORESTAR's committee number and transaction number. Together they point to exactly one public filing.</t>
  </si>
  <si>
    <t xml:space="preserve">Rounded</t>
  </si>
  <si>
    <t xml:space="preserve">Amounts are rounded to $250 under $1,000, otherwise to $1,000. The exact amount is in the filing.</t>
  </si>
  <si>
    <t xml:space="preserve">Counts are donor-and-candidate pairs (Steps 1–3). Share = (Republican + Portland conservative) ÷ donors. Total and Share are formulas.</t>
  </si>
  <si>
    <t xml:space="preserve">← Back to Start here</t>
  </si>
  <si>
    <t xml:space="preserve">Candidate</t>
  </si>
  <si>
    <t xml:space="preserve">Group</t>
  </si>
  <si>
    <t xml:space="preserve">Individual donors (over $100, since 2023)</t>
  </si>
  <si>
    <t xml:space="preserve">Gave to Republicans</t>
  </si>
  <si>
    <t xml:space="preserve">Portland conservative only</t>
  </si>
  <si>
    <t xml:space="preserve">Total</t>
  </si>
  <si>
    <t xml:space="preserve">Share</t>
  </si>
  <si>
    <t xml:space="preserve">Kellie Torres</t>
  </si>
  <si>
    <t xml:space="preserve">business-backed</t>
  </si>
  <si>
    <t xml:space="preserve">Steve Novick</t>
  </si>
  <si>
    <t xml:space="preserve">Olivia Clark</t>
  </si>
  <si>
    <t xml:space="preserve">Eric Zimmerman</t>
  </si>
  <si>
    <t xml:space="preserve">Eli Arnold</t>
  </si>
  <si>
    <t xml:space="preserve">Julia Brim-Edwards</t>
  </si>
  <si>
    <t xml:space="preserve">Tiffany Koyama Lane</t>
  </si>
  <si>
    <t xml:space="preserve">comparison (progressive)</t>
  </si>
  <si>
    <t xml:space="preserve">Mitch Green</t>
  </si>
  <si>
    <t xml:space="preserve">Angelita Morillo</t>
  </si>
  <si>
    <t xml:space="preserve">Shannon Singleton</t>
  </si>
  <si>
    <t xml:space="preserve">One row per household that gave to at least one of the six and also to a Republican campaign. Every gift is on the Gifts tab with its date and committee.</t>
  </si>
  <si>
    <t xml:space="preserve">Slate candidates given to</t>
  </si>
  <si>
    <t xml:space="preserve">No. of slate candidates</t>
  </si>
  <si>
    <t xml:space="preserve">Gave to Drazan</t>
  </si>
  <si>
    <t xml:space="preserve">Republican campaigns</t>
  </si>
  <si>
    <t xml:space="preserve">First Republican gift (year)</t>
  </si>
  <si>
    <t xml:space="preserve">Latest Republican gift (year)</t>
  </si>
  <si>
    <t xml:space="preserve">No. of Republican gifts</t>
  </si>
  <si>
    <t xml:space="preserve">Republican gifts, total ($, rounded)</t>
  </si>
  <si>
    <t xml:space="preserve">Match basis</t>
  </si>
  <si>
    <t xml:space="preserve">Verification</t>
  </si>
  <si>
    <t xml:space="preserve">Why, if not a direct match</t>
  </si>
  <si>
    <t xml:space="preserve">Republican gifts (Filer Id:Tran Id)</t>
  </si>
  <si>
    <t xml:space="preserve">Slate gifts (Filer Id:Tran Id)</t>
  </si>
  <si>
    <t xml:space="preserve">H001</t>
  </si>
  <si>
    <t xml:space="preserve">No</t>
  </si>
  <si>
    <t xml:space="preserve">Friends of Allen Alley</t>
  </si>
  <si>
    <t xml:space="preserve">Street address or PO box</t>
  </si>
  <si>
    <t xml:space="preserve">12878:307941; 12878:554702</t>
  </si>
  <si>
    <t xml:space="preserve">15109:5022280</t>
  </si>
  <si>
    <t xml:space="preserve">H002</t>
  </si>
  <si>
    <t xml:space="preserve">Yes</t>
  </si>
  <si>
    <t xml:space="preserve">Bud Pierce for a Better Oregon; Citizens to Re-Elect Dennis Richardson; Friends of Allen Alley; Friends of Chris Dudley; Friends of Christine Drazan; Friends of Kim Thatcher; Knute for Governor</t>
  </si>
  <si>
    <t xml:space="preserve">12878:346009; 12878:561926; 13998:737042; 13998:780531; 13998:810187; 13998:867527; 13998:889878; 4155:1691136; 12878:2214008; 12878:2255309; 17397:2338132; 17397:2400409; 15192:2800100; 15192:2903943; 15192:3008676; 4871:3576688; 19050:5753126; 19050:5771083</t>
  </si>
  <si>
    <t xml:space="preserve">21206:4530514; 21206:4913049</t>
  </si>
  <si>
    <t xml:space="preserve">H003</t>
  </si>
  <si>
    <t xml:space="preserve">Olivia Clark, Eric Zimmerman, Julia Brim-Edwards</t>
  </si>
  <si>
    <t xml:space="preserve">12878:373393</t>
  </si>
  <si>
    <t xml:space="preserve">17629:5679870; 21206:4536309; 21206:4853079; 23199:4712016</t>
  </si>
  <si>
    <t xml:space="preserve">H004</t>
  </si>
  <si>
    <t xml:space="preserve">12878:406431; 12878:436939</t>
  </si>
  <si>
    <t xml:space="preserve">21206:4572188; 21206:5627329</t>
  </si>
  <si>
    <t xml:space="preserve">H005</t>
  </si>
  <si>
    <t xml:space="preserve">Kellie Torres, Olivia Clark, Julia Brim-Edwards</t>
  </si>
  <si>
    <t xml:space="preserve">12878:449303</t>
  </si>
  <si>
    <t xml:space="preserve">21206:4551175; 21206:5747271; 23199:5085923; 23199:5633047; 24897:5846576; 24897:5846642</t>
  </si>
  <si>
    <t xml:space="preserve">H006</t>
  </si>
  <si>
    <t xml:space="preserve">Bring Balance to Salem PAC; Bruce Starr for State Senate Committee; Bud Pierce for a Better Oregon; Friends of Allen Alley; Friends of Chris Dudley; Friends of Will Lathrop; Knute for Governor; The Leadership Fund</t>
  </si>
  <si>
    <t xml:space="preserve">12878:456114; 13998:931177; 2752:1197497; 2690:1221981; 2690:1272145; 2752:1277778; 15192:1283234; 17397:2338634; 15192:3012967; 21896:4788154; 21717:5108443; 21896:5124500</t>
  </si>
  <si>
    <t xml:space="preserve">21206:4860147</t>
  </si>
  <si>
    <t xml:space="preserve">H007</t>
  </si>
  <si>
    <t xml:space="preserve">Kellie Torres, Olivia Clark, Eric Zimmerman</t>
  </si>
  <si>
    <t xml:space="preserve">12878:467460; 12878:615753; 12878:730702</t>
  </si>
  <si>
    <t xml:space="preserve">17629:5813937; 23199:4842656; 23199:5844178; 24897:5810934</t>
  </si>
  <si>
    <t xml:space="preserve">H008</t>
  </si>
  <si>
    <t xml:space="preserve">Kellie Torres, Steve Novick, Eric Zimmerman</t>
  </si>
  <si>
    <t xml:space="preserve">Linked by another filing</t>
  </si>
  <si>
    <t xml:space="preserve">The two gifts list the same law firm under two versions of its name, one from a home address and one from the office. No single filing ties the two addresses.</t>
  </si>
  <si>
    <t xml:space="preserve">12878:467561</t>
  </si>
  <si>
    <t xml:space="preserve">15109:5863396; 17629:5852827; 24897:5873385</t>
  </si>
  <si>
    <t xml:space="preserve">H009</t>
  </si>
  <si>
    <t xml:space="preserve">Dudley for Oregon; Friends of Chris Dudley</t>
  </si>
  <si>
    <t xml:space="preserve">Street address or PO box, ZIP + employer</t>
  </si>
  <si>
    <t xml:space="preserve">13998:645475; 24693:5578379</t>
  </si>
  <si>
    <t xml:space="preserve">23199:5868497</t>
  </si>
  <si>
    <t xml:space="preserve">H010</t>
  </si>
  <si>
    <t xml:space="preserve">13998:645691; 24693:5639462</t>
  </si>
  <si>
    <t xml:space="preserve">21206:5704151</t>
  </si>
  <si>
    <t xml:space="preserve">H011</t>
  </si>
  <si>
    <t xml:space="preserve">Friends of Chris Dudley</t>
  </si>
  <si>
    <t xml:space="preserve">13998:661714; 13998:819738</t>
  </si>
  <si>
    <t xml:space="preserve">23295:5505111; 23295:5505122</t>
  </si>
  <si>
    <t xml:space="preserve">H012</t>
  </si>
  <si>
    <t xml:space="preserve">Olivia Clark, Julia Brim-Edwards</t>
  </si>
  <si>
    <t xml:space="preserve">Friends of Chris Dudley; Friends of Christine Drazan; Knute for Governor</t>
  </si>
  <si>
    <t xml:space="preserve">13998:677176; 13998:761247; 13998:846517; 13998:911093; 15192:1615784; 15192:2145598; 19050:2761997</t>
  </si>
  <si>
    <t xml:space="preserve">21206:4536329; 23199:4778922</t>
  </si>
  <si>
    <t xml:space="preserve">H013</t>
  </si>
  <si>
    <t xml:space="preserve">Friends of Allen Alley; Friends of Chris Dudley; Friends of Christine Drazan; Knute for Governor</t>
  </si>
  <si>
    <t xml:space="preserve">13998:704478; 13998:861561; 12878:2206664; 15192:2729829; 19050:4388949; 19050:5722342; 19050:5838902</t>
  </si>
  <si>
    <t xml:space="preserve">15109:5853319; 17629:5852794; 24897:5760928; 24897:5873453</t>
  </si>
  <si>
    <t xml:space="preserve">H014</t>
  </si>
  <si>
    <t xml:space="preserve">13998:709479; 24693:5645593</t>
  </si>
  <si>
    <t xml:space="preserve">21206:5555068</t>
  </si>
  <si>
    <t xml:space="preserve">H015</t>
  </si>
  <si>
    <t xml:space="preserve">The Leadership Fund</t>
  </si>
  <si>
    <t xml:space="preserve">ZIP + employer</t>
  </si>
  <si>
    <t xml:space="preserve">2690:723588</t>
  </si>
  <si>
    <t xml:space="preserve">21206:4921375</t>
  </si>
  <si>
    <t xml:space="preserve">H016</t>
  </si>
  <si>
    <t xml:space="preserve">Friends of Christine Drazan; The Leadership Fund</t>
  </si>
  <si>
    <t xml:space="preserve">2690:726280; 19050:2977643</t>
  </si>
  <si>
    <t xml:space="preserve">21206:4536341; 21206:5857115</t>
  </si>
  <si>
    <t xml:space="preserve">H017</t>
  </si>
  <si>
    <t xml:space="preserve">Steve Novick, Eli Arnold</t>
  </si>
  <si>
    <t xml:space="preserve">Friends of Chris Dudley; Friends of Christine Drazan; Friends of Will Lathrop; Knute for Governor</t>
  </si>
  <si>
    <t xml:space="preserve">13998:775628; 13998:812221; 13998:817465; 13998:862917; 13998:936530; 15192:2620145; 15192:2620146; 15192:2889599; 15192:2894245; 15192:2948046; 15192:3003198; 15192:3009905; 19050:4375712; 21896:5086898</t>
  </si>
  <si>
    <t xml:space="preserve">15109:4785325; 15109:5685046; 15109:5830453; 23295:5674943; 23295:5686494</t>
  </si>
  <si>
    <t xml:space="preserve">H018</t>
  </si>
  <si>
    <t xml:space="preserve">Kellie Torres, Eric Zimmerman</t>
  </si>
  <si>
    <t xml:space="preserve">The two gifts list the same firm (one abbreviated), one from a home address and one from the office.</t>
  </si>
  <si>
    <t xml:space="preserve">13998:797496; 13998:949704</t>
  </si>
  <si>
    <t xml:space="preserve">17629:5868399; 24897:5812169</t>
  </si>
  <si>
    <t xml:space="preserve">H019</t>
  </si>
  <si>
    <t xml:space="preserve">Bud Pierce for a Better Oregon; Citizens to Re-Elect Dennis Richardson; Evergreen Oregon PAC; Friends of Allen Alley; Friends of Chris Dudley; Friends of Christine Drazan; Knute for Governor</t>
  </si>
  <si>
    <t xml:space="preserve">13998:949689; 13998:949688; 15192:1270034; 15192:1382465; 15192:1414274; 4155:1764279; 4155:1862480; 12878:2204149; 12878:2227651; 17397:2227560; 17397:2275366; 17397:2402657; 15192:2871059; 20202:3282978; 20202:3824692; 19050:4312835; 19050:5099437; 19050:5672089; 19050:5778485</t>
  </si>
  <si>
    <t xml:space="preserve">24897:5760945</t>
  </si>
  <si>
    <t xml:space="preserve">H020</t>
  </si>
  <si>
    <t xml:space="preserve">Friends of Chris Dudley; Knute for Governor</t>
  </si>
  <si>
    <t xml:space="preserve">13998:850526; 15192:1262673; 15192:2439411; 15192:2662894; 15192:2982743</t>
  </si>
  <si>
    <t xml:space="preserve">24897:5780404</t>
  </si>
  <si>
    <t xml:space="preserve">H021</t>
  </si>
  <si>
    <t xml:space="preserve">Kellie Torres, Olivia Clark, Eric Zimmerman, Julia Brim-Edwards</t>
  </si>
  <si>
    <t xml:space="preserve">13998:881222; 13998:903723; 15192:2982931; 15192:3054852; 15192:3069502</t>
  </si>
  <si>
    <t xml:space="preserve">17629:4993456; 17629:5813957; 21206:4551178; 21206:4551179; 21206:4853109; 21206:5555089; 23199:5844219; 24897:5846623</t>
  </si>
  <si>
    <t xml:space="preserve">H022</t>
  </si>
  <si>
    <t xml:space="preserve">Kellie Torres, Steve Novick, Olivia Clark, Eric Zimmerman, Julia Brim-Edwards</t>
  </si>
  <si>
    <t xml:space="preserve">Another filing ties the Republican-gift address to the employer on the candidate gifts. Weakest link in the set: several relatives share that office.</t>
  </si>
  <si>
    <t xml:space="preserve">13998:890502</t>
  </si>
  <si>
    <t xml:space="preserve">15109:5717509; 17629:5017065; 17629:5813892; 21206:4530526; 21206:4913050; 21206:5555015; 23199:5375105; 23199:5473737; 24897:5658420</t>
  </si>
  <si>
    <t xml:space="preserve">H023</t>
  </si>
  <si>
    <t xml:space="preserve">Bruce Starr for State Senate Committee</t>
  </si>
  <si>
    <t xml:space="preserve">2752:944216</t>
  </si>
  <si>
    <t xml:space="preserve">15109:5717485; 17629:5778160; 17629:5813959; 21206:4551189; 23199:4931476; 23199:5844223; 24897:5846625</t>
  </si>
  <si>
    <t xml:space="preserve">H024</t>
  </si>
  <si>
    <t xml:space="preserve">Bud Pierce for a Better Oregon; Citizens to Re-Elect Dennis Richardson; Friends of Christine Drazan; Friends of Kim Thatcher; Knute for Governor; The Leadership Fund</t>
  </si>
  <si>
    <t xml:space="preserve">15192:1125657; 4155:1832575; 17397:2294547; 15192:2887948; 2690:3164998; 4871:3474655; 19050:5804309</t>
  </si>
  <si>
    <t xml:space="preserve">17629:5813894; 21206:4568202; 21206:4921372; 23199:5800302; 24897:5878236</t>
  </si>
  <si>
    <t xml:space="preserve">H025</t>
  </si>
  <si>
    <t xml:space="preserve">Kellie Torres, Steve Novick, Eric Zimmerman, Julia Brim-Edwards</t>
  </si>
  <si>
    <t xml:space="preserve">Bruce Starr for State Senate Committee; Friends of Will Lathrop; Knute for Governor</t>
  </si>
  <si>
    <t xml:space="preserve">2752:1155723; 2752:1389544; 15192:1412291; 2752:1799268; 15192:2622425; 15192:3050049; 21896:4770292</t>
  </si>
  <si>
    <t xml:space="preserve">15109:5685078; 17629:4993392; 17629:5679864; 21206:4568186; 21206:5578333; 24897:5780400; 24897:5831612</t>
  </si>
  <si>
    <t xml:space="preserve">H026</t>
  </si>
  <si>
    <t xml:space="preserve">Kellie Torres, Olivia Clark, Eli Arnold, Julia Brim-Edwards</t>
  </si>
  <si>
    <t xml:space="preserve">Bud Pierce for a Better Oregon; Citizens to Re-Elect Dennis Richardson; Friends of Will Lathrop; Knute for Governor</t>
  </si>
  <si>
    <t xml:space="preserve">15192:1176724; 15192:1413842; 4155:1793078; 4155:1852194; 17397:2293621; 15192:2733414; 15192:2790090; 21896:4775465; 21896:5086955</t>
  </si>
  <si>
    <t xml:space="preserve">21206:4536304; 21206:5578345; 23199:5633082; 23295:5704040; 23295:5820984; 24897:5761006</t>
  </si>
  <si>
    <t xml:space="preserve">H027</t>
  </si>
  <si>
    <t xml:space="preserve">Steve Novick, Olivia Clark, Julia Brim-Edwards</t>
  </si>
  <si>
    <t xml:space="preserve">Knute for Governor</t>
  </si>
  <si>
    <t xml:space="preserve">15192:1223332; 15192:1639297; 15192:1845152; 15192:2599519; 15192:2814827; 15192:3043271</t>
  </si>
  <si>
    <t xml:space="preserve">15109:5732244; 21206:4563014; 21206:4853135; 21206:5555061; 23199:5868476</t>
  </si>
  <si>
    <t xml:space="preserve">H028</t>
  </si>
  <si>
    <t xml:space="preserve">Bruce Starr for State Senate Committee; Friends of Christine Drazan; Friends of Will Lathrop</t>
  </si>
  <si>
    <t xml:space="preserve">2752:1254706; 2752:1277399; 2752:1404944; 19050:4145981; 19050:4350989; 19050:4399899; 19050:4399900; 19050:4399901; 19050:4402475; 21896:4861611; 21896:5123890</t>
  </si>
  <si>
    <t xml:space="preserve">21206:4572241; 21206:5578344; 21206:5647917</t>
  </si>
  <si>
    <t xml:space="preserve">H029</t>
  </si>
  <si>
    <t xml:space="preserve">Citizens to Re-Elect Dennis Richardson; Friends of Christine Drazan; Hicks for Senate; Knute for Governor; Tim Knopp for State Senate</t>
  </si>
  <si>
    <t xml:space="preserve">15627:1267733; 15192:1412312; 15627:1840306; 15627:2346191; 4155:2350441; 4155:2428898; 15192:2591021; 19050:3033736; 15627:4368289; 24485:5485678</t>
  </si>
  <si>
    <t xml:space="preserve">15109:5793246; 17629:4968603; 17629:5651895; 21206:4530578; 21206:4853174; 21206:5647915; 21206:5704160; 23199:5061732; 23199:5473715; 24897:5846627</t>
  </si>
  <si>
    <t xml:space="preserve">H030</t>
  </si>
  <si>
    <t xml:space="preserve">Bud Pierce for a Better Oregon; Friends of Christine Drazan; Knute for Governor</t>
  </si>
  <si>
    <t xml:space="preserve">15192:1285976; 17397:2302002; 15192:2716443; 15192:2861417; 15192:2913113; 15192:3041308; 19050:4210576; 19050:4260172</t>
  </si>
  <si>
    <t xml:space="preserve">23295:4888919</t>
  </si>
  <si>
    <t xml:space="preserve">H031</t>
  </si>
  <si>
    <t xml:space="preserve">Eric Zimmerman, Julia Brim-Edwards</t>
  </si>
  <si>
    <t xml:space="preserve">Citizens to Re-Elect Dennis Richardson; Knute for Governor</t>
  </si>
  <si>
    <t xml:space="preserve">15192:1334390; 4155:2321617; 15192:2621761; 15192:2651802; 15192:2652083; 15192:2672555; 15192:2701925; 15192:2743422; 15192:2784660; 15192:2804187; 15192:2910692</t>
  </si>
  <si>
    <t xml:space="preserve">17629:5778135; 21206:5555087</t>
  </si>
  <si>
    <t xml:space="preserve">H032</t>
  </si>
  <si>
    <t xml:space="preserve">Bud Pierce for a Better Oregon; Friends of Christine Drazan; Friends of Kim Thatcher; Knute for Governor</t>
  </si>
  <si>
    <t xml:space="preserve">15192:1374446; 17397:2365415; 15192:2992803; 4871:3638153; 19050:5795169</t>
  </si>
  <si>
    <t xml:space="preserve">23295:4967848</t>
  </si>
  <si>
    <t xml:space="preserve">H033</t>
  </si>
  <si>
    <t xml:space="preserve">Steve Novick, Olivia Clark, Eric Zimmerman, Eli Arnold, Julia Brim-Edwards</t>
  </si>
  <si>
    <t xml:space="preserve">Friends of Jeff Helfrich</t>
  </si>
  <si>
    <t xml:space="preserve">15984:1379009; 15984:5516614</t>
  </si>
  <si>
    <t xml:space="preserve">15109:4813722; 15109:5080567; 15109:5503410; 17629:5828909; 21206:4530557; 21206:4853139; 21206:5555028; 23199:4907904; 23199:5844271; 23295:5865555</t>
  </si>
  <si>
    <t xml:space="preserve">H034</t>
  </si>
  <si>
    <t xml:space="preserve">15192:1414427</t>
  </si>
  <si>
    <t xml:space="preserve">21206:5627280</t>
  </si>
  <si>
    <t xml:space="preserve">H035</t>
  </si>
  <si>
    <t xml:space="preserve">Kellie Torres, Steve Novick, Olivia Clark, Eric Zimmerman, Eli Arnold, Julia Brim-Edwards</t>
  </si>
  <si>
    <t xml:space="preserve">A chain of other filings ties the candidate-gift address to the employer on the Republican gift. One gift, in 2014.</t>
  </si>
  <si>
    <t xml:space="preserve">2752:1797354</t>
  </si>
  <si>
    <t xml:space="preserve">15109:5830354; 17629:5679849; 21206:4530484; 21206:5497844; 23199:5844238; 23295:5821161; 24897:5846650</t>
  </si>
  <si>
    <t xml:space="preserve">H036</t>
  </si>
  <si>
    <t xml:space="preserve">Olivia Clark, Eric Zimmerman</t>
  </si>
  <si>
    <t xml:space="preserve">Friends of Christine Drazan; Friends of Jeff Helfrich; Knute for Governor</t>
  </si>
  <si>
    <t xml:space="preserve">15192:1843897; 15192:2102349; 15192:2256302; 15192:2348525; 15192:2937348; 15192:3043200; 19050:4374820; 15984:4938828</t>
  </si>
  <si>
    <t xml:space="preserve">17629:5852823; 23199:5850415</t>
  </si>
  <si>
    <t xml:space="preserve">H037</t>
  </si>
  <si>
    <t xml:space="preserve">2752:1856576</t>
  </si>
  <si>
    <t xml:space="preserve">21206:4574705</t>
  </si>
  <si>
    <t xml:space="preserve">H038</t>
  </si>
  <si>
    <t xml:space="preserve">Kellie Torres, Steve Novick, Eric Zimmerman, Eli Arnold, Julia Brim-Edwards</t>
  </si>
  <si>
    <t xml:space="preserve">2752:1873970</t>
  </si>
  <si>
    <t xml:space="preserve">15109:4725902; 15109:5685083; 17629:5778131; 21206:4551187; 21206:5555055; 23295:5554616; 23295:5850163; 24897:5633829</t>
  </si>
  <si>
    <t xml:space="preserve">H039</t>
  </si>
  <si>
    <t xml:space="preserve">Citizens to Re-Elect Dennis Richardson</t>
  </si>
  <si>
    <t xml:space="preserve">4155:1868276</t>
  </si>
  <si>
    <t xml:space="preserve">15109:4865093</t>
  </si>
  <si>
    <t xml:space="preserve">H040</t>
  </si>
  <si>
    <t xml:space="preserve">Eric Zimmerman, Eli Arnold, Julia Brim-Edwards</t>
  </si>
  <si>
    <t xml:space="preserve">Bruce Starr for State Senate Committee; Knute for Governor</t>
  </si>
  <si>
    <t xml:space="preserve">2752:1896834; 15192:2652081; 15192:2784661; 15192:2853284; 15192:3021279</t>
  </si>
  <si>
    <t xml:space="preserve">17629:5778130; 21206:4530522; 21206:4853068; 21206:5554984; 23295:5704060</t>
  </si>
  <si>
    <t xml:space="preserve">H041</t>
  </si>
  <si>
    <t xml:space="preserve">2752:1909054</t>
  </si>
  <si>
    <t xml:space="preserve">23199:4778888</t>
  </si>
  <si>
    <t xml:space="preserve">H042</t>
  </si>
  <si>
    <t xml:space="preserve">2690:1937421; 2690:2113479</t>
  </si>
  <si>
    <t xml:space="preserve">23199:4778899</t>
  </si>
  <si>
    <t xml:space="preserve">H043</t>
  </si>
  <si>
    <t xml:space="preserve">15192:2050275; 15192:2439372; 15192:2469224; 15192:2478470; 15192:2606110; 15192:2623651; 15192:2647182; 15192:2674053; 15192:2703283</t>
  </si>
  <si>
    <t xml:space="preserve">15109:5717564</t>
  </si>
  <si>
    <t xml:space="preserve">H044</t>
  </si>
  <si>
    <t xml:space="preserve">Kellie Torres, Steve Novick, Olivia Clark, Eric Zimmerman</t>
  </si>
  <si>
    <t xml:space="preserve">Citizens to Re-Elect Dennis Richardson; Courtney Bangs PAC; Knute for Governor</t>
  </si>
  <si>
    <t xml:space="preserve">15192:2101867; 4155:2265543; 20246:3426791</t>
  </si>
  <si>
    <t xml:space="preserve">15109:5830477; 17629:5828875; 23199:5844270; 24897:5850025</t>
  </si>
  <si>
    <t xml:space="preserve">H045</t>
  </si>
  <si>
    <t xml:space="preserve">12878:2228615</t>
  </si>
  <si>
    <t xml:space="preserve">21206:4551199; 21206:4853149; 21206:4909928</t>
  </si>
  <si>
    <t xml:space="preserve">H046</t>
  </si>
  <si>
    <t xml:space="preserve">Citizens to Re-Elect Dennis Richardson; Friends of Allen Alley; Knute for Governor</t>
  </si>
  <si>
    <t xml:space="preserve">12878:2235689; 4155:2400857; 15192:2636276; 15192:2712241; 15192:3004434</t>
  </si>
  <si>
    <t xml:space="preserve">21206:5678169</t>
  </si>
  <si>
    <t xml:space="preserve">H047</t>
  </si>
  <si>
    <t xml:space="preserve">Friends of Allen Alley; Friends of Will Lathrop</t>
  </si>
  <si>
    <t xml:space="preserve">12878:2235669; 21896:5123848</t>
  </si>
  <si>
    <t xml:space="preserve">15109:5021873; 15109:5830533; 17629:5828801; 21206:4572194; 21206:5555057; 23295:4926096; 23295:4943195; 23295:5820948; 24897:5733633</t>
  </si>
  <si>
    <t xml:space="preserve">H048</t>
  </si>
  <si>
    <t xml:space="preserve">4155:2300689; 15192:2816873; 15192:2923654; 15192:2958374</t>
  </si>
  <si>
    <t xml:space="preserve">15109:5022052; 15109:5760170</t>
  </si>
  <si>
    <t xml:space="preserve">H049</t>
  </si>
  <si>
    <t xml:space="preserve">Bud Pierce for a Better Oregon</t>
  </si>
  <si>
    <t xml:space="preserve">17397:2311460</t>
  </si>
  <si>
    <t xml:space="preserve">23199:4712048; 23199:5685641</t>
  </si>
  <si>
    <t xml:space="preserve">H050</t>
  </si>
  <si>
    <t xml:space="preserve">15192:2372574; 15192:2385463; 15192:2439363; 15192:2469214; 15192:2478440</t>
  </si>
  <si>
    <t xml:space="preserve">17629:4928139; 17629:4993338; 17629:5778116; 17629:5813942</t>
  </si>
  <si>
    <t xml:space="preserve">H051</t>
  </si>
  <si>
    <t xml:space="preserve">17397:2335982</t>
  </si>
  <si>
    <t xml:space="preserve">23199:4907827; 23199:5473740</t>
  </si>
  <si>
    <t xml:space="preserve">H052</t>
  </si>
  <si>
    <t xml:space="preserve">15192:2377910; 15192:2888479; 15192:3043318; 15192:3065142</t>
  </si>
  <si>
    <t xml:space="preserve">21206:4536311; 21206:4591203; 21206:4909921; 21206:5567236</t>
  </si>
  <si>
    <t xml:space="preserve">H053</t>
  </si>
  <si>
    <t xml:space="preserve">Bud Pierce for a Better Oregon; Knute for Governor</t>
  </si>
  <si>
    <t xml:space="preserve">17397:2347630; 15192:2629422</t>
  </si>
  <si>
    <t xml:space="preserve">23295:4926099</t>
  </si>
  <si>
    <t xml:space="preserve">H054</t>
  </si>
  <si>
    <t xml:space="preserve">17397:2428778; 15192:2598132; 15192:2897641; 15192:3061372</t>
  </si>
  <si>
    <t xml:space="preserve">15109:5845072; 17629:5852820; 24897:5873463</t>
  </si>
  <si>
    <t xml:space="preserve">H055</t>
  </si>
  <si>
    <t xml:space="preserve">Knute for Governor; The Leadership Fund</t>
  </si>
  <si>
    <t xml:space="preserve">15192:2446180; 2690:2441264</t>
  </si>
  <si>
    <t xml:space="preserve">21206:4921371</t>
  </si>
  <si>
    <t xml:space="preserve">H056</t>
  </si>
  <si>
    <t xml:space="preserve">Friends of Anna Scharf; Knute for Governor</t>
  </si>
  <si>
    <t xml:space="preserve">15192:2463477; 15192:2475689; 21575:5146068</t>
  </si>
  <si>
    <t xml:space="preserve">21206:4853096</t>
  </si>
  <si>
    <t xml:space="preserve">H057</t>
  </si>
  <si>
    <t xml:space="preserve">15192:2598126; 15192:2631877; 15192:2732002; 15192:2965588</t>
  </si>
  <si>
    <t xml:space="preserve">17629:5813995; 21206:5567230; 23199:5844241</t>
  </si>
  <si>
    <t xml:space="preserve">H058</t>
  </si>
  <si>
    <t xml:space="preserve">15192:2607747; 15192:2631507</t>
  </si>
  <si>
    <t xml:space="preserve">23199:5868475</t>
  </si>
  <si>
    <t xml:space="preserve">H059</t>
  </si>
  <si>
    <t xml:space="preserve">15192:2622423; 15192:2948048</t>
  </si>
  <si>
    <t xml:space="preserve">24897:5873390</t>
  </si>
  <si>
    <t xml:space="preserve">H060</t>
  </si>
  <si>
    <t xml:space="preserve">15192:2626751</t>
  </si>
  <si>
    <t xml:space="preserve">24897:5780403</t>
  </si>
  <si>
    <t xml:space="preserve">H061</t>
  </si>
  <si>
    <t xml:space="preserve">15192:2670230; 15192:2804186; 15192:2880177; 15192:3053028</t>
  </si>
  <si>
    <t xml:space="preserve">15109:4772833; 15109:5793318; 17629:4993430; 21206:4530510; 21206:4853064; 21206:5555005; 23199:5005001; 23199:5375098; 23295:4993300</t>
  </si>
  <si>
    <t xml:space="preserve">H062</t>
  </si>
  <si>
    <t xml:space="preserve">15192:2652082; 15192:3043256</t>
  </si>
  <si>
    <t xml:space="preserve">21206:4572213</t>
  </si>
  <si>
    <t xml:space="preserve">H063</t>
  </si>
  <si>
    <t xml:space="preserve">15192:2655262; 15192:2958400</t>
  </si>
  <si>
    <t xml:space="preserve">21206:4554401</t>
  </si>
  <si>
    <t xml:space="preserve">H064</t>
  </si>
  <si>
    <t xml:space="preserve">15192:2662891; 15192:2873624</t>
  </si>
  <si>
    <t xml:space="preserve">24897:5812175</t>
  </si>
  <si>
    <t xml:space="preserve">H065</t>
  </si>
  <si>
    <t xml:space="preserve">Friends of Christine Drazan; Knute for Governor</t>
  </si>
  <si>
    <t xml:space="preserve">15192:2715613; 15192:3040502; 19050:3637386</t>
  </si>
  <si>
    <t xml:space="preserve">21206:4572224</t>
  </si>
  <si>
    <t xml:space="preserve">H066</t>
  </si>
  <si>
    <t xml:space="preserve">Kellie Torres, Julia Brim-Edwards</t>
  </si>
  <si>
    <t xml:space="preserve">15192:2777491</t>
  </si>
  <si>
    <t xml:space="preserve">21206:4530521; 24897:5760893</t>
  </si>
  <si>
    <t xml:space="preserve">H067</t>
  </si>
  <si>
    <t xml:space="preserve">15192:2787825; 15192:2825696; 15192:2832027; 15192:2836617; 15192:2843858; 15192:2888765; 15192:2888766; 15192:2897524; 15192:2904500; 15192:2997866</t>
  </si>
  <si>
    <t xml:space="preserve">21206:5704169</t>
  </si>
  <si>
    <t xml:space="preserve">H068</t>
  </si>
  <si>
    <t xml:space="preserve">15192:2804184</t>
  </si>
  <si>
    <t xml:space="preserve">15109:4813762</t>
  </si>
  <si>
    <t xml:space="preserve">H069</t>
  </si>
  <si>
    <t xml:space="preserve">Bring Balance to Salem PAC; Knute for Governor</t>
  </si>
  <si>
    <t xml:space="preserve">15192:2804189; 21717:5666459</t>
  </si>
  <si>
    <t xml:space="preserve">17629:5778159; 21206:4530518; 21206:5555100</t>
  </si>
  <si>
    <t xml:space="preserve">H070</t>
  </si>
  <si>
    <t xml:space="preserve">Eric Zimmerman, Eli Arnold</t>
  </si>
  <si>
    <t xml:space="preserve">Friends of Christine Drazan; Friends of Jeff Helfrich; Friends of Will Lathrop; Knute for Governor; Multnomah County Republican Central Committee</t>
  </si>
  <si>
    <t xml:space="preserve">15192:2832855; 15192:2895015; 15192:2924330; 15192:3018676; 15192:3073436; 19050:4268959; 19050:4389026; 21896:4741334; 21896:5046509; 21896:5123745; 21896:5123947; 21896:5134203; 21896:5134312; 15984:5197923; 15984:5516634; 21594:5548325; 19050:5813334; 19050:5866669</t>
  </si>
  <si>
    <t xml:space="preserve">17629:5704561; 17629:5704596; 23295:5459859</t>
  </si>
  <si>
    <t xml:space="preserve">H071</t>
  </si>
  <si>
    <t xml:space="preserve">15192:2843482; 15192:3050136</t>
  </si>
  <si>
    <t xml:space="preserve">23199:5397308</t>
  </si>
  <si>
    <t xml:space="preserve">H072</t>
  </si>
  <si>
    <t xml:space="preserve">Olivia Clark, Eric Zimmerman, Eli Arnold</t>
  </si>
  <si>
    <t xml:space="preserve">15192:2870169; 15192:2904437; 15192:2937608; 15192:2964633; 19050:5829381</t>
  </si>
  <si>
    <t xml:space="preserve">17629:5562822; 23199:5586577; 23295:4926098; 23295:4967778; 23295:4993243; 23295:5032635; 23295:5459908</t>
  </si>
  <si>
    <t xml:space="preserve">H073</t>
  </si>
  <si>
    <t xml:space="preserve">15192:2904945</t>
  </si>
  <si>
    <t xml:space="preserve">21206:4551192; 21206:4867891; 24897:5780412</t>
  </si>
  <si>
    <t xml:space="preserve">H074</t>
  </si>
  <si>
    <t xml:space="preserve">15192:2906820; 15192:3003976</t>
  </si>
  <si>
    <t xml:space="preserve">17629:5679863; 17629:5704592; 17629:5747532; 17629:5778065; 17629:5813878; 17629:5813946; 17629:5858311; 23295:4967797; 23295:5686478; 23295:5704091; 23295:5747078; 23295:5786029; 23295:5820959; 23295:5820960; 23295:5865526</t>
  </si>
  <si>
    <t xml:space="preserve">H075</t>
  </si>
  <si>
    <t xml:space="preserve">15192:2923951; 15192:2987847</t>
  </si>
  <si>
    <t xml:space="preserve">17629:5778150; 23199:5844288</t>
  </si>
  <si>
    <t xml:space="preserve">H076</t>
  </si>
  <si>
    <t xml:space="preserve">15192:2930610</t>
  </si>
  <si>
    <t xml:space="preserve">17629:5828869; 21206:4557176; 21206:5578348; 21206:5704183; 23199:5844264; 24897:5850084</t>
  </si>
  <si>
    <t xml:space="preserve">H077</t>
  </si>
  <si>
    <t xml:space="preserve">Olivia Clark, Eric Zimmerman, Eli Arnold, Julia Brim-Edwards</t>
  </si>
  <si>
    <t xml:space="preserve">15192:2958365; 19050:4309117; 19050:4877571</t>
  </si>
  <si>
    <t xml:space="preserve">17629:5051375; 21206:5584304; 23199:5098690; 23295:5098332</t>
  </si>
  <si>
    <t xml:space="preserve">H078</t>
  </si>
  <si>
    <t xml:space="preserve">Dudley for Oregon; Friends of Christine Drazan; Friends of Jeff Helfrich; Knute for Governor</t>
  </si>
  <si>
    <t xml:space="preserve">15192:2958381; 15192:2961054; 15192:2997848; 15192:3011700; 15192:3021339; 15192:3034413; 15192:3046113; 15192:3059099; 15192:3068749; 15192:3071834; 15984:4948163; 15984:5136698; 15984:5197917; 24693:5577062; 19050:5700997; 19050:5770870</t>
  </si>
  <si>
    <t xml:space="preserve">21206:5704173</t>
  </si>
  <si>
    <t xml:space="preserve">H079</t>
  </si>
  <si>
    <t xml:space="preserve">15192:2957088</t>
  </si>
  <si>
    <t xml:space="preserve">21206:5567226</t>
  </si>
  <si>
    <t xml:space="preserve">H080</t>
  </si>
  <si>
    <t xml:space="preserve">15192:2969341</t>
  </si>
  <si>
    <t xml:space="preserve">21206:4536327; 23199:4966473</t>
  </si>
  <si>
    <t xml:space="preserve">H081</t>
  </si>
  <si>
    <t xml:space="preserve">Steve Novick, Julia Brim-Edwards</t>
  </si>
  <si>
    <t xml:space="preserve">Friends of Christine Drazan</t>
  </si>
  <si>
    <t xml:space="preserve">19050:2971143</t>
  </si>
  <si>
    <t xml:space="preserve">15109:4725830; 21206:4554403; 21206:5704147</t>
  </si>
  <si>
    <t xml:space="preserve">H082</t>
  </si>
  <si>
    <t xml:space="preserve">The two gifts list the same firm under two versions of its name, one from a home address and one from the office. Other filings tie both addresses to that firm.</t>
  </si>
  <si>
    <t xml:space="preserve">15192:2977979</t>
  </si>
  <si>
    <t xml:space="preserve">15109:5845070; 17629:5598564; 21206:4536323; 21206:5578340; 23199:5868467; 24897:5873378</t>
  </si>
  <si>
    <t xml:space="preserve">H083</t>
  </si>
  <si>
    <t xml:space="preserve">Eli Arnold, Julia Brim-Edwards</t>
  </si>
  <si>
    <t xml:space="preserve">15192:3011754</t>
  </si>
  <si>
    <t xml:space="preserve">21206:4572228; 23295:5032662</t>
  </si>
  <si>
    <t xml:space="preserve">H084</t>
  </si>
  <si>
    <t xml:space="preserve">15192:3026413; 15192:3037360</t>
  </si>
  <si>
    <t xml:space="preserve">21206:5627317</t>
  </si>
  <si>
    <t xml:space="preserve">H085</t>
  </si>
  <si>
    <t xml:space="preserve">15192:3028353; 15192:3043061; 15192:3058304; 15192:3065292</t>
  </si>
  <si>
    <t xml:space="preserve">17629:4993366</t>
  </si>
  <si>
    <t xml:space="preserve">H086</t>
  </si>
  <si>
    <t xml:space="preserve">15192:3043250</t>
  </si>
  <si>
    <t xml:space="preserve">21206:4572220; 21206:5555099; 23199:5868498</t>
  </si>
  <si>
    <t xml:space="preserve">H087</t>
  </si>
  <si>
    <t xml:space="preserve">15192:3053040</t>
  </si>
  <si>
    <t xml:space="preserve">15109:5022124; 17629:5005275; 17629:5778125; 21206:4536325; 21206:5555053; 23199:5005047; 23295:5032641; 24897:5760900</t>
  </si>
  <si>
    <t xml:space="preserve">H088</t>
  </si>
  <si>
    <t xml:space="preserve">15192:3063469</t>
  </si>
  <si>
    <t xml:space="preserve">23295:5460001; 23295:5747127</t>
  </si>
  <si>
    <t xml:space="preserve">H089</t>
  </si>
  <si>
    <t xml:space="preserve">15192:3066973</t>
  </si>
  <si>
    <t xml:space="preserve">15109:5685085; 17629:5778143; 21206:4572232; 21206:4861356; 21206:5647922; 24897:5761015</t>
  </si>
  <si>
    <t xml:space="preserve">H090</t>
  </si>
  <si>
    <t xml:space="preserve">15192:3068827; 19050:4317479</t>
  </si>
  <si>
    <t xml:space="preserve">23295:4808154</t>
  </si>
  <si>
    <t xml:space="preserve">H091</t>
  </si>
  <si>
    <t xml:space="preserve">Street address or PO box, plus a gift linked by another filing</t>
  </si>
  <si>
    <t xml:space="preserve">15192:3075371; 19050:4358312</t>
  </si>
  <si>
    <t xml:space="preserve">15109:5685080; 21206:4572236</t>
  </si>
  <si>
    <t xml:space="preserve">H092</t>
  </si>
  <si>
    <t xml:space="preserve">Friends of Christine Drazan; Friends of Kim Thatcher</t>
  </si>
  <si>
    <t xml:space="preserve">4871:3519484; 19050:5438241; 19050:5851026</t>
  </si>
  <si>
    <t xml:space="preserve">21206:5647916</t>
  </si>
  <si>
    <t xml:space="preserve">H093</t>
  </si>
  <si>
    <t xml:space="preserve">Steve Novick, Olivia Clark, Eric Zimmerman</t>
  </si>
  <si>
    <t xml:space="preserve">Friends of Christine Drazan; Tim Knopp for State Senate</t>
  </si>
  <si>
    <t xml:space="preserve">15627:3604571; 19050:4111493; 19050:5634180</t>
  </si>
  <si>
    <t xml:space="preserve">15109:4865073; 17629:5852822; 23199:5047884; 23199:5850413</t>
  </si>
  <si>
    <t xml:space="preserve">H094</t>
  </si>
  <si>
    <t xml:space="preserve">4871:3648909; 19050:5771117</t>
  </si>
  <si>
    <t xml:space="preserve">23199:5868499</t>
  </si>
  <si>
    <t xml:space="preserve">H095</t>
  </si>
  <si>
    <t xml:space="preserve">19050:3988571</t>
  </si>
  <si>
    <t xml:space="preserve">21206:4568208</t>
  </si>
  <si>
    <t xml:space="preserve">H096</t>
  </si>
  <si>
    <t xml:space="preserve">19050:3990333; 19050:3990334</t>
  </si>
  <si>
    <t xml:space="preserve">21206:4563017; 21206:5647956; 21206:5747274; 23295:5064945</t>
  </si>
  <si>
    <t xml:space="preserve">H097</t>
  </si>
  <si>
    <t xml:space="preserve">19050:4020650; 19050:4111500; 19050:4111499; 19050:4174973; 19050:4201000; 19050:4326395; 19050:5335680; 19050:5400944; 19050:5500849; 19050:5622672; 19050:5753118; 19050:5829352</t>
  </si>
  <si>
    <t xml:space="preserve">21206:5627297</t>
  </si>
  <si>
    <t xml:space="preserve">H098</t>
  </si>
  <si>
    <t xml:space="preserve">19050:4102163</t>
  </si>
  <si>
    <t xml:space="preserve">15109:5685110</t>
  </si>
  <si>
    <t xml:space="preserve">H099</t>
  </si>
  <si>
    <t xml:space="preserve">19050:4090915; 19050:4912748; 19050:5187525; 19050:5532125; 19050:5662581</t>
  </si>
  <si>
    <t xml:space="preserve">21206:5704191</t>
  </si>
  <si>
    <t xml:space="preserve">H100</t>
  </si>
  <si>
    <t xml:space="preserve">Dudley for Oregon; Friends of Christine Drazan</t>
  </si>
  <si>
    <t xml:space="preserve">19050:4331006; 24693:5528888; 19050:5755553</t>
  </si>
  <si>
    <t xml:space="preserve">17629:5813973; 21206:5747279; 23199:5850412</t>
  </si>
  <si>
    <t xml:space="preserve">H101</t>
  </si>
  <si>
    <t xml:space="preserve">19050:4371959</t>
  </si>
  <si>
    <t xml:space="preserve">21206:4536320</t>
  </si>
  <si>
    <t xml:space="preserve">H102</t>
  </si>
  <si>
    <t xml:space="preserve">19050:4382481</t>
  </si>
  <si>
    <t xml:space="preserve">21206:4572239; 21206:5555037</t>
  </si>
  <si>
    <t xml:space="preserve">H103</t>
  </si>
  <si>
    <t xml:space="preserve">19050:4402717</t>
  </si>
  <si>
    <t xml:space="preserve">21206:4876639</t>
  </si>
  <si>
    <t xml:space="preserve">H104</t>
  </si>
  <si>
    <t xml:space="preserve">Friends of Will Lathrop</t>
  </si>
  <si>
    <t xml:space="preserve">21896:4775468</t>
  </si>
  <si>
    <t xml:space="preserve">23295:4733917</t>
  </si>
  <si>
    <t xml:space="preserve">H105</t>
  </si>
  <si>
    <t xml:space="preserve">21896:4819609; 21896:4981370</t>
  </si>
  <si>
    <t xml:space="preserve">23295:4808136; 23295:4943182</t>
  </si>
  <si>
    <t xml:space="preserve">H106</t>
  </si>
  <si>
    <t xml:space="preserve">19050:4839586; 19050:5850513</t>
  </si>
  <si>
    <t xml:space="preserve">24897:5760957</t>
  </si>
  <si>
    <t xml:space="preserve">H107</t>
  </si>
  <si>
    <t xml:space="preserve">Committee to Elect Dennis Linthicum</t>
  </si>
  <si>
    <t xml:space="preserve">17895:4958938</t>
  </si>
  <si>
    <t xml:space="preserve">17629:5704579; 21206:5852754; 23295:5747140</t>
  </si>
  <si>
    <t xml:space="preserve">H108</t>
  </si>
  <si>
    <t xml:space="preserve">21896:4987581</t>
  </si>
  <si>
    <t xml:space="preserve">21206:5567167</t>
  </si>
  <si>
    <t xml:space="preserve">H109</t>
  </si>
  <si>
    <t xml:space="preserve">Friends of Christine Drazan; Friends of Will Lathrop</t>
  </si>
  <si>
    <t xml:space="preserve">21896:5006138; 19050:5726700</t>
  </si>
  <si>
    <t xml:space="preserve">23295:5132595; 23295:5686443; 23295:5820974</t>
  </si>
  <si>
    <t xml:space="preserve">H110</t>
  </si>
  <si>
    <t xml:space="preserve">Bring Balance to Salem PAC; Dudley for Oregon; Friends of Christine Drazan; Friends of Will Lathrop</t>
  </si>
  <si>
    <t xml:space="preserve">21896:5031388; 21717:5116455; 24693:5600244; 19050:5780437</t>
  </si>
  <si>
    <t xml:space="preserve">15109:5889564; 17629:5876489; 21206:4530537; 21206:4913051; 21206:5555072; 24897:5760925; 24897:5888824</t>
  </si>
  <si>
    <t xml:space="preserve">H111</t>
  </si>
  <si>
    <t xml:space="preserve">Steve Novick, Eric Zimmerman</t>
  </si>
  <si>
    <t xml:space="preserve">Bring Balance to Salem PAC; Friends of Will Lathrop</t>
  </si>
  <si>
    <t xml:space="preserve">21896:5046603; 21717:5116453</t>
  </si>
  <si>
    <t xml:space="preserve">15109:5889571; 17629:5887697</t>
  </si>
  <si>
    <t xml:space="preserve">H112</t>
  </si>
  <si>
    <t xml:space="preserve">Courtney Bangs PAC; Friends of Anna Scharf; Friends of Jeff Helfrich; Friends of Will Lathrop; Hicks for Senate</t>
  </si>
  <si>
    <t xml:space="preserve">21896:5099537; 20246:5452339; 24485:5735739; 21575:5793914; 15984:5831641</t>
  </si>
  <si>
    <t xml:space="preserve">21206:5555045; 23199:5850411; 24897:5873386</t>
  </si>
  <si>
    <t xml:space="preserve">H113</t>
  </si>
  <si>
    <t xml:space="preserve">21896:5135204</t>
  </si>
  <si>
    <t xml:space="preserve">23295:5573077; 23295:5674969; 23295:5704042</t>
  </si>
  <si>
    <t xml:space="preserve">H114</t>
  </si>
  <si>
    <t xml:space="preserve">Oregon Republican Party</t>
  </si>
  <si>
    <t xml:space="preserve">379:5421680</t>
  </si>
  <si>
    <t xml:space="preserve">23295:5820950; 23295:5820951; 23295:5844627</t>
  </si>
  <si>
    <t xml:space="preserve">H115</t>
  </si>
  <si>
    <t xml:space="preserve">Dudley for Oregon</t>
  </si>
  <si>
    <t xml:space="preserve">24693:5535926</t>
  </si>
  <si>
    <t xml:space="preserve">21206:4572249; 21206:5647953</t>
  </si>
  <si>
    <t xml:space="preserve">H116</t>
  </si>
  <si>
    <t xml:space="preserve">24693:5537128; 24693:5601852</t>
  </si>
  <si>
    <t xml:space="preserve">21206:5678189</t>
  </si>
  <si>
    <t xml:space="preserve">H117</t>
  </si>
  <si>
    <t xml:space="preserve">Dudley for Oregon; Friends of Christine Drazan; Hicks for Senate</t>
  </si>
  <si>
    <t xml:space="preserve">24693:5573403; 19050:5752715; 24485:5752134</t>
  </si>
  <si>
    <t xml:space="preserve">21206:4530569; 21206:4909930; 21206:5578347</t>
  </si>
  <si>
    <t xml:space="preserve">H118</t>
  </si>
  <si>
    <t xml:space="preserve">24693:5594723</t>
  </si>
  <si>
    <t xml:space="preserve">21206:4536303; 23295:5459961</t>
  </si>
  <si>
    <t xml:space="preserve">H119</t>
  </si>
  <si>
    <t xml:space="preserve">Same employer under two versions of its name, at the business's address.</t>
  </si>
  <si>
    <t xml:space="preserve">24693:5645585</t>
  </si>
  <si>
    <t xml:space="preserve">24897:5760909</t>
  </si>
  <si>
    <t xml:space="preserve">H120</t>
  </si>
  <si>
    <t xml:space="preserve">Kellie Torres, Eric Zimmerman, Julia Brim-Edwards</t>
  </si>
  <si>
    <t xml:space="preserve">Hicks for Senate</t>
  </si>
  <si>
    <t xml:space="preserve">24485:5711476</t>
  </si>
  <si>
    <t xml:space="preserve">17629:5858347; 21206:5857113; 24897:5873439</t>
  </si>
  <si>
    <t xml:space="preserve">H121</t>
  </si>
  <si>
    <t xml:space="preserve">19050:5752033; 19050:5814580; 19050:5866191</t>
  </si>
  <si>
    <t xml:space="preserve">23295:5674962; 23295:5704093; 23295:5747157; 23295:5786166; 23295:5844733</t>
  </si>
  <si>
    <t xml:space="preserve">H122</t>
  </si>
  <si>
    <t xml:space="preserve">19050:5771118</t>
  </si>
  <si>
    <t xml:space="preserve">23199:4745090; 23199:5717899; 23199:5878457</t>
  </si>
  <si>
    <t xml:space="preserve">H123</t>
  </si>
  <si>
    <t xml:space="preserve">19050:5780430; 19050:5780431</t>
  </si>
  <si>
    <t xml:space="preserve">15109:5685116; 17629:5704591; 17629:5778103; 21206:5555120; 23199:5685642; 23295:5459905</t>
  </si>
  <si>
    <t xml:space="preserve">H124</t>
  </si>
  <si>
    <t xml:space="preserve">19050:5780447</t>
  </si>
  <si>
    <t xml:space="preserve">17629:5813886; 23199:5844160; 23295:5573046</t>
  </si>
  <si>
    <t xml:space="preserve">H125</t>
  </si>
  <si>
    <t xml:space="preserve">19050:5788216; 19050:5819478</t>
  </si>
  <si>
    <t xml:space="preserve">23295:5032672; 23295:5821026</t>
  </si>
  <si>
    <t xml:space="preserve">H126</t>
  </si>
  <si>
    <t xml:space="preserve">19050:5812344</t>
  </si>
  <si>
    <t xml:space="preserve">21206:4530520; 24897:5780402</t>
  </si>
  <si>
    <t xml:space="preserve">H127</t>
  </si>
  <si>
    <t xml:space="preserve">19050:5818021</t>
  </si>
  <si>
    <t xml:space="preserve">21206:5555081</t>
  </si>
  <si>
    <t xml:space="preserve">H128</t>
  </si>
  <si>
    <t xml:space="preserve">19050:5848283; 19050:5886615</t>
  </si>
  <si>
    <t xml:space="preserve">23295:5634477; 23295:5634478; 23295:5640860; 23295:5674960; 23295:5704092; 23295:5747156; 23295:5786107; 23295:5786173; 23295:5820890; 23295:5844731</t>
  </si>
  <si>
    <t xml:space="preserve">H129</t>
  </si>
  <si>
    <t xml:space="preserve">19050:5854542</t>
  </si>
  <si>
    <t xml:space="preserve">21206:4574707; 21206:5627302</t>
  </si>
  <si>
    <t xml:space="preserve">H130</t>
  </si>
  <si>
    <t xml:space="preserve">Olivia Clark, Eli Arnold</t>
  </si>
  <si>
    <t xml:space="preserve">19050:5861924</t>
  </si>
  <si>
    <t xml:space="preserve">23199:5868461; 23295:5083355; 23295:5122815</t>
  </si>
  <si>
    <t xml:space="preserve">H131</t>
  </si>
  <si>
    <t xml:space="preserve">19050:5861860</t>
  </si>
  <si>
    <t xml:space="preserve">24897:5799863</t>
  </si>
  <si>
    <t xml:space="preserve">H132</t>
  </si>
  <si>
    <t xml:space="preserve">19050:5878886</t>
  </si>
  <si>
    <t xml:space="preserve">21206:5627308</t>
  </si>
  <si>
    <t xml:space="preserve">One row per household that gave to at least one of the six and to a Portland conservative campaign, but to no Republican campaign we could match. Each gift's Transaction ID is on the Candidate PC matches tab.</t>
  </si>
  <si>
    <t xml:space="preserve">Portland conservative campaigns</t>
  </si>
  <si>
    <t xml:space="preserve">P001</t>
  </si>
  <si>
    <t xml:space="preserve">Friends of Rene Gonzalez; Friends of Vadim</t>
  </si>
  <si>
    <t xml:space="preserve">P002</t>
  </si>
  <si>
    <t xml:space="preserve">Steve Novick, Eric Zimmerman, Julia Brim-Edwards</t>
  </si>
  <si>
    <t xml:space="preserve">Friends of Sam Adams</t>
  </si>
  <si>
    <t xml:space="preserve">P003</t>
  </si>
  <si>
    <t xml:space="preserve">Friends of Rene Gonzalez; Friends of Sam Adams; Friends of Vadim; Portland Accountability PAC; Vote Vasquez</t>
  </si>
  <si>
    <t xml:space="preserve">P004</t>
  </si>
  <si>
    <t xml:space="preserve">Friends of Vadim</t>
  </si>
  <si>
    <t xml:space="preserve">P005</t>
  </si>
  <si>
    <t xml:space="preserve">Friends of Pam Treece</t>
  </si>
  <si>
    <t xml:space="preserve">P006</t>
  </si>
  <si>
    <t xml:space="preserve">P007</t>
  </si>
  <si>
    <t xml:space="preserve">Friends of Rene Gonzalez; Friends of Sam Adams</t>
  </si>
  <si>
    <t xml:space="preserve">P008</t>
  </si>
  <si>
    <t xml:space="preserve">Friends of Sam Adams; Vote Vasquez</t>
  </si>
  <si>
    <t xml:space="preserve">P009</t>
  </si>
  <si>
    <t xml:space="preserve">Friends of Rene Gonzalez; Friends of Sam Adams; Portland Accountability PAC</t>
  </si>
  <si>
    <t xml:space="preserve">P010</t>
  </si>
  <si>
    <t xml:space="preserve">Steve Novick, Olivia Clark, Eric Zimmerman, Julia Brim-Edwards</t>
  </si>
  <si>
    <t xml:space="preserve">Friends of Rene Gonzalez; Friends of Sam Adams; Friends of Vadim</t>
  </si>
  <si>
    <t xml:space="preserve">P011</t>
  </si>
  <si>
    <t xml:space="preserve">Friends of Pam Treece; Friends of Rene Gonzalez</t>
  </si>
  <si>
    <t xml:space="preserve">P012</t>
  </si>
  <si>
    <t xml:space="preserve">P013</t>
  </si>
  <si>
    <t xml:space="preserve">Friends of Pam Treece; Friends of Rene Gonzalez; Friends of Sam Adams; Friends of Vadim; Vote Vasquez</t>
  </si>
  <si>
    <t xml:space="preserve">P014</t>
  </si>
  <si>
    <t xml:space="preserve">P015</t>
  </si>
  <si>
    <t xml:space="preserve">P016</t>
  </si>
  <si>
    <t xml:space="preserve">P017</t>
  </si>
  <si>
    <t xml:space="preserve">P018</t>
  </si>
  <si>
    <t xml:space="preserve">P019</t>
  </si>
  <si>
    <t xml:space="preserve">P020</t>
  </si>
  <si>
    <t xml:space="preserve">Friends of Rene Gonzalez; Friends of Sam Adams; Friends of Vadim; Portland Accountability PAC</t>
  </si>
  <si>
    <t xml:space="preserve">P021</t>
  </si>
  <si>
    <t xml:space="preserve">Friends of Rene Gonzalez; Portland Accountability PAC</t>
  </si>
  <si>
    <t xml:space="preserve">P022</t>
  </si>
  <si>
    <t xml:space="preserve">Kellie Torres, Olivia Clark, Eric Zimmerman, Eli Arnold, Julia Brim-Edwards</t>
  </si>
  <si>
    <t xml:space="preserve">P023</t>
  </si>
  <si>
    <t xml:space="preserve">Portland Accountability PAC</t>
  </si>
  <si>
    <t xml:space="preserve">P024</t>
  </si>
  <si>
    <t xml:space="preserve">Friends of Rene Gonzalez</t>
  </si>
  <si>
    <t xml:space="preserve">P025</t>
  </si>
  <si>
    <t xml:space="preserve">P026</t>
  </si>
  <si>
    <t xml:space="preserve">P027</t>
  </si>
  <si>
    <t xml:space="preserve">P028</t>
  </si>
  <si>
    <t xml:space="preserve">Friends of Rene Gonzalez; Vote Vasquez</t>
  </si>
  <si>
    <t xml:space="preserve">P029</t>
  </si>
  <si>
    <t xml:space="preserve">P030</t>
  </si>
  <si>
    <t xml:space="preserve">P031</t>
  </si>
  <si>
    <t xml:space="preserve">Friends of Vadim; Vote Vasquez</t>
  </si>
  <si>
    <t xml:space="preserve">P032</t>
  </si>
  <si>
    <t xml:space="preserve">Friends of Pam Treece; Friends of Sam Adams</t>
  </si>
  <si>
    <t xml:space="preserve">P033</t>
  </si>
  <si>
    <t xml:space="preserve">Friends of Rene Gonzalez; Friends of Vadim; Portland Accountability PAC</t>
  </si>
  <si>
    <t xml:space="preserve">P034</t>
  </si>
  <si>
    <t xml:space="preserve">P035</t>
  </si>
  <si>
    <t xml:space="preserve">P036</t>
  </si>
  <si>
    <t xml:space="preserve">P037</t>
  </si>
  <si>
    <t xml:space="preserve">P038</t>
  </si>
  <si>
    <t xml:space="preserve">P039</t>
  </si>
  <si>
    <t xml:space="preserve">P040</t>
  </si>
  <si>
    <t xml:space="preserve">Friends of Vadim; Portland Accountability PAC</t>
  </si>
  <si>
    <t xml:space="preserve">P041</t>
  </si>
  <si>
    <t xml:space="preserve">Friends of Pam Treece; Friends of Vadim</t>
  </si>
  <si>
    <t xml:space="preserve">P042</t>
  </si>
  <si>
    <t xml:space="preserve">P043</t>
  </si>
  <si>
    <t xml:space="preserve">P044</t>
  </si>
  <si>
    <t xml:space="preserve">P045</t>
  </si>
  <si>
    <t xml:space="preserve">P046</t>
  </si>
  <si>
    <t xml:space="preserve">Friends of Rene Gonzalez; Friends of Sam Adams; Friends of Vadim; Vote Vasquez</t>
  </si>
  <si>
    <t xml:space="preserve">P047</t>
  </si>
  <si>
    <t xml:space="preserve">P048</t>
  </si>
  <si>
    <t xml:space="preserve">P049</t>
  </si>
  <si>
    <t xml:space="preserve">P050</t>
  </si>
  <si>
    <t xml:space="preserve">P051</t>
  </si>
  <si>
    <t xml:space="preserve">P052</t>
  </si>
  <si>
    <t xml:space="preserve">P053</t>
  </si>
  <si>
    <t xml:space="preserve">Vote Vasquez</t>
  </si>
  <si>
    <t xml:space="preserve">P054</t>
  </si>
  <si>
    <t xml:space="preserve">P055</t>
  </si>
  <si>
    <t xml:space="preserve">P056</t>
  </si>
  <si>
    <t xml:space="preserve">P057</t>
  </si>
  <si>
    <t xml:space="preserve">Friends of Sam Adams; Friends of Vadim</t>
  </si>
  <si>
    <t xml:space="preserve">P058</t>
  </si>
  <si>
    <t xml:space="preserve">P059</t>
  </si>
  <si>
    <t xml:space="preserve">P060</t>
  </si>
  <si>
    <t xml:space="preserve">P061</t>
  </si>
  <si>
    <t xml:space="preserve">P062</t>
  </si>
  <si>
    <t xml:space="preserve">Steve Novick, Olivia Clark</t>
  </si>
  <si>
    <t xml:space="preserve">P063</t>
  </si>
  <si>
    <t xml:space="preserve">P064</t>
  </si>
  <si>
    <t xml:space="preserve">P065</t>
  </si>
  <si>
    <t xml:space="preserve">P066</t>
  </si>
  <si>
    <t xml:space="preserve">P067</t>
  </si>
  <si>
    <t xml:space="preserve">Friends of Sam Adams; Friends of Vadim; Portland Accountability PAC</t>
  </si>
  <si>
    <t xml:space="preserve">P068</t>
  </si>
  <si>
    <t xml:space="preserve">P069</t>
  </si>
  <si>
    <t xml:space="preserve">P070</t>
  </si>
  <si>
    <t xml:space="preserve">P071</t>
  </si>
  <si>
    <t xml:space="preserve">Steve Novick, Olivia Clark, Eric Zimmerman, Eli Arnold</t>
  </si>
  <si>
    <t xml:space="preserve">P072</t>
  </si>
  <si>
    <t xml:space="preserve">P073</t>
  </si>
  <si>
    <t xml:space="preserve">P074</t>
  </si>
  <si>
    <t xml:space="preserve">P075</t>
  </si>
  <si>
    <t xml:space="preserve">P076</t>
  </si>
  <si>
    <t xml:space="preserve">Friends of Rene Gonzalez; Friends of Sam Adams; Vote Vasquez</t>
  </si>
  <si>
    <t xml:space="preserve">P077</t>
  </si>
  <si>
    <t xml:space="preserve">Friends of Sam Adams; Friends of Vadim; Vote Vasquez</t>
  </si>
  <si>
    <t xml:space="preserve">P078</t>
  </si>
  <si>
    <t xml:space="preserve">P079</t>
  </si>
  <si>
    <t xml:space="preserve">Friends of Rene Gonzalez; Friends of Vadim; Vote Vasquez</t>
  </si>
  <si>
    <t xml:space="preserve">P080</t>
  </si>
  <si>
    <t xml:space="preserve">P081</t>
  </si>
  <si>
    <t xml:space="preserve">P082</t>
  </si>
  <si>
    <t xml:space="preserve">P083</t>
  </si>
  <si>
    <t xml:space="preserve">P084</t>
  </si>
  <si>
    <t xml:space="preserve">P085</t>
  </si>
  <si>
    <t xml:space="preserve">P086</t>
  </si>
  <si>
    <t xml:space="preserve">P087</t>
  </si>
  <si>
    <t xml:space="preserve">P088</t>
  </si>
  <si>
    <t xml:space="preserve">P089</t>
  </si>
  <si>
    <t xml:space="preserve">P090</t>
  </si>
  <si>
    <t xml:space="preserve">P091</t>
  </si>
  <si>
    <t xml:space="preserve">P092</t>
  </si>
  <si>
    <t xml:space="preserve">P093</t>
  </si>
  <si>
    <t xml:space="preserve">P094</t>
  </si>
  <si>
    <t xml:space="preserve">P095</t>
  </si>
  <si>
    <t xml:space="preserve">P096</t>
  </si>
  <si>
    <t xml:space="preserve">P097</t>
  </si>
  <si>
    <t xml:space="preserve">Friends of Pam Treece; Friends of Rene Gonzalez; Friends of Sam Adams; Friends of Vadim; Portland Accountability PAC; Vote Vasquez</t>
  </si>
  <si>
    <t xml:space="preserve">P098</t>
  </si>
  <si>
    <t xml:space="preserve">P099</t>
  </si>
  <si>
    <t xml:space="preserve">P100</t>
  </si>
  <si>
    <t xml:space="preserve">P101</t>
  </si>
  <si>
    <t xml:space="preserve">P102</t>
  </si>
  <si>
    <t xml:space="preserve">P103</t>
  </si>
  <si>
    <t xml:space="preserve">P104</t>
  </si>
  <si>
    <t xml:space="preserve">P105</t>
  </si>
  <si>
    <t xml:space="preserve">P106</t>
  </si>
  <si>
    <t xml:space="preserve">P107</t>
  </si>
  <si>
    <t xml:space="preserve">P108</t>
  </si>
  <si>
    <t xml:space="preserve">P109</t>
  </si>
  <si>
    <t xml:space="preserve">P110</t>
  </si>
  <si>
    <t xml:space="preserve">P111</t>
  </si>
  <si>
    <t xml:space="preserve">P112</t>
  </si>
  <si>
    <t xml:space="preserve">P113</t>
  </si>
  <si>
    <t xml:space="preserve">P114</t>
  </si>
  <si>
    <t xml:space="preserve">P115</t>
  </si>
  <si>
    <t xml:space="preserve">P116</t>
  </si>
  <si>
    <t xml:space="preserve">P117</t>
  </si>
  <si>
    <t xml:space="preserve">Friends of Pam Treece; Friends of Rene Gonzalez; Friends of Sam Adams; Vote Vasquez</t>
  </si>
  <si>
    <t xml:space="preserve">P118</t>
  </si>
  <si>
    <t xml:space="preserve">P119</t>
  </si>
  <si>
    <t xml:space="preserve">P120</t>
  </si>
  <si>
    <t xml:space="preserve">P121</t>
  </si>
  <si>
    <t xml:space="preserve">P122</t>
  </si>
  <si>
    <t xml:space="preserve">P123</t>
  </si>
  <si>
    <t xml:space="preserve">P124</t>
  </si>
  <si>
    <t xml:space="preserve">P125</t>
  </si>
  <si>
    <t xml:space="preserve">P126</t>
  </si>
  <si>
    <t xml:space="preserve">P127</t>
  </si>
  <si>
    <t xml:space="preserve">P128</t>
  </si>
  <si>
    <t xml:space="preserve">P129</t>
  </si>
  <si>
    <t xml:space="preserve">P130</t>
  </si>
  <si>
    <t xml:space="preserve">P131</t>
  </si>
  <si>
    <t xml:space="preserve">P132</t>
  </si>
  <si>
    <t xml:space="preserve">P133</t>
  </si>
  <si>
    <t xml:space="preserve">P134</t>
  </si>
  <si>
    <t xml:space="preserve">Friends of Rene Gonzalez; Friends of Vadim; Portland Accountability PAC; Vote Vasquez</t>
  </si>
  <si>
    <t xml:space="preserve">P135</t>
  </si>
  <si>
    <t xml:space="preserve">Kellie Torres, Olivia Clark, Eric Zimmerman, Eli Arnold</t>
  </si>
  <si>
    <t xml:space="preserve">P136</t>
  </si>
  <si>
    <t xml:space="preserve">P137</t>
  </si>
  <si>
    <t xml:space="preserve">P138</t>
  </si>
  <si>
    <t xml:space="preserve">P139</t>
  </si>
  <si>
    <t xml:space="preserve">P140</t>
  </si>
  <si>
    <t xml:space="preserve">P141</t>
  </si>
  <si>
    <t xml:space="preserve">P142</t>
  </si>
  <si>
    <t xml:space="preserve">Kellie Torres, Eli Arnold</t>
  </si>
  <si>
    <t xml:space="preserve">P143</t>
  </si>
  <si>
    <t xml:space="preserve">P144</t>
  </si>
  <si>
    <t xml:space="preserve">P145</t>
  </si>
  <si>
    <t xml:space="preserve">P146</t>
  </si>
  <si>
    <t xml:space="preserve">P147</t>
  </si>
  <si>
    <t xml:space="preserve">P148</t>
  </si>
  <si>
    <t xml:space="preserve">P149</t>
  </si>
  <si>
    <t xml:space="preserve">P150</t>
  </si>
  <si>
    <t xml:space="preserve">P151</t>
  </si>
  <si>
    <t xml:space="preserve">P152</t>
  </si>
  <si>
    <t xml:space="preserve">P153</t>
  </si>
  <si>
    <t xml:space="preserve">P154</t>
  </si>
  <si>
    <t xml:space="preserve">P155</t>
  </si>
  <si>
    <t xml:space="preserve">P156</t>
  </si>
  <si>
    <t xml:space="preserve">Kellie Torres, Steve Novick, Julia Brim-Edwards</t>
  </si>
  <si>
    <t xml:space="preserve">P157</t>
  </si>
  <si>
    <t xml:space="preserve">P158</t>
  </si>
  <si>
    <t xml:space="preserve">P159</t>
  </si>
  <si>
    <t xml:space="preserve">P160</t>
  </si>
  <si>
    <t xml:space="preserve">P161</t>
  </si>
  <si>
    <t xml:space="preserve">P162</t>
  </si>
  <si>
    <t xml:space="preserve">P163</t>
  </si>
  <si>
    <t xml:space="preserve">P164</t>
  </si>
  <si>
    <t xml:space="preserve">Kellie Torres, Olivia Clark</t>
  </si>
  <si>
    <t xml:space="preserve">P165</t>
  </si>
  <si>
    <t xml:space="preserve">P166</t>
  </si>
  <si>
    <t xml:space="preserve">P167</t>
  </si>
  <si>
    <t xml:space="preserve">P168</t>
  </si>
  <si>
    <t xml:space="preserve">P169</t>
  </si>
  <si>
    <t xml:space="preserve">P170</t>
  </si>
  <si>
    <t xml:space="preserve">Friends of Rene Gonzalez; Portland Accountability PAC; Vote Vasquez</t>
  </si>
  <si>
    <t xml:space="preserve">P171</t>
  </si>
  <si>
    <t xml:space="preserve">P172</t>
  </si>
  <si>
    <t xml:space="preserve">P173</t>
  </si>
  <si>
    <t xml:space="preserve">P174</t>
  </si>
  <si>
    <t xml:space="preserve">Friends of Vadim; Portland Accountability PAC; Vote Vasquez</t>
  </si>
  <si>
    <t xml:space="preserve">P175</t>
  </si>
  <si>
    <t xml:space="preserve">P176</t>
  </si>
  <si>
    <t xml:space="preserve">P177</t>
  </si>
  <si>
    <t xml:space="preserve">P178</t>
  </si>
  <si>
    <t xml:space="preserve">P179</t>
  </si>
  <si>
    <t xml:space="preserve">P180</t>
  </si>
  <si>
    <t xml:space="preserve">P181</t>
  </si>
  <si>
    <t xml:space="preserve">P182</t>
  </si>
  <si>
    <t xml:space="preserve">P183</t>
  </si>
  <si>
    <t xml:space="preserve">P184</t>
  </si>
  <si>
    <t xml:space="preserve">P185</t>
  </si>
  <si>
    <t xml:space="preserve">P186</t>
  </si>
  <si>
    <t xml:space="preserve">P187</t>
  </si>
  <si>
    <t xml:space="preserve">P188</t>
  </si>
  <si>
    <t xml:space="preserve">P189</t>
  </si>
  <si>
    <t xml:space="preserve">P190</t>
  </si>
  <si>
    <t xml:space="preserve">Kellie Torres, Steve Novick</t>
  </si>
  <si>
    <t xml:space="preserve">P191</t>
  </si>
  <si>
    <t xml:space="preserve">P192</t>
  </si>
  <si>
    <t xml:space="preserve">P193</t>
  </si>
  <si>
    <t xml:space="preserve">P194</t>
  </si>
  <si>
    <t xml:space="preserve">P195</t>
  </si>
  <si>
    <t xml:space="preserve">P196</t>
  </si>
  <si>
    <t xml:space="preserve">P197</t>
  </si>
  <si>
    <t xml:space="preserve">P198</t>
  </si>
  <si>
    <t xml:space="preserve">P199</t>
  </si>
  <si>
    <t xml:space="preserve">P200</t>
  </si>
  <si>
    <t xml:space="preserve">P201</t>
  </si>
  <si>
    <t xml:space="preserve">P202</t>
  </si>
  <si>
    <t xml:space="preserve">P203</t>
  </si>
  <si>
    <t xml:space="preserve">P204</t>
  </si>
  <si>
    <t xml:space="preserve">P205</t>
  </si>
  <si>
    <t xml:space="preserve">P206</t>
  </si>
  <si>
    <t xml:space="preserve">P207</t>
  </si>
  <si>
    <t xml:space="preserve">P208</t>
  </si>
  <si>
    <t xml:space="preserve">P209</t>
  </si>
  <si>
    <t xml:space="preserve">P210</t>
  </si>
  <si>
    <t xml:space="preserve">P211</t>
  </si>
  <si>
    <t xml:space="preserve">P212</t>
  </si>
  <si>
    <t xml:space="preserve">P213</t>
  </si>
  <si>
    <t xml:space="preserve">Kellie Torres, Eric Zimmerman, Eli Arnold, Julia Brim-Edwards</t>
  </si>
  <si>
    <t xml:space="preserve">P214</t>
  </si>
  <si>
    <t xml:space="preserve">P215</t>
  </si>
  <si>
    <t xml:space="preserve">P216</t>
  </si>
  <si>
    <t xml:space="preserve">P217</t>
  </si>
  <si>
    <t xml:space="preserve">P218</t>
  </si>
  <si>
    <t xml:space="preserve">P219</t>
  </si>
  <si>
    <t xml:space="preserve">P220</t>
  </si>
  <si>
    <t xml:space="preserve">P221</t>
  </si>
  <si>
    <t xml:space="preserve">P222</t>
  </si>
  <si>
    <t xml:space="preserve">P223</t>
  </si>
  <si>
    <t xml:space="preserve">P224</t>
  </si>
  <si>
    <t xml:space="preserve">P225</t>
  </si>
  <si>
    <t xml:space="preserve">P226</t>
  </si>
  <si>
    <t xml:space="preserve">P227</t>
  </si>
  <si>
    <t xml:space="preserve">P228</t>
  </si>
  <si>
    <t xml:space="preserve">P229</t>
  </si>
  <si>
    <t xml:space="preserve">P230</t>
  </si>
  <si>
    <t xml:space="preserve">P231</t>
  </si>
  <si>
    <t xml:space="preserve">P232</t>
  </si>
  <si>
    <t xml:space="preserve">P233</t>
  </si>
  <si>
    <t xml:space="preserve">Friends of Pam Treece; Friends of Rene Gonzalez; Friends of Vadim; Vote Vasquez</t>
  </si>
  <si>
    <t xml:space="preserve">P234</t>
  </si>
  <si>
    <t xml:space="preserve">P235</t>
  </si>
  <si>
    <t xml:space="preserve">P236</t>
  </si>
  <si>
    <t xml:space="preserve">P237</t>
  </si>
  <si>
    <t xml:space="preserve">P238</t>
  </si>
  <si>
    <t xml:space="preserve">P239</t>
  </si>
  <si>
    <t xml:space="preserve">P240</t>
  </si>
  <si>
    <t xml:space="preserve">P241</t>
  </si>
  <si>
    <t xml:space="preserve">P242</t>
  </si>
  <si>
    <t xml:space="preserve">P243</t>
  </si>
  <si>
    <t xml:space="preserve">P244</t>
  </si>
  <si>
    <t xml:space="preserve">P245</t>
  </si>
  <si>
    <t xml:space="preserve">One row per donor per candidate. A household that gave to three candidates appears three times; two people in one household who both gave to the same candidate appear twice.</t>
  </si>
  <si>
    <t xml:space="preserve">Republican gifts ($, rounded)</t>
  </si>
  <si>
    <t xml:space="preserve">Candidate gifts (Filer Id:Tran Id)</t>
  </si>
  <si>
    <t xml:space="preserve">24897:5846576; 24897:5846642</t>
  </si>
  <si>
    <t xml:space="preserve">24897:5810934</t>
  </si>
  <si>
    <t xml:space="preserve">24897:5873385</t>
  </si>
  <si>
    <t xml:space="preserve">24897:5760928; 24897:5873453</t>
  </si>
  <si>
    <t xml:space="preserve">24897:5812169</t>
  </si>
  <si>
    <t xml:space="preserve">24897:5846623</t>
  </si>
  <si>
    <t xml:space="preserve">15192:2982931; 15192:3054852; 15192:3069502</t>
  </si>
  <si>
    <t xml:space="preserve">24897:5658420</t>
  </si>
  <si>
    <t xml:space="preserve">Same street and ZIP with house numbers one digit apart, and the same distinctive employer under two names.</t>
  </si>
  <si>
    <t xml:space="preserve">24897:5846625</t>
  </si>
  <si>
    <t xml:space="preserve">24897:5878236</t>
  </si>
  <si>
    <t xml:space="preserve">Friends of Will Lathrop; Knute for Governor</t>
  </si>
  <si>
    <t xml:space="preserve">24897:5780400; 24897:5831612</t>
  </si>
  <si>
    <t xml:space="preserve">15192:2622425; 15192:3050049; 21896:4770292</t>
  </si>
  <si>
    <t xml:space="preserve">Bud Pierce for a Better Oregon; Friends of Will Lathrop; Knute for Governor</t>
  </si>
  <si>
    <t xml:space="preserve">24897:5761006</t>
  </si>
  <si>
    <t xml:space="preserve">15192:1176724; 15192:1413842; 17397:2293621; 15192:2733414; 15192:2790090; 21896:4775465; 21896:5086955</t>
  </si>
  <si>
    <t xml:space="preserve">24897:5846627</t>
  </si>
  <si>
    <t xml:space="preserve">15627:1267733; 15627:1840306; 15627:2346191; 4155:2350441; 4155:2428898; 15192:2591021; 19050:3033736; 15627:4368289; 24485:5485678</t>
  </si>
  <si>
    <t xml:space="preserve">24897:5846650</t>
  </si>
  <si>
    <t xml:space="preserve">Same address; one filing misspells the street name.</t>
  </si>
  <si>
    <t xml:space="preserve">24897:5633829</t>
  </si>
  <si>
    <t xml:space="preserve">24897:5850025</t>
  </si>
  <si>
    <t xml:space="preserve">24897:5733633</t>
  </si>
  <si>
    <t xml:space="preserve">12878:2235669</t>
  </si>
  <si>
    <t xml:space="preserve">24897:5873463</t>
  </si>
  <si>
    <t xml:space="preserve">24897:5760893</t>
  </si>
  <si>
    <t xml:space="preserve">Other filings tie both addresses to the same employer.</t>
  </si>
  <si>
    <t xml:space="preserve">24897:5780412</t>
  </si>
  <si>
    <t xml:space="preserve">24897:5850084</t>
  </si>
  <si>
    <t xml:space="preserve">24897:5873378</t>
  </si>
  <si>
    <t xml:space="preserve">24897:5760900</t>
  </si>
  <si>
    <t xml:space="preserve">24897:5761015</t>
  </si>
  <si>
    <t xml:space="preserve">24897:5760925; 24897:5888824</t>
  </si>
  <si>
    <t xml:space="preserve">24897:5873386</t>
  </si>
  <si>
    <t xml:space="preserve">24897:5873439</t>
  </si>
  <si>
    <t xml:space="preserve">24897:5780402</t>
  </si>
  <si>
    <t xml:space="preserve">15109:5863396</t>
  </si>
  <si>
    <t xml:space="preserve">Friends of Allen Alley; Friends of Christine Drazan</t>
  </si>
  <si>
    <t xml:space="preserve">15109:5853319</t>
  </si>
  <si>
    <t xml:space="preserve">12878:2206664; 19050:4388949; 19050:5722342; 19050:5838902</t>
  </si>
  <si>
    <t xml:space="preserve">15109:4785325; 15109:5685046; 15109:5830453</t>
  </si>
  <si>
    <t xml:space="preserve">15109:5717509</t>
  </si>
  <si>
    <t xml:space="preserve">15109:5717485</t>
  </si>
  <si>
    <t xml:space="preserve">15109:5685078</t>
  </si>
  <si>
    <t xml:space="preserve">15109:5732244</t>
  </si>
  <si>
    <t xml:space="preserve">15109:5793246</t>
  </si>
  <si>
    <t xml:space="preserve">15109:4813722; 15109:5080567; 15109:5503410</t>
  </si>
  <si>
    <t xml:space="preserve">15109:5830354</t>
  </si>
  <si>
    <t xml:space="preserve">15109:4725902; 15109:5685083</t>
  </si>
  <si>
    <t xml:space="preserve">15109:5830477</t>
  </si>
  <si>
    <t xml:space="preserve">15109:5021873; 15109:5830533</t>
  </si>
  <si>
    <t xml:space="preserve">15109:5845072</t>
  </si>
  <si>
    <t xml:space="preserve">15109:4772833; 15109:5793318</t>
  </si>
  <si>
    <t xml:space="preserve">15109:4725830</t>
  </si>
  <si>
    <t xml:space="preserve">15109:5845070</t>
  </si>
  <si>
    <t xml:space="preserve">15109:5022124</t>
  </si>
  <si>
    <t xml:space="preserve">15109:5685085</t>
  </si>
  <si>
    <t xml:space="preserve">15109:5685080</t>
  </si>
  <si>
    <t xml:space="preserve">15109:4865073</t>
  </si>
  <si>
    <t xml:space="preserve">15109:5889564</t>
  </si>
  <si>
    <t xml:space="preserve">15109:5889571</t>
  </si>
  <si>
    <t xml:space="preserve">15109:5685116</t>
  </si>
  <si>
    <t xml:space="preserve">23199:4712016</t>
  </si>
  <si>
    <t xml:space="preserve">23199:5085923; 23199:5633047</t>
  </si>
  <si>
    <t xml:space="preserve">23199:4842656; 23199:5844178</t>
  </si>
  <si>
    <t xml:space="preserve">23199:4778922</t>
  </si>
  <si>
    <t xml:space="preserve">23199:5844219</t>
  </si>
  <si>
    <t xml:space="preserve">23199:5375105; 23199:5473737</t>
  </si>
  <si>
    <t xml:space="preserve">23199:4931476; 23199:5844223</t>
  </si>
  <si>
    <t xml:space="preserve">23199:5800302</t>
  </si>
  <si>
    <t xml:space="preserve">23199:5633082</t>
  </si>
  <si>
    <t xml:space="preserve">4155:1793078; 4155:1852194</t>
  </si>
  <si>
    <t xml:space="preserve">23199:5868476</t>
  </si>
  <si>
    <t xml:space="preserve">23199:5061732; 23199:5473715</t>
  </si>
  <si>
    <t xml:space="preserve">23199:4907904; 23199:5844271</t>
  </si>
  <si>
    <t xml:space="preserve">23199:5844238</t>
  </si>
  <si>
    <t xml:space="preserve">23199:5850415</t>
  </si>
  <si>
    <t xml:space="preserve">23199:5844270</t>
  </si>
  <si>
    <t xml:space="preserve">23199:5844241</t>
  </si>
  <si>
    <t xml:space="preserve">23199:5005001; 23199:5375098</t>
  </si>
  <si>
    <t xml:space="preserve">15192:2670230; 15192:2804186; 15192:2880177</t>
  </si>
  <si>
    <t xml:space="preserve">23199:5586577</t>
  </si>
  <si>
    <t xml:space="preserve">23199:5844288</t>
  </si>
  <si>
    <t xml:space="preserve">23199:5844264</t>
  </si>
  <si>
    <t xml:space="preserve">23199:5098690</t>
  </si>
  <si>
    <t xml:space="preserve">23199:4966473</t>
  </si>
  <si>
    <t xml:space="preserve">23199:5868467</t>
  </si>
  <si>
    <t xml:space="preserve">23199:5868498</t>
  </si>
  <si>
    <t xml:space="preserve">23199:5005047</t>
  </si>
  <si>
    <t xml:space="preserve">23199:5047884; 23199:5850413</t>
  </si>
  <si>
    <t xml:space="preserve">23199:5850412</t>
  </si>
  <si>
    <t xml:space="preserve">23199:5850411</t>
  </si>
  <si>
    <t xml:space="preserve">23199:5685642</t>
  </si>
  <si>
    <t xml:space="preserve">23199:5844160</t>
  </si>
  <si>
    <t xml:space="preserve">23199:5868461</t>
  </si>
  <si>
    <t xml:space="preserve">17629:5679870</t>
  </si>
  <si>
    <t xml:space="preserve">17629:5813937</t>
  </si>
  <si>
    <t xml:space="preserve">17629:5852827</t>
  </si>
  <si>
    <t xml:space="preserve">17629:5852794</t>
  </si>
  <si>
    <t xml:space="preserve">17629:5868399</t>
  </si>
  <si>
    <t xml:space="preserve">17629:4993456; 17629:5813957</t>
  </si>
  <si>
    <t xml:space="preserve">17629:5017065; 17629:5813892</t>
  </si>
  <si>
    <t xml:space="preserve">17629:5778160; 17629:5813959</t>
  </si>
  <si>
    <t xml:space="preserve">17629:5813894</t>
  </si>
  <si>
    <t xml:space="preserve">17629:5679864</t>
  </si>
  <si>
    <t xml:space="preserve">2752:1155723; 2752:1389544; 15192:1412291; 2752:1799268</t>
  </si>
  <si>
    <t xml:space="preserve">17629:4993392</t>
  </si>
  <si>
    <t xml:space="preserve">17629:4968603; 17629:5651895</t>
  </si>
  <si>
    <t xml:space="preserve">17629:5778135</t>
  </si>
  <si>
    <t xml:space="preserve">17629:5828909</t>
  </si>
  <si>
    <t xml:space="preserve">17629:5679849</t>
  </si>
  <si>
    <t xml:space="preserve">17629:5852823</t>
  </si>
  <si>
    <t xml:space="preserve">17629:5778131</t>
  </si>
  <si>
    <t xml:space="preserve">17629:5778130</t>
  </si>
  <si>
    <t xml:space="preserve">17629:5828875</t>
  </si>
  <si>
    <t xml:space="preserve">17629:5828801</t>
  </si>
  <si>
    <t xml:space="preserve">21896:5123848</t>
  </si>
  <si>
    <t xml:space="preserve">17629:5852820</t>
  </si>
  <si>
    <t xml:space="preserve">17629:5813995</t>
  </si>
  <si>
    <t xml:space="preserve">17629:4993430</t>
  </si>
  <si>
    <t xml:space="preserve">17629:5778159</t>
  </si>
  <si>
    <t xml:space="preserve">17629:5704561; 17629:5704596</t>
  </si>
  <si>
    <t xml:space="preserve">17629:5562822</t>
  </si>
  <si>
    <t xml:space="preserve">17629:5679863; 17629:5704592; 17629:5747532; 17629:5778065; 17629:5813878; 17629:5813946; 17629:5858311</t>
  </si>
  <si>
    <t xml:space="preserve">17629:5778150</t>
  </si>
  <si>
    <t xml:space="preserve">17629:5828869</t>
  </si>
  <si>
    <t xml:space="preserve">17629:5051375</t>
  </si>
  <si>
    <t xml:space="preserve">17629:5598564</t>
  </si>
  <si>
    <t xml:space="preserve">17629:5005275; 17629:5778125</t>
  </si>
  <si>
    <t xml:space="preserve">17629:5778143</t>
  </si>
  <si>
    <t xml:space="preserve">17629:5852822</t>
  </si>
  <si>
    <t xml:space="preserve">17629:5813973</t>
  </si>
  <si>
    <t xml:space="preserve">17629:5704579</t>
  </si>
  <si>
    <t xml:space="preserve">17629:5876489</t>
  </si>
  <si>
    <t xml:space="preserve">17629:5887697</t>
  </si>
  <si>
    <t xml:space="preserve">17629:5858347</t>
  </si>
  <si>
    <t xml:space="preserve">17629:5704591; 17629:5778103</t>
  </si>
  <si>
    <t xml:space="preserve">17629:5813886</t>
  </si>
  <si>
    <t xml:space="preserve">Friends of Christine Drazan; Friends of Will Lathrop; Knute for Governor</t>
  </si>
  <si>
    <t xml:space="preserve">23295:5674943; 23295:5686494</t>
  </si>
  <si>
    <t xml:space="preserve">15192:2620145; 15192:2620146; 15192:2889599; 15192:2894245; 15192:2948046; 15192:3003198; 15192:3009905; 19050:4375712; 21896:5086898</t>
  </si>
  <si>
    <t xml:space="preserve">23295:5704040; 23295:5820984</t>
  </si>
  <si>
    <t xml:space="preserve">23295:5865555</t>
  </si>
  <si>
    <t xml:space="preserve">23295:5821161</t>
  </si>
  <si>
    <t xml:space="preserve">23295:5554616; 23295:5850163</t>
  </si>
  <si>
    <t xml:space="preserve">23295:5704060</t>
  </si>
  <si>
    <t xml:space="preserve">23295:4926096; 23295:4943195; 23295:5820948</t>
  </si>
  <si>
    <t xml:space="preserve">23295:4993300</t>
  </si>
  <si>
    <t xml:space="preserve">23295:5459859</t>
  </si>
  <si>
    <t xml:space="preserve">23295:4926098; 23295:4967778; 23295:4993243; 23295:5032635; 23295:5459908</t>
  </si>
  <si>
    <t xml:space="preserve">23295:4967797; 23295:5686478; 23295:5704091; 23295:5747078; 23295:5786029; 23295:5820959; 23295:5820960; 23295:5865526</t>
  </si>
  <si>
    <t xml:space="preserve">23295:5098332</t>
  </si>
  <si>
    <t xml:space="preserve">23295:5032662</t>
  </si>
  <si>
    <t xml:space="preserve">23295:5032641</t>
  </si>
  <si>
    <t xml:space="preserve">23295:5064945</t>
  </si>
  <si>
    <t xml:space="preserve">19050:3990333</t>
  </si>
  <si>
    <t xml:space="preserve">23295:5747140</t>
  </si>
  <si>
    <t xml:space="preserve">23295:5459961</t>
  </si>
  <si>
    <t xml:space="preserve">23295:5459905</t>
  </si>
  <si>
    <t xml:space="preserve">23295:5573046</t>
  </si>
  <si>
    <t xml:space="preserve">23295:5083355; 23295:5122815</t>
  </si>
  <si>
    <t xml:space="preserve">21206:4536309; 21206:4853079</t>
  </si>
  <si>
    <t xml:space="preserve">21206:5627329</t>
  </si>
  <si>
    <t xml:space="preserve">12878:406431</t>
  </si>
  <si>
    <t xml:space="preserve">21206:4572188</t>
  </si>
  <si>
    <t xml:space="preserve">12878:436939</t>
  </si>
  <si>
    <t xml:space="preserve">21206:4551175; 21206:5747271</t>
  </si>
  <si>
    <t xml:space="preserve">21206:4536329</t>
  </si>
  <si>
    <t xml:space="preserve">21206:4551178; 21206:5555089</t>
  </si>
  <si>
    <t xml:space="preserve">13998:881222; 13998:903723</t>
  </si>
  <si>
    <t xml:space="preserve">21206:4551179; 21206:4853109</t>
  </si>
  <si>
    <t xml:space="preserve">21206:4530526; 21206:4913050; 21206:5555015</t>
  </si>
  <si>
    <t xml:space="preserve">21206:4551189</t>
  </si>
  <si>
    <t xml:space="preserve">21206:4568202; 21206:4921372</t>
  </si>
  <si>
    <t xml:space="preserve">21206:4568186; 21206:5578333</t>
  </si>
  <si>
    <t xml:space="preserve">21896:4770292</t>
  </si>
  <si>
    <t xml:space="preserve">21206:4536304; 21206:5578345</t>
  </si>
  <si>
    <t xml:space="preserve">21206:4563014; 21206:4853135; 21206:5555061</t>
  </si>
  <si>
    <t xml:space="preserve">21206:5704160</t>
  </si>
  <si>
    <t xml:space="preserve">15192:1412312</t>
  </si>
  <si>
    <t xml:space="preserve">21206:4530578; 21206:4853174; 21206:5647915</t>
  </si>
  <si>
    <t xml:space="preserve">21206:5555087</t>
  </si>
  <si>
    <t xml:space="preserve">21206:4530557; 21206:4853139; 21206:5555028</t>
  </si>
  <si>
    <t xml:space="preserve">21206:4530484; 21206:5497844</t>
  </si>
  <si>
    <t xml:space="preserve">21206:4551187; 21206:5555055</t>
  </si>
  <si>
    <t xml:space="preserve">21206:4530522; 21206:4853068; 21206:5554984</t>
  </si>
  <si>
    <t xml:space="preserve">21206:4572194; 21206:5555057</t>
  </si>
  <si>
    <t xml:space="preserve">21206:5567230</t>
  </si>
  <si>
    <t xml:space="preserve">21206:4530510; 21206:4853064; 21206:5555005</t>
  </si>
  <si>
    <t xml:space="preserve">21206:4530521</t>
  </si>
  <si>
    <t xml:space="preserve">21206:4530518; 21206:5555100</t>
  </si>
  <si>
    <t xml:space="preserve">21206:4551192; 21206:4867891</t>
  </si>
  <si>
    <t xml:space="preserve">21206:4557176; 21206:5578348; 21206:5704183</t>
  </si>
  <si>
    <t xml:space="preserve">21206:5584304</t>
  </si>
  <si>
    <t xml:space="preserve">21206:4536327</t>
  </si>
  <si>
    <t xml:space="preserve">21206:4554403; 21206:5704147</t>
  </si>
  <si>
    <t xml:space="preserve">21206:4536323; 21206:5578340</t>
  </si>
  <si>
    <t xml:space="preserve">21206:4572228</t>
  </si>
  <si>
    <t xml:space="preserve">21206:4572220; 21206:5555099</t>
  </si>
  <si>
    <t xml:space="preserve">21206:4536325; 21206:5555053</t>
  </si>
  <si>
    <t xml:space="preserve">21206:4572232; 21206:4861356; 21206:5647922</t>
  </si>
  <si>
    <t xml:space="preserve">21206:4572236</t>
  </si>
  <si>
    <t xml:space="preserve">21206:5747274</t>
  </si>
  <si>
    <t xml:space="preserve">21206:4563017; 21206:5647956</t>
  </si>
  <si>
    <t xml:space="preserve">19050:3990334</t>
  </si>
  <si>
    <t xml:space="preserve">21206:5747279</t>
  </si>
  <si>
    <t xml:space="preserve">21206:5852754</t>
  </si>
  <si>
    <t xml:space="preserve">21206:4530537; 21206:4913051; 21206:5555072</t>
  </si>
  <si>
    <t xml:space="preserve">21206:5555045</t>
  </si>
  <si>
    <t xml:space="preserve">21206:4536303</t>
  </si>
  <si>
    <t xml:space="preserve">21206:5857113</t>
  </si>
  <si>
    <t xml:space="preserve">21206:5555120</t>
  </si>
  <si>
    <t xml:space="preserve">21206:4530520</t>
  </si>
  <si>
    <t xml:space="preserve">One row per donor per candidate with a Portland conservative match and no Republican match for that candidate. Household codes starting with H also gave to Republicans (for a different candidate's list), so they're counted with the Republican households, not again here.</t>
  </si>
  <si>
    <t xml:space="preserve">Latest gift (year)</t>
  </si>
  <si>
    <t xml:space="preserve">Gifts ($, rounded)</t>
  </si>
  <si>
    <t xml:space="preserve">Matched gifts (Filer Id:Tran Id)</t>
  </si>
  <si>
    <t xml:space="preserve">24897:5650886</t>
  </si>
  <si>
    <t xml:space="preserve">21605:4717577</t>
  </si>
  <si>
    <t xml:space="preserve">24897:5795605</t>
  </si>
  <si>
    <t xml:space="preserve">18397:5331987; 18397:5650357</t>
  </si>
  <si>
    <t xml:space="preserve">24897:5760926</t>
  </si>
  <si>
    <t xml:space="preserve">21605:4247886; 21605:4717384; 20340:5017668</t>
  </si>
  <si>
    <t xml:space="preserve">24897:5760999</t>
  </si>
  <si>
    <t xml:space="preserve">21605:4163904; 22544:4353412; 21632:4855356; 23012:4838518</t>
  </si>
  <si>
    <t xml:space="preserve">24897:5846621</t>
  </si>
  <si>
    <t xml:space="preserve">18397:2742120; 21605:4212650; 23012:4691279; 20340:4817184; 21632:5050809</t>
  </si>
  <si>
    <t xml:space="preserve">24897:5846636</t>
  </si>
  <si>
    <t xml:space="preserve">18397:5327498</t>
  </si>
  <si>
    <t xml:space="preserve">24897:5677837</t>
  </si>
  <si>
    <t xml:space="preserve">21605:4717388; 21632:4818979; 20340:4860433</t>
  </si>
  <si>
    <t xml:space="preserve">24897:5873435</t>
  </si>
  <si>
    <t xml:space="preserve">21632:4100110; 21605:4296448; 23012:4865300; 20340:5054041; 18397:5650349</t>
  </si>
  <si>
    <t xml:space="preserve">24897:5831608</t>
  </si>
  <si>
    <t xml:space="preserve">21605:4348575; 22544:4376954; 21605:4446786; 21605:4740731; 23012:4743886; 23012:4825947; 20340:5017680; 21632:5068200</t>
  </si>
  <si>
    <t xml:space="preserve">24897:5760991</t>
  </si>
  <si>
    <t xml:space="preserve">22544:4353407</t>
  </si>
  <si>
    <t xml:space="preserve">24897:5661433</t>
  </si>
  <si>
    <t xml:space="preserve">21632:4855333; 18397:5625561</t>
  </si>
  <si>
    <t xml:space="preserve">24897:5795599</t>
  </si>
  <si>
    <t xml:space="preserve">21632:4117135</t>
  </si>
  <si>
    <t xml:space="preserve">24897:5768608</t>
  </si>
  <si>
    <t xml:space="preserve">21632:4004678; 21605:4222777</t>
  </si>
  <si>
    <t xml:space="preserve">24897:5760657</t>
  </si>
  <si>
    <t xml:space="preserve">21632:3935234; 18397:4003181</t>
  </si>
  <si>
    <t xml:space="preserve">24897:5733635</t>
  </si>
  <si>
    <t xml:space="preserve">20340:3361958; 23012:4760163; 20340:4797838; 20340:4877666; 23012:4891771; 20340:4910124; 21605:4934407; 20340:5053996</t>
  </si>
  <si>
    <t xml:space="preserve">24897:5621364</t>
  </si>
  <si>
    <t xml:space="preserve">21605:4218977; 20340:4981797</t>
  </si>
  <si>
    <t xml:space="preserve">24897:5693477</t>
  </si>
  <si>
    <t xml:space="preserve">21605:3976952; 21605:4179507; 21605:4446929; 21605:4748792; 21632:4778143; 21605:5078067</t>
  </si>
  <si>
    <t xml:space="preserve">24897:5768631</t>
  </si>
  <si>
    <t xml:space="preserve">21605:4085190; 23012:4871696; 23012:4885468; 20340:4954334</t>
  </si>
  <si>
    <t xml:space="preserve">24897:5702009</t>
  </si>
  <si>
    <t xml:space="preserve">21605:3976956; 22544:4353383; 21605:4368545; 23012:4691280; 21632:4803645</t>
  </si>
  <si>
    <t xml:space="preserve">24897:5799865</t>
  </si>
  <si>
    <t xml:space="preserve">21632:4803646</t>
  </si>
  <si>
    <t xml:space="preserve">24897:5661427; 24897:5846638</t>
  </si>
  <si>
    <t xml:space="preserve">20340:4797903</t>
  </si>
  <si>
    <t xml:space="preserve">24897:5623660</t>
  </si>
  <si>
    <t xml:space="preserve">21632:4014604; 21605:4016648; 21605:4247865; 23012:4580750; 21605:4790160; 21632:4803637; 23012:4865326; 20340:5017669</t>
  </si>
  <si>
    <t xml:space="preserve">24897:5799812</t>
  </si>
  <si>
    <t xml:space="preserve">21632:4131057; 23012:4633224</t>
  </si>
  <si>
    <t xml:space="preserve">24897:5760961</t>
  </si>
  <si>
    <t xml:space="preserve">21632:3906322; 21605:4293193</t>
  </si>
  <si>
    <t xml:space="preserve">24897:5760954</t>
  </si>
  <si>
    <t xml:space="preserve">21632:3935231; 21605:4190900; 23012:4682730; 21605:4717582; 23012:4808406; 23012:4908865; 21605:4936323; 21605:5042386</t>
  </si>
  <si>
    <t xml:space="preserve">24897:5619029</t>
  </si>
  <si>
    <t xml:space="preserve">21605:4717600; 21632:4866945</t>
  </si>
  <si>
    <t xml:space="preserve">24897:5621631</t>
  </si>
  <si>
    <t xml:space="preserve">21605:4316385</t>
  </si>
  <si>
    <t xml:space="preserve">24897:5621739; 24897:5751736</t>
  </si>
  <si>
    <t xml:space="preserve">21632:4131070; 21605:4211440; 21632:4855373; 21632:4866951</t>
  </si>
  <si>
    <t xml:space="preserve">24897:5628086</t>
  </si>
  <si>
    <t xml:space="preserve">21632:4131046; 22544:4363464; 23012:4922898</t>
  </si>
  <si>
    <t xml:space="preserve">24897:5780409</t>
  </si>
  <si>
    <t xml:space="preserve">21605:4328834; 23012:4687588</t>
  </si>
  <si>
    <t xml:space="preserve">24897:5780401</t>
  </si>
  <si>
    <t xml:space="preserve">20340:4899769</t>
  </si>
  <si>
    <t xml:space="preserve">24897:5760835; 24897:5846662</t>
  </si>
  <si>
    <t xml:space="preserve">21632:4885382</t>
  </si>
  <si>
    <t xml:space="preserve">24897:5760836; 24897:5846663</t>
  </si>
  <si>
    <t xml:space="preserve">21632:4885380</t>
  </si>
  <si>
    <t xml:space="preserve">24897:5846626</t>
  </si>
  <si>
    <t xml:space="preserve">21605:3900521; 21605:4208097; 23012:4773706; 21632:4818955; 21632:4866931</t>
  </si>
  <si>
    <t xml:space="preserve">24897:5693516</t>
  </si>
  <si>
    <t xml:space="preserve">21605:4717535</t>
  </si>
  <si>
    <t xml:space="preserve">24897:5846652</t>
  </si>
  <si>
    <t xml:space="preserve">23012:4750800</t>
  </si>
  <si>
    <t xml:space="preserve">24897:5718815</t>
  </si>
  <si>
    <t xml:space="preserve">21632:4868075</t>
  </si>
  <si>
    <t xml:space="preserve">24897:5760936</t>
  </si>
  <si>
    <t xml:space="preserve">21605:4317894; 23012:4607925; 21605:4740729; 23012:4750807</t>
  </si>
  <si>
    <t xml:space="preserve">24897:5810899; 24897:5846665</t>
  </si>
  <si>
    <t xml:space="preserve">21605:4008762; 21605:4235734</t>
  </si>
  <si>
    <t xml:space="preserve">24897:5761000</t>
  </si>
  <si>
    <t xml:space="preserve">21632:4014593</t>
  </si>
  <si>
    <t xml:space="preserve">24897:5780405</t>
  </si>
  <si>
    <t xml:space="preserve">21605:4092724; 21605:4280347; 21605:5102292</t>
  </si>
  <si>
    <t xml:space="preserve">24897:5812171</t>
  </si>
  <si>
    <t xml:space="preserve">21632:3881670; 21605:4448377; 21605:4748793; 20340:4858163; 21632:4885392; 23012:4913249</t>
  </si>
  <si>
    <t xml:space="preserve">24897:5768606</t>
  </si>
  <si>
    <t xml:space="preserve">21632:3966922; 21632:4778122; 23012:4838503; 21632:5093151</t>
  </si>
  <si>
    <t xml:space="preserve">24897:5768616</t>
  </si>
  <si>
    <t xml:space="preserve">21605:4404055; 21605:4717494</t>
  </si>
  <si>
    <t xml:space="preserve">24897:5846622</t>
  </si>
  <si>
    <t xml:space="preserve">21605:4740726; 23012:4773673; 23012:4869292; 21605:5067539; 21605:5090041</t>
  </si>
  <si>
    <t xml:space="preserve">24897:5774897</t>
  </si>
  <si>
    <t xml:space="preserve">21632:4156262; 21605:4179532</t>
  </si>
  <si>
    <t xml:space="preserve">24897:5873437</t>
  </si>
  <si>
    <t xml:space="preserve">21605:4212654</t>
  </si>
  <si>
    <t xml:space="preserve">24897:5846643</t>
  </si>
  <si>
    <t xml:space="preserve">23012:4682709</t>
  </si>
  <si>
    <t xml:space="preserve">24897:5846628</t>
  </si>
  <si>
    <t xml:space="preserve">21632:4885393</t>
  </si>
  <si>
    <t xml:space="preserve">24897:5846637</t>
  </si>
  <si>
    <t xml:space="preserve">20340:4899770</t>
  </si>
  <si>
    <t xml:space="preserve">24897:5850083</t>
  </si>
  <si>
    <t xml:space="preserve">21605:3931299; 21632:3935217; 21605:4328772; 21605:4877546; 23012:4856764; 23012:4908809</t>
  </si>
  <si>
    <t xml:space="preserve">24897:5850096</t>
  </si>
  <si>
    <t xml:space="preserve">21605:4348558; 23012:4638926; 21632:4913166; 18397:5537687</t>
  </si>
  <si>
    <t xml:space="preserve">24897:5850095</t>
  </si>
  <si>
    <t xml:space="preserve">21605:4941173</t>
  </si>
  <si>
    <t xml:space="preserve">24897:5873381</t>
  </si>
  <si>
    <t xml:space="preserve">23012:4690925; 20340:5054038</t>
  </si>
  <si>
    <t xml:space="preserve">24897:5873436</t>
  </si>
  <si>
    <t xml:space="preserve">21605:4337179; 21605:5001169</t>
  </si>
  <si>
    <t xml:space="preserve">24897:5873446</t>
  </si>
  <si>
    <t xml:space="preserve">21605:4314705</t>
  </si>
  <si>
    <t xml:space="preserve">15109:5685094</t>
  </si>
  <si>
    <t xml:space="preserve">20340:3442713; 21632:3881710; 21605:3991736; 20340:4797834; 21632:4818975; 23012:4808398; 18397:5373198</t>
  </si>
  <si>
    <t xml:space="preserve">Friends of Pam Treece; Friends of Rene Gonzalez; Friends of Sam Adams; Friends of Vadim</t>
  </si>
  <si>
    <t xml:space="preserve">15109:5048207; 15109:5528670</t>
  </si>
  <si>
    <t xml:space="preserve">18397:2714932; 20340:3447890; 21632:3935289; 21632:3979739; 21605:4193373; 21632:4778206; 20340:4811670; 21605:4934433; 18397:5331987; 18397:5650357</t>
  </si>
  <si>
    <t xml:space="preserve">15109:5717503</t>
  </si>
  <si>
    <t xml:space="preserve">21605:4248167</t>
  </si>
  <si>
    <t xml:space="preserve">15109:5685079</t>
  </si>
  <si>
    <t xml:space="preserve">15109:5880073</t>
  </si>
  <si>
    <t xml:space="preserve">20340:4910158</t>
  </si>
  <si>
    <t xml:space="preserve">15109:5732274</t>
  </si>
  <si>
    <t xml:space="preserve">21632:3915644; 21605:4212669; 21632:4803656; 20340:4860435</t>
  </si>
  <si>
    <t xml:space="preserve">15109:4725810</t>
  </si>
  <si>
    <t xml:space="preserve">20340:4869102; 20340:5029328</t>
  </si>
  <si>
    <t xml:space="preserve">15109:5863411</t>
  </si>
  <si>
    <t xml:space="preserve">15109:5534844; 15109:5793207</t>
  </si>
  <si>
    <t xml:space="preserve">18397:2770769; 20340:4866773; 20340:5017686; 18397:5650355</t>
  </si>
  <si>
    <t xml:space="preserve">15109:5022146</t>
  </si>
  <si>
    <t xml:space="preserve">20340:3432721</t>
  </si>
  <si>
    <t xml:space="preserve">15109:4772839</t>
  </si>
  <si>
    <t xml:space="preserve">21605:4022116</t>
  </si>
  <si>
    <t xml:space="preserve">15109:4747982</t>
  </si>
  <si>
    <t xml:space="preserve">20340:4797885</t>
  </si>
  <si>
    <t xml:space="preserve">15109:5106915; 15109:5685065</t>
  </si>
  <si>
    <t xml:space="preserve">20340:4797852; 20340:5054000; 18397:5625570</t>
  </si>
  <si>
    <t xml:space="preserve">15109:5685076</t>
  </si>
  <si>
    <t xml:space="preserve">21632:3935259; 21632:4004697; 22544:4562707</t>
  </si>
  <si>
    <t xml:space="preserve">15109:5793335</t>
  </si>
  <si>
    <t xml:space="preserve">15109:5830261</t>
  </si>
  <si>
    <t xml:space="preserve">15109:4725772; 15109:5503304; 15109:5503310; 15109:5503313</t>
  </si>
  <si>
    <t xml:space="preserve">21632:3942402; 21605:4312451; 22544:4329715; 21605:4446798; 22544:4577120; 21605:4740724; 21632:4778204; 20340:4797897</t>
  </si>
  <si>
    <t xml:space="preserve">15109:5793330; 15109:5863415</t>
  </si>
  <si>
    <t xml:space="preserve">21605:4251540; 18397:5829000</t>
  </si>
  <si>
    <t xml:space="preserve">15109:5732294</t>
  </si>
  <si>
    <t xml:space="preserve">18397:2760096</t>
  </si>
  <si>
    <t xml:space="preserve">15109:4725878</t>
  </si>
  <si>
    <t xml:space="preserve">20340:4877695</t>
  </si>
  <si>
    <t xml:space="preserve">15109:4747952; 15109:5732275</t>
  </si>
  <si>
    <t xml:space="preserve">21605:3904988; 21605:4376922; 21605:4717570; 21605:4877538</t>
  </si>
  <si>
    <t xml:space="preserve">15109:4772876; 15109:4961140</t>
  </si>
  <si>
    <t xml:space="preserve">21605:4717571</t>
  </si>
  <si>
    <t xml:space="preserve">15109:4747976; 15109:5717508</t>
  </si>
  <si>
    <t xml:space="preserve">23012:4908855</t>
  </si>
  <si>
    <t xml:space="preserve">15109:4772840; 15109:4865056</t>
  </si>
  <si>
    <t xml:space="preserve">23012:4856762</t>
  </si>
  <si>
    <t xml:space="preserve">15109:4772884; 15109:5793190</t>
  </si>
  <si>
    <t xml:space="preserve">21632:4100043</t>
  </si>
  <si>
    <t xml:space="preserve">15109:5048214</t>
  </si>
  <si>
    <t xml:space="preserve">21632:4100105; 21632:4778167</t>
  </si>
  <si>
    <t xml:space="preserve">15109:5534843</t>
  </si>
  <si>
    <t xml:space="preserve">21632:3881705; 21605:4222565; 21632:4899452; 21632:5050816; 20340:5054050</t>
  </si>
  <si>
    <t xml:space="preserve">15109:4813748</t>
  </si>
  <si>
    <t xml:space="preserve">21605:3911325; 21632:4117137; 21605:4310169; 21605:4446790; 21632:4778171; 21605:4824159; 21605:5067551</t>
  </si>
  <si>
    <t xml:space="preserve">15109:4865096; 15109:5093482; 15109:5760083</t>
  </si>
  <si>
    <t xml:space="preserve">20340:4877671</t>
  </si>
  <si>
    <t xml:space="preserve">15109:5106930; 15109:5717483</t>
  </si>
  <si>
    <t xml:space="preserve">15109:4922484; 15109:5534845</t>
  </si>
  <si>
    <t xml:space="preserve">20340:3362285; 20340:4877681</t>
  </si>
  <si>
    <t xml:space="preserve">15109:5793320</t>
  </si>
  <si>
    <t xml:space="preserve">18397:2704104</t>
  </si>
  <si>
    <t xml:space="preserve">15109:4938162</t>
  </si>
  <si>
    <t xml:space="preserve">21605:4325696</t>
  </si>
  <si>
    <t xml:space="preserve">15109:5093483; 15109:5793340</t>
  </si>
  <si>
    <t xml:space="preserve">20340:3362286</t>
  </si>
  <si>
    <t xml:space="preserve">15109:4961223; 15109:5830457</t>
  </si>
  <si>
    <t xml:space="preserve">20340:3362163; 20340:3390913; 23012:4633196</t>
  </si>
  <si>
    <t xml:space="preserve">15109:4988897</t>
  </si>
  <si>
    <t xml:space="preserve">18397:5387377</t>
  </si>
  <si>
    <t xml:space="preserve">15109:5048249</t>
  </si>
  <si>
    <t xml:space="preserve">20340:5054014</t>
  </si>
  <si>
    <t xml:space="preserve">15109:5048230; 15109:5863461</t>
  </si>
  <si>
    <t xml:space="preserve">18397:2682525; 18397:2805211; 21632:4899451</t>
  </si>
  <si>
    <t xml:space="preserve">15109:5080599</t>
  </si>
  <si>
    <t xml:space="preserve">23012:4750793; 21605:4751472; 21605:4934363; 21632:4968453</t>
  </si>
  <si>
    <t xml:space="preserve">15109:5093472; 15109:5657755</t>
  </si>
  <si>
    <t xml:space="preserve">21605:4155560; 21605:4276085; 23012:4743888</t>
  </si>
  <si>
    <t xml:space="preserve">15109:5139180; 15109:5760204</t>
  </si>
  <si>
    <t xml:space="preserve">20340:5139924</t>
  </si>
  <si>
    <t xml:space="preserve">15109:5534846; 15109:5760065</t>
  </si>
  <si>
    <t xml:space="preserve">21605:4328756</t>
  </si>
  <si>
    <t xml:space="preserve">15109:5732272</t>
  </si>
  <si>
    <t xml:space="preserve">20340:4990646</t>
  </si>
  <si>
    <t xml:space="preserve">15109:5685081</t>
  </si>
  <si>
    <t xml:space="preserve">15109:5685041</t>
  </si>
  <si>
    <t xml:space="preserve">21632:4107529</t>
  </si>
  <si>
    <t xml:space="preserve">15109:5685093</t>
  </si>
  <si>
    <t xml:space="preserve">22544:4374768</t>
  </si>
  <si>
    <t xml:space="preserve">15109:5685095</t>
  </si>
  <si>
    <t xml:space="preserve">22544:4353402</t>
  </si>
  <si>
    <t xml:space="preserve">15109:5685096</t>
  </si>
  <si>
    <t xml:space="preserve">20340:5029359</t>
  </si>
  <si>
    <t xml:space="preserve">15109:5685097</t>
  </si>
  <si>
    <t xml:space="preserve">21632:3935283; 20340:4899769</t>
  </si>
  <si>
    <t xml:space="preserve">15109:5685114</t>
  </si>
  <si>
    <t xml:space="preserve">18397:5829005</t>
  </si>
  <si>
    <t xml:space="preserve">15109:5717501</t>
  </si>
  <si>
    <t xml:space="preserve">23012:4913265</t>
  </si>
  <si>
    <t xml:space="preserve">15109:5760084</t>
  </si>
  <si>
    <t xml:space="preserve">20340:4858167</t>
  </si>
  <si>
    <t xml:space="preserve">15109:5793154</t>
  </si>
  <si>
    <t xml:space="preserve">20340:3375829; 20340:4811701</t>
  </si>
  <si>
    <t xml:space="preserve">15109:5760202</t>
  </si>
  <si>
    <t xml:space="preserve">20340:3409884; 23012:4592230; 20340:4834981; 20340:4927741</t>
  </si>
  <si>
    <t xml:space="preserve">15109:5830353</t>
  </si>
  <si>
    <t xml:space="preserve">15109:5793193</t>
  </si>
  <si>
    <t xml:space="preserve">21632:3926291</t>
  </si>
  <si>
    <t xml:space="preserve">23199:5850417</t>
  </si>
  <si>
    <t xml:space="preserve">21632:4899445</t>
  </si>
  <si>
    <t xml:space="preserve">23199:5844266</t>
  </si>
  <si>
    <t xml:space="preserve">21632:4866937; 21632:4899434; 20340:5054033</t>
  </si>
  <si>
    <t xml:space="preserve">23199:4946611; 23199:5685616</t>
  </si>
  <si>
    <t xml:space="preserve">22544:4364852; 23012:4687586; 21605:4721981; 21632:4778139; 20340:4811686; 23012:4885527</t>
  </si>
  <si>
    <t xml:space="preserve">23199:4946612</t>
  </si>
  <si>
    <t xml:space="preserve">21632:4778136</t>
  </si>
  <si>
    <t xml:space="preserve">23199:5473746</t>
  </si>
  <si>
    <t xml:space="preserve">23199:5844224</t>
  </si>
  <si>
    <t xml:space="preserve">23199:5844209</t>
  </si>
  <si>
    <t xml:space="preserve">23199:5473736</t>
  </si>
  <si>
    <t xml:space="preserve">23199:5868470</t>
  </si>
  <si>
    <t xml:space="preserve">23199:5685630</t>
  </si>
  <si>
    <t xml:space="preserve">23199:5850409</t>
  </si>
  <si>
    <t xml:space="preserve">21632:4014611; 21605:4363685; 22544:4396420</t>
  </si>
  <si>
    <t xml:space="preserve">23199:4718147; 23199:5717764</t>
  </si>
  <si>
    <t xml:space="preserve">23199:5889458</t>
  </si>
  <si>
    <t xml:space="preserve">23199:5800291</t>
  </si>
  <si>
    <t xml:space="preserve">23199:5444403; 23199:5473738</t>
  </si>
  <si>
    <t xml:space="preserve">23199:4679626</t>
  </si>
  <si>
    <t xml:space="preserve">23199:4679641</t>
  </si>
  <si>
    <t xml:space="preserve">20340:3390964; 20340:3448108</t>
  </si>
  <si>
    <t xml:space="preserve">23199:4687396</t>
  </si>
  <si>
    <t xml:space="preserve">21605:4168478; 21605:4214861; 22544:4363459; 21605:4446938; 21605:4717491</t>
  </si>
  <si>
    <t xml:space="preserve">23199:4687426; 23199:5426261</t>
  </si>
  <si>
    <t xml:space="preserve">23199:4712039</t>
  </si>
  <si>
    <t xml:space="preserve">18397:2645199; 18397:5541757; 18397:5829001</t>
  </si>
  <si>
    <t xml:space="preserve">23199:4712078; 23199:5586598</t>
  </si>
  <si>
    <t xml:space="preserve">22544:4353398; 21632:4870942; 20340:5029330</t>
  </si>
  <si>
    <t xml:space="preserve">23199:4745095</t>
  </si>
  <si>
    <t xml:space="preserve">18397:5460703; 18397:5586467</t>
  </si>
  <si>
    <t xml:space="preserve">23199:5473774</t>
  </si>
  <si>
    <t xml:space="preserve">23199:4907892; 23199:5717796</t>
  </si>
  <si>
    <t xml:space="preserve">23199:4794313</t>
  </si>
  <si>
    <t xml:space="preserve">23199:4819133; 23199:5685643</t>
  </si>
  <si>
    <t xml:space="preserve">23199:4819117; 23199:4819118</t>
  </si>
  <si>
    <t xml:space="preserve">23012:4682734</t>
  </si>
  <si>
    <t xml:space="preserve">23199:5586619</t>
  </si>
  <si>
    <t xml:space="preserve">23199:4842643; 23199:5685665</t>
  </si>
  <si>
    <t xml:space="preserve">23199:4907809; 23199:4907812; 23199:5633056</t>
  </si>
  <si>
    <t xml:space="preserve">21632:4107536</t>
  </si>
  <si>
    <t xml:space="preserve">23199:4907837; 23199:5098678; 23199:5633083</t>
  </si>
  <si>
    <t xml:space="preserve">18397:5829006</t>
  </si>
  <si>
    <t xml:space="preserve">23199:5844260</t>
  </si>
  <si>
    <t xml:space="preserve">21605:4273962; 22544:4363457; 21605:4446299; 23012:4607928; 21605:4717588; 21632:4789406; 23012:4790327; 20340:4866778; 23012:4871708; 18397:5432713; 18397:5650343; 18397:5721122; 23012:5801553; 18397:5803786; 23012:5852104</t>
  </si>
  <si>
    <t xml:space="preserve">23199:4966520; 23199:5633043</t>
  </si>
  <si>
    <t xml:space="preserve">23199:5850416</t>
  </si>
  <si>
    <t xml:space="preserve">21605:4343924; 20340:4877696</t>
  </si>
  <si>
    <t xml:space="preserve">23199:4931473</t>
  </si>
  <si>
    <t xml:space="preserve">18397:5625573; 18397:5721126; 18397:5863760</t>
  </si>
  <si>
    <t xml:space="preserve">23199:4946587; 23199:5717737</t>
  </si>
  <si>
    <t xml:space="preserve">21632:4149582; 21632:5117186</t>
  </si>
  <si>
    <t xml:space="preserve">23199:4966479</t>
  </si>
  <si>
    <t xml:space="preserve">18397:2751465; 20340:3442839; 21605:4208374; 21605:4717500; 23012:4743890; 20340:4817189</t>
  </si>
  <si>
    <t xml:space="preserve">23199:4966519; 23199:5844179</t>
  </si>
  <si>
    <t xml:space="preserve">23199:5009223; 23199:5047931</t>
  </si>
  <si>
    <t xml:space="preserve">23012:4790304</t>
  </si>
  <si>
    <t xml:space="preserve">23199:5047899; 23199:5586615</t>
  </si>
  <si>
    <t xml:space="preserve">23199:5868486</t>
  </si>
  <si>
    <t xml:space="preserve">23199:5800292</t>
  </si>
  <si>
    <t xml:space="preserve">23199:5800293</t>
  </si>
  <si>
    <t xml:space="preserve">23199:5844231</t>
  </si>
  <si>
    <t xml:space="preserve">21605:4292527; 18397:5586463</t>
  </si>
  <si>
    <t xml:space="preserve">23199:5397285</t>
  </si>
  <si>
    <t xml:space="preserve">21605:4394543</t>
  </si>
  <si>
    <t xml:space="preserve">23199:5868474</t>
  </si>
  <si>
    <t xml:space="preserve">21605:4717380</t>
  </si>
  <si>
    <t xml:space="preserve">23199:5633067</t>
  </si>
  <si>
    <t xml:space="preserve">21605:4037130; 21605:4037131; 21605:4328735</t>
  </si>
  <si>
    <t xml:space="preserve">23199:5868487</t>
  </si>
  <si>
    <t xml:space="preserve">21632:3926302; 21605:4316383</t>
  </si>
  <si>
    <t xml:space="preserve">23199:5868482</t>
  </si>
  <si>
    <t xml:space="preserve">23199:5666513</t>
  </si>
  <si>
    <t xml:space="preserve">21632:3935278; 21605:4328747; 21632:4868081; 21605:4936332</t>
  </si>
  <si>
    <t xml:space="preserve">23199:5844211</t>
  </si>
  <si>
    <t xml:space="preserve">23199:5844213</t>
  </si>
  <si>
    <t xml:space="preserve">23199:5844221</t>
  </si>
  <si>
    <t xml:space="preserve">23199:5844222</t>
  </si>
  <si>
    <t xml:space="preserve">21605:4302341</t>
  </si>
  <si>
    <t xml:space="preserve">23199:5844262</t>
  </si>
  <si>
    <t xml:space="preserve">23199:5844263</t>
  </si>
  <si>
    <t xml:space="preserve">23199:5844284</t>
  </si>
  <si>
    <t xml:space="preserve">21632:3885689; 21605:4323070; 21605:4751483; 21632:4818967; 21632:5050799</t>
  </si>
  <si>
    <t xml:space="preserve">23199:5844237</t>
  </si>
  <si>
    <t xml:space="preserve">23199:5844217</t>
  </si>
  <si>
    <t xml:space="preserve">23199:5844232</t>
  </si>
  <si>
    <t xml:space="preserve">23199:5844269</t>
  </si>
  <si>
    <t xml:space="preserve">23199:5844285</t>
  </si>
  <si>
    <t xml:space="preserve">23199:5850414</t>
  </si>
  <si>
    <t xml:space="preserve">23199:5868468</t>
  </si>
  <si>
    <t xml:space="preserve">21605:4446856</t>
  </si>
  <si>
    <t xml:space="preserve">23199:5868469</t>
  </si>
  <si>
    <t xml:space="preserve">20340:4860432</t>
  </si>
  <si>
    <t xml:space="preserve">23199:5868502</t>
  </si>
  <si>
    <t xml:space="preserve">21605:4335940; 22544:4353400</t>
  </si>
  <si>
    <t xml:space="preserve">23199:5878450</t>
  </si>
  <si>
    <t xml:space="preserve">21605:5042378</t>
  </si>
  <si>
    <t xml:space="preserve">17629:5005292</t>
  </si>
  <si>
    <t xml:space="preserve">17629:5828918</t>
  </si>
  <si>
    <t xml:space="preserve">17629:5704564</t>
  </si>
  <si>
    <t xml:space="preserve">20340:3447890; 21632:3935289; 21632:3979739; 21605:4193373; 21632:4778206; 20340:4811670; 21605:4934433</t>
  </si>
  <si>
    <t xml:space="preserve">17629:5005310; 17629:5778134</t>
  </si>
  <si>
    <t xml:space="preserve">17629:4993340; 17629:5876488</t>
  </si>
  <si>
    <t xml:space="preserve">17629:4968585; 17629:5679894</t>
  </si>
  <si>
    <t xml:space="preserve">17629:4968586</t>
  </si>
  <si>
    <t xml:space="preserve">17629:5017067; 17629:5778129</t>
  </si>
  <si>
    <t xml:space="preserve">17629:5813980</t>
  </si>
  <si>
    <t xml:space="preserve">17629:5813954</t>
  </si>
  <si>
    <t xml:space="preserve">17629:5017068; 17629:5813890</t>
  </si>
  <si>
    <t xml:space="preserve">17629:5679866</t>
  </si>
  <si>
    <t xml:space="preserve">21605:4255312; 20340:4858174; 21632:4855378</t>
  </si>
  <si>
    <t xml:space="preserve">17629:5858337</t>
  </si>
  <si>
    <t xml:space="preserve">17629:5778074</t>
  </si>
  <si>
    <t xml:space="preserve">17629:5852818</t>
  </si>
  <si>
    <t xml:space="preserve">17629:5852819</t>
  </si>
  <si>
    <t xml:space="preserve">17629:5017066; 17629:5813891</t>
  </si>
  <si>
    <t xml:space="preserve">20340:4877682</t>
  </si>
  <si>
    <t xml:space="preserve">17629:5887669</t>
  </si>
  <si>
    <t xml:space="preserve">17629:5778123</t>
  </si>
  <si>
    <t xml:space="preserve">20340:3409789; 21605:4345380; 23012:4687582; 21605:4717466; 21632:4789387; 21632:4885358; 21632:5012907; 20340:5017635; 23012:5801555</t>
  </si>
  <si>
    <t xml:space="preserve">17629:5005301; 17629:5834512</t>
  </si>
  <si>
    <t xml:space="preserve">21632:3966956; 21605:4328740; 20340:4822158; 21632:4818991; 21605:4824153</t>
  </si>
  <si>
    <t xml:space="preserve">17629:5813822</t>
  </si>
  <si>
    <t xml:space="preserve">17629:5813842</t>
  </si>
  <si>
    <t xml:space="preserve">17629:5813827</t>
  </si>
  <si>
    <t xml:space="preserve">17629:5104664; 17629:5778126</t>
  </si>
  <si>
    <t xml:space="preserve">17629:4968583; 17629:5778109</t>
  </si>
  <si>
    <t xml:space="preserve">21605:4193291; 22544:4374765; 21605:4740730; 21632:4818941; 20340:4834958</t>
  </si>
  <si>
    <t xml:space="preserve">17629:5087768</t>
  </si>
  <si>
    <t xml:space="preserve">20340:5106989; 18397:5625567</t>
  </si>
  <si>
    <t xml:space="preserve">17629:5704628</t>
  </si>
  <si>
    <t xml:space="preserve">17629:4790220; 17629:5679873; 17629:5828950</t>
  </si>
  <si>
    <t xml:space="preserve">17629:5813837</t>
  </si>
  <si>
    <t xml:space="preserve">17629:4818674</t>
  </si>
  <si>
    <t xml:space="preserve">21605:4255307; 23012:4619200; 23012:4663848; 21605:4717511; 21632:4778128</t>
  </si>
  <si>
    <t xml:space="preserve">17629:5778190</t>
  </si>
  <si>
    <t xml:space="preserve">17629:5127313; 17629:5704594</t>
  </si>
  <si>
    <t xml:space="preserve">17629:5868412</t>
  </si>
  <si>
    <t xml:space="preserve">17629:5828804</t>
  </si>
  <si>
    <t xml:space="preserve">17629:4870568</t>
  </si>
  <si>
    <t xml:space="preserve">23012:4856740</t>
  </si>
  <si>
    <t xml:space="preserve">17629:5000832; 17629:5852825</t>
  </si>
  <si>
    <t xml:space="preserve">17629:4923851</t>
  </si>
  <si>
    <t xml:space="preserve">21605:4021261</t>
  </si>
  <si>
    <t xml:space="preserve">17629:4949345</t>
  </si>
  <si>
    <t xml:space="preserve">21605:4943044</t>
  </si>
  <si>
    <t xml:space="preserve">17629:4968573; 17629:5834507</t>
  </si>
  <si>
    <t xml:space="preserve">20340:3447932; 20340:4869111</t>
  </si>
  <si>
    <t xml:space="preserve">17629:4968576</t>
  </si>
  <si>
    <t xml:space="preserve">20340:3447878</t>
  </si>
  <si>
    <t xml:space="preserve">17629:4968604; 17629:5704590</t>
  </si>
  <si>
    <t xml:space="preserve">21605:4328876; 21605:4446853; 21605:4824151</t>
  </si>
  <si>
    <t xml:space="preserve">17629:4993336; 17629:4993337</t>
  </si>
  <si>
    <t xml:space="preserve">21632:3966928; 21632:3966929; 21605:4237899</t>
  </si>
  <si>
    <t xml:space="preserve">17629:4994603; 17629:5868408</t>
  </si>
  <si>
    <t xml:space="preserve">21605:4258920</t>
  </si>
  <si>
    <t xml:space="preserve">17629:4993429; 17629:5679865</t>
  </si>
  <si>
    <t xml:space="preserve">21632:3881696; 21605:4258919; 21632:4778183; 20340:4811694</t>
  </si>
  <si>
    <t xml:space="preserve">17629:5005308</t>
  </si>
  <si>
    <t xml:space="preserve">21605:4179343; 21605:4202418; 21605:4446854; 21605:4824136</t>
  </si>
  <si>
    <t xml:space="preserve">17629:5598547</t>
  </si>
  <si>
    <t xml:space="preserve">23012:4871696; 23012:4885468</t>
  </si>
  <si>
    <t xml:space="preserve">17629:5813806</t>
  </si>
  <si>
    <t xml:space="preserve">17629:5813843</t>
  </si>
  <si>
    <t xml:space="preserve">17629:5813984</t>
  </si>
  <si>
    <t xml:space="preserve">17629:5127309; 17629:5562813; 17629:5651880</t>
  </si>
  <si>
    <t xml:space="preserve">17629:5778090</t>
  </si>
  <si>
    <t xml:space="preserve">23012:4856739</t>
  </si>
  <si>
    <t xml:space="preserve">17629:5598563; 17629:5679852</t>
  </si>
  <si>
    <t xml:space="preserve">20340:4860431</t>
  </si>
  <si>
    <t xml:space="preserve">17629:5598566</t>
  </si>
  <si>
    <t xml:space="preserve">18397:5387397</t>
  </si>
  <si>
    <t xml:space="preserve">17629:5651885</t>
  </si>
  <si>
    <t xml:space="preserve">21632:3885830</t>
  </si>
  <si>
    <t xml:space="preserve">17629:5651889; 17629:5828796</t>
  </si>
  <si>
    <t xml:space="preserve">21605:4193368</t>
  </si>
  <si>
    <t xml:space="preserve">17629:5651890; 17629:5828807</t>
  </si>
  <si>
    <t xml:space="preserve">21605:3963825; 21605:4193363; 21605:4717573</t>
  </si>
  <si>
    <t xml:space="preserve">17629:5813989</t>
  </si>
  <si>
    <t xml:space="preserve">21632:5093155; 21632:5100902</t>
  </si>
  <si>
    <t xml:space="preserve">17629:5651918</t>
  </si>
  <si>
    <t xml:space="preserve">21605:4100721; 21605:4310167; 21605:4936324</t>
  </si>
  <si>
    <t xml:space="preserve">17629:5679851</t>
  </si>
  <si>
    <t xml:space="preserve">18397:5586492</t>
  </si>
  <si>
    <t xml:space="preserve">17629:5704567; 17629:5704595</t>
  </si>
  <si>
    <t xml:space="preserve">21632:5012914; 20340:5029350</t>
  </si>
  <si>
    <t xml:space="preserve">17629:5704568</t>
  </si>
  <si>
    <t xml:space="preserve">21605:4337183; 21605:4725594</t>
  </si>
  <si>
    <t xml:space="preserve">17629:5778153</t>
  </si>
  <si>
    <t xml:space="preserve">17629:5813976</t>
  </si>
  <si>
    <t xml:space="preserve">17629:5813977</t>
  </si>
  <si>
    <t xml:space="preserve">17629:5813908</t>
  </si>
  <si>
    <t xml:space="preserve">17629:5813975</t>
  </si>
  <si>
    <t xml:space="preserve">17629:5828864</t>
  </si>
  <si>
    <t xml:space="preserve">17629:5828866</t>
  </si>
  <si>
    <t xml:space="preserve">17629:5747567; 17629:5813904</t>
  </si>
  <si>
    <t xml:space="preserve">17629:5814004</t>
  </si>
  <si>
    <t xml:space="preserve">17629:5813858</t>
  </si>
  <si>
    <t xml:space="preserve">17629:5778136</t>
  </si>
  <si>
    <t xml:space="preserve">17629:5778118</t>
  </si>
  <si>
    <t xml:space="preserve">21605:4100477; 21605:4363036; 21605:4751489</t>
  </si>
  <si>
    <t xml:space="preserve">17629:5778132</t>
  </si>
  <si>
    <t xml:space="preserve">17629:5778137</t>
  </si>
  <si>
    <t xml:space="preserve">22544:4353378</t>
  </si>
  <si>
    <t xml:space="preserve">17629:5813826</t>
  </si>
  <si>
    <t xml:space="preserve">21605:3876175; 21605:4276216; 23012:4592239; 21605:4725613; 23012:4790321</t>
  </si>
  <si>
    <t xml:space="preserve">17629:5834503</t>
  </si>
  <si>
    <t xml:space="preserve">20340:4811657</t>
  </si>
  <si>
    <t xml:space="preserve">17629:5813914</t>
  </si>
  <si>
    <t xml:space="preserve">21632:3906280; 23012:4687596; 23012:4687597; 21632:4855388</t>
  </si>
  <si>
    <t xml:space="preserve">17629:5813915</t>
  </si>
  <si>
    <t xml:space="preserve">21632:3906281</t>
  </si>
  <si>
    <t xml:space="preserve">17629:5813985</t>
  </si>
  <si>
    <t xml:space="preserve">17629:5828825</t>
  </si>
  <si>
    <t xml:space="preserve">17629:5876487</t>
  </si>
  <si>
    <t xml:space="preserve">18397:5625580</t>
  </si>
  <si>
    <t xml:space="preserve">17629:5834504</t>
  </si>
  <si>
    <t xml:space="preserve">17629:5834505</t>
  </si>
  <si>
    <t xml:space="preserve">17629:5834539</t>
  </si>
  <si>
    <t xml:space="preserve">20340:3361943; 20340:4811656</t>
  </si>
  <si>
    <t xml:space="preserve">17629:5852805</t>
  </si>
  <si>
    <t xml:space="preserve">17629:5876484</t>
  </si>
  <si>
    <t xml:space="preserve">21632:4100079; 20340:4858176</t>
  </si>
  <si>
    <t xml:space="preserve">17629:5858318</t>
  </si>
  <si>
    <t xml:space="preserve">17629:5858320</t>
  </si>
  <si>
    <t xml:space="preserve">17629:5858322</t>
  </si>
  <si>
    <t xml:space="preserve">21605:4235732; 21605:4751484; 23012:4861140</t>
  </si>
  <si>
    <t xml:space="preserve">23295:5686451</t>
  </si>
  <si>
    <t xml:space="preserve">20340:3375862; 21605:4079509; 21605:4355795</t>
  </si>
  <si>
    <t xml:space="preserve">23295:4967800; 23295:5747130</t>
  </si>
  <si>
    <t xml:space="preserve">21605:3891299; 21605:4368539; 21605:4717560; 18397:5803796</t>
  </si>
  <si>
    <t xml:space="preserve">23295:5459892</t>
  </si>
  <si>
    <t xml:space="preserve">23295:5820976</t>
  </si>
  <si>
    <t xml:space="preserve">23295:5459907</t>
  </si>
  <si>
    <t xml:space="preserve">23295:5704079</t>
  </si>
  <si>
    <t xml:space="preserve">23295:4773535; 23295:5032623; 23295:5459899</t>
  </si>
  <si>
    <t xml:space="preserve">21605:4748784</t>
  </si>
  <si>
    <t xml:space="preserve">23295:4773523; 23295:4808128; 23295:5505098</t>
  </si>
  <si>
    <t xml:space="preserve">23012:4682715; 21605:4721976; 21605:4746862</t>
  </si>
  <si>
    <t xml:space="preserve">23295:4781167; 23295:4781168; 23295:5747111</t>
  </si>
  <si>
    <t xml:space="preserve">21632:3875251; 21632:4789417; 23012:4913252; 20340:4941245; 20340:5017656</t>
  </si>
  <si>
    <t xml:space="preserve">23295:4781173; 23295:5064934</t>
  </si>
  <si>
    <t xml:space="preserve">21632:3906345</t>
  </si>
  <si>
    <t xml:space="preserve">23295:4781172; 23295:5820901</t>
  </si>
  <si>
    <t xml:space="preserve">21632:3906341</t>
  </si>
  <si>
    <t xml:space="preserve">23295:4808130; 23295:4929393; 23295:4929394</t>
  </si>
  <si>
    <t xml:space="preserve">21605:4316484; 21605:4722022; 21632:4778153; 23012:4913251</t>
  </si>
  <si>
    <t xml:space="preserve">23295:4808144; 23295:5820906</t>
  </si>
  <si>
    <t xml:space="preserve">23295:5786181</t>
  </si>
  <si>
    <t xml:space="preserve">23295:4943166</t>
  </si>
  <si>
    <t xml:space="preserve">23295:4838695; 23295:4838696; 23295:5820918</t>
  </si>
  <si>
    <t xml:space="preserve">21605:4130197; 21605:4179397; 21605:4446925; 21605:4722014; 21605:4824899; 21605:4982473</t>
  </si>
  <si>
    <t xml:space="preserve">23295:5459854</t>
  </si>
  <si>
    <t xml:space="preserve">23295:4888853; 23295:5064935</t>
  </si>
  <si>
    <t xml:space="preserve">21605:4247827; 21605:4725621; 21632:5107347</t>
  </si>
  <si>
    <t xml:space="preserve">23295:5850165</t>
  </si>
  <si>
    <t xml:space="preserve">23295:4926135</t>
  </si>
  <si>
    <t xml:space="preserve">21605:4394374</t>
  </si>
  <si>
    <t xml:space="preserve">23295:4943206; 23295:5616501; 23295:5786201; 23295:5820968</t>
  </si>
  <si>
    <t xml:space="preserve">21605:4083538; 21605:4083539; 21605:4164957; 21605:4222741; 21605:4337175; 21605:4446873; 21605:4748789; 21605:4934427; 21605:5102289</t>
  </si>
  <si>
    <t xml:space="preserve">23295:5786140</t>
  </si>
  <si>
    <t xml:space="preserve">23295:4943231</t>
  </si>
  <si>
    <t xml:space="preserve">21605:4104272; 21605:4422376; 21605:4722024</t>
  </si>
  <si>
    <t xml:space="preserve">23295:4993284; 23295:5505130; 23295:5786114</t>
  </si>
  <si>
    <t xml:space="preserve">23295:5001139</t>
  </si>
  <si>
    <t xml:space="preserve">21605:4717422; 23012:4760158; 21605:4970515</t>
  </si>
  <si>
    <t xml:space="preserve">23295:5032654; 23295:5459900</t>
  </si>
  <si>
    <t xml:space="preserve">21632:4899444; 20340:5054031</t>
  </si>
  <si>
    <t xml:space="preserve">23295:5032642; 23295:5459901</t>
  </si>
  <si>
    <t xml:space="preserve">21632:4899443; 20340:5054032</t>
  </si>
  <si>
    <t xml:space="preserve">23295:5032646; 23295:5747112</t>
  </si>
  <si>
    <t xml:space="preserve">23295:5050588; 23295:5524774</t>
  </si>
  <si>
    <t xml:space="preserve">20340:3452612</t>
  </si>
  <si>
    <t xml:space="preserve">23295:5110742; 23295:5786202</t>
  </si>
  <si>
    <t xml:space="preserve">23295:5110743; 23295:5786203</t>
  </si>
  <si>
    <t xml:space="preserve">23295:5110744; 23295:5634490</t>
  </si>
  <si>
    <t xml:space="preserve">21632:4156267; 21605:4343889; 21632:4789414; 23012:4838505; 21605:4934438</t>
  </si>
  <si>
    <t xml:space="preserve">23295:5110745; 23295:5821258</t>
  </si>
  <si>
    <t xml:space="preserve">23295:5459888</t>
  </si>
  <si>
    <t xml:space="preserve">21632:3881713; 21605:4255308; 21605:4292322; 21605:5096124</t>
  </si>
  <si>
    <t xml:space="preserve">23295:5505047</t>
  </si>
  <si>
    <t xml:space="preserve">23295:5505048</t>
  </si>
  <si>
    <t xml:space="preserve">23012:4733731; 23012:4823260; 21632:4866936; 23012:4865324; 23012:4908878</t>
  </si>
  <si>
    <t xml:space="preserve">23295:5524737; 23295:5844673</t>
  </si>
  <si>
    <t xml:space="preserve">21605:4251844; 23012:4663861</t>
  </si>
  <si>
    <t xml:space="preserve">23295:5616467</t>
  </si>
  <si>
    <t xml:space="preserve">21605:4079869; 21605:4092753; 21605:4172667; 21605:4316631; 21605:4717496</t>
  </si>
  <si>
    <t xml:space="preserve">23295:5616500; 23295:5786143</t>
  </si>
  <si>
    <t xml:space="preserve">21605:4208144; 21605:4725585; 23012:4865244; 20340:4990642</t>
  </si>
  <si>
    <t xml:space="preserve">23295:5634489; 23295:5686406; 23295:5686441; 23295:5820894</t>
  </si>
  <si>
    <t xml:space="preserve">23295:5634498</t>
  </si>
  <si>
    <t xml:space="preserve">23295:5674925</t>
  </si>
  <si>
    <t xml:space="preserve">23295:5686399; 23295:5686415</t>
  </si>
  <si>
    <t xml:space="preserve">23295:5686499</t>
  </si>
  <si>
    <t xml:space="preserve">21632:3926289</t>
  </si>
  <si>
    <t xml:space="preserve">23295:5704081; 23295:5820949</t>
  </si>
  <si>
    <t xml:space="preserve">21605:4970516</t>
  </si>
  <si>
    <t xml:space="preserve">23295:5821208</t>
  </si>
  <si>
    <t xml:space="preserve">23295:5747080; 23295:5820981</t>
  </si>
  <si>
    <t xml:space="preserve">23295:5747096</t>
  </si>
  <si>
    <t xml:space="preserve">21632:3935204</t>
  </si>
  <si>
    <t xml:space="preserve">23295:5747132; 23295:5820985</t>
  </si>
  <si>
    <t xml:space="preserve">21605:4181957; 21605:4446880; 21605:4923351; 21605:5102291; 21605:5128916</t>
  </si>
  <si>
    <t xml:space="preserve">23295:5786050</t>
  </si>
  <si>
    <t xml:space="preserve">23295:5844753</t>
  </si>
  <si>
    <t xml:space="preserve">23295:5786170</t>
  </si>
  <si>
    <t xml:space="preserve">23012:4865239</t>
  </si>
  <si>
    <t xml:space="preserve">23295:5821276</t>
  </si>
  <si>
    <t xml:space="preserve">23295:5844648</t>
  </si>
  <si>
    <t xml:space="preserve">23295:5865531</t>
  </si>
  <si>
    <t xml:space="preserve">21206:4853092</t>
  </si>
  <si>
    <t xml:space="preserve">20340:3409823; 21632:3881711; 21632:4818976; 20340:4877674</t>
  </si>
  <si>
    <t xml:space="preserve">21206:5704161</t>
  </si>
  <si>
    <t xml:space="preserve">21605:3904935; 21605:4258923; 21605:4446890; 21605:4717449</t>
  </si>
  <si>
    <t xml:space="preserve">21206:4801414; 21206:5555074</t>
  </si>
  <si>
    <t xml:space="preserve">18397:3854968; 18397:5373203; 18397:5586428; 18397:5863735</t>
  </si>
  <si>
    <t xml:space="preserve">21206:4530469</t>
  </si>
  <si>
    <t xml:space="preserve">21632:5093170</t>
  </si>
  <si>
    <t xml:space="preserve">21206:4560279; 21206:4853132; 21206:5555016</t>
  </si>
  <si>
    <t xml:space="preserve">21206:4551201; 21206:4853154; 21206:5567221</t>
  </si>
  <si>
    <t xml:space="preserve">21206:4563004</t>
  </si>
  <si>
    <t xml:space="preserve">21206:4554414</t>
  </si>
  <si>
    <t xml:space="preserve">21632:3881693; 20340:4797882</t>
  </si>
  <si>
    <t xml:space="preserve">21206:4572218; 21206:5647948</t>
  </si>
  <si>
    <t xml:space="preserve">21605:4163911</t>
  </si>
  <si>
    <t xml:space="preserve">21206:4572230</t>
  </si>
  <si>
    <t xml:space="preserve">21605:4717376; 21605:5042380</t>
  </si>
  <si>
    <t xml:space="preserve">21206:4530536; 21206:5555071</t>
  </si>
  <si>
    <t xml:space="preserve">21206:4530461; 21206:5554964</t>
  </si>
  <si>
    <t xml:space="preserve">21632:4024561; 21605:4316391; 21605:4396817</t>
  </si>
  <si>
    <t xml:space="preserve">21206:4530465; 21206:4853050; 21206:5852744</t>
  </si>
  <si>
    <t xml:space="preserve">21206:4530466; 21206:4853051; 21206:5524725</t>
  </si>
  <si>
    <t xml:space="preserve">21206:4530464; 21206:4853049; 21206:5567210</t>
  </si>
  <si>
    <t xml:space="preserve">21206:4530481</t>
  </si>
  <si>
    <t xml:space="preserve">18397:2749459</t>
  </si>
  <si>
    <t xml:space="preserve">21206:4530483</t>
  </si>
  <si>
    <t xml:space="preserve">18397:5643314</t>
  </si>
  <si>
    <t xml:space="preserve">21206:4530560; 21206:5567209</t>
  </si>
  <si>
    <t xml:space="preserve">21206:4551151</t>
  </si>
  <si>
    <t xml:space="preserve">20340:3409882; 23012:4790278; 20340:4910156</t>
  </si>
  <si>
    <t xml:space="preserve">21206:4530508; 21206:4867859</t>
  </si>
  <si>
    <t xml:space="preserve">21605:4193402; 22544:4363460; 21605:4446789; 20340:5054013</t>
  </si>
  <si>
    <t xml:space="preserve">21206:4530511; 21206:4853065; 21206:5555007</t>
  </si>
  <si>
    <t xml:space="preserve">21206:4530513; 21206:5678167</t>
  </si>
  <si>
    <t xml:space="preserve">21206:4530515; 21206:4853066</t>
  </si>
  <si>
    <t xml:space="preserve">21632:3881692; 21605:4751473; 20340:4821672</t>
  </si>
  <si>
    <t xml:space="preserve">21206:4530519; 21206:4853067</t>
  </si>
  <si>
    <t xml:space="preserve">21206:4530524; 21206:5555064</t>
  </si>
  <si>
    <t xml:space="preserve">21605:3904980; 21632:4131071; 21605:4788320</t>
  </si>
  <si>
    <t xml:space="preserve">21206:4530529; 21206:4853069</t>
  </si>
  <si>
    <t xml:space="preserve">21206:4530527; 21206:4861351; 21206:5555013</t>
  </si>
  <si>
    <t xml:space="preserve">21206:4530534; 21206:5627305</t>
  </si>
  <si>
    <t xml:space="preserve">18397:5432743; 18397:5625560</t>
  </si>
  <si>
    <t xml:space="preserve">21206:4530545; 21206:4853072; 21206:5554934</t>
  </si>
  <si>
    <t xml:space="preserve">21206:4530548</t>
  </si>
  <si>
    <t xml:space="preserve">21206:4530546</t>
  </si>
  <si>
    <t xml:space="preserve">21632:3942404; 22544:4353405; 21605:4717382; 20340:4821683; 20340:5054049</t>
  </si>
  <si>
    <t xml:space="preserve">21206:4530547</t>
  </si>
  <si>
    <t xml:space="preserve">21605:4212666; 22544:4353380; 21605:4632999; 21605:4746848</t>
  </si>
  <si>
    <t xml:space="preserve">21206:4536294; 21206:5567238; 21206:5704132</t>
  </si>
  <si>
    <t xml:space="preserve">21206:4536296; 21206:5852743</t>
  </si>
  <si>
    <t xml:space="preserve">21206:4536299; 21206:4853076; 21206:5647944</t>
  </si>
  <si>
    <t xml:space="preserve">21605:4078674; 21605:4328769; 21605:4350792</t>
  </si>
  <si>
    <t xml:space="preserve">21206:4536328; 21206:5704154</t>
  </si>
  <si>
    <t xml:space="preserve">21632:4109064</t>
  </si>
  <si>
    <t xml:space="preserve">21206:4536332; 21206:4861352; 21206:5567148</t>
  </si>
  <si>
    <t xml:space="preserve">18397:5387400</t>
  </si>
  <si>
    <t xml:space="preserve">21206:4536336</t>
  </si>
  <si>
    <t xml:space="preserve">20340:4858173</t>
  </si>
  <si>
    <t xml:space="preserve">21206:4551174; 21206:5627289</t>
  </si>
  <si>
    <t xml:space="preserve">21605:4306200; 23012:4743898</t>
  </si>
  <si>
    <t xml:space="preserve">21206:4551182</t>
  </si>
  <si>
    <t xml:space="preserve">21605:4717529</t>
  </si>
  <si>
    <t xml:space="preserve">21206:4551176; 21206:4853107; 21206:5578336</t>
  </si>
  <si>
    <t xml:space="preserve">21632:4868076</t>
  </si>
  <si>
    <t xml:space="preserve">21206:4551186; 21206:5678190</t>
  </si>
  <si>
    <t xml:space="preserve">23012:4682757; 21632:4855361; 23012:4856773</t>
  </si>
  <si>
    <t xml:space="preserve">21206:4551191</t>
  </si>
  <si>
    <t xml:space="preserve">21206:4554398; 21206:5704162</t>
  </si>
  <si>
    <t xml:space="preserve">21206:5647910</t>
  </si>
  <si>
    <t xml:space="preserve">21632:4014610</t>
  </si>
  <si>
    <t xml:space="preserve">21206:4554402; 21206:5627269</t>
  </si>
  <si>
    <t xml:space="preserve">20340:4877706</t>
  </si>
  <si>
    <t xml:space="preserve">21206:4554412; 21206:4853173; 21206:5554988</t>
  </si>
  <si>
    <t xml:space="preserve">21206:4557179; 21206:4909932; 21206:5704172</t>
  </si>
  <si>
    <t xml:space="preserve">21206:4557169</t>
  </si>
  <si>
    <t xml:space="preserve">20340:5029338</t>
  </si>
  <si>
    <t xml:space="preserve">21206:4560280; 21206:5584299</t>
  </si>
  <si>
    <t xml:space="preserve">21206:4563005</t>
  </si>
  <si>
    <t xml:space="preserve">21206:4563006; 21206:5678176</t>
  </si>
  <si>
    <t xml:space="preserve">21206:4563007; 21206:5852758</t>
  </si>
  <si>
    <t xml:space="preserve">21605:4146139; 23012:4803144</t>
  </si>
  <si>
    <t xml:space="preserve">21206:4563009; 21206:4876634; 21206:5554920</t>
  </si>
  <si>
    <t xml:space="preserve">20340:3442718; 20340:4927734</t>
  </si>
  <si>
    <t xml:space="preserve">21206:4563040; 21206:4853163; 21206:5555002</t>
  </si>
  <si>
    <t xml:space="preserve">20340:4899786</t>
  </si>
  <si>
    <t xml:space="preserve">21206:4563019</t>
  </si>
  <si>
    <t xml:space="preserve">21605:5042275</t>
  </si>
  <si>
    <t xml:space="preserve">21206:4563021; 21206:4913057</t>
  </si>
  <si>
    <t xml:space="preserve">21206:4563031; 21206:5627285</t>
  </si>
  <si>
    <t xml:space="preserve">21632:3935230; 21605:4717584; 21632:4778205; 20340:4817165; 20340:4919173; 20340:5029335</t>
  </si>
  <si>
    <t xml:space="preserve">21206:4563032; 21206:4853136</t>
  </si>
  <si>
    <t xml:space="preserve">21206:4563034</t>
  </si>
  <si>
    <t xml:space="preserve">22544:4396416</t>
  </si>
  <si>
    <t xml:space="preserve">21206:4568185; 21206:5704139</t>
  </si>
  <si>
    <t xml:space="preserve">21206:4568188; 21206:5627277</t>
  </si>
  <si>
    <t xml:space="preserve">21206:4572190; 21206:4853160; 21206:5555035</t>
  </si>
  <si>
    <t xml:space="preserve">23012:4926250</t>
  </si>
  <si>
    <t xml:space="preserve">21206:4572192</t>
  </si>
  <si>
    <t xml:space="preserve">21605:4249677</t>
  </si>
  <si>
    <t xml:space="preserve">21206:4572215</t>
  </si>
  <si>
    <t xml:space="preserve">21206:4572237; 21206:4913060; 21206:5555062</t>
  </si>
  <si>
    <t xml:space="preserve">21206:4572210</t>
  </si>
  <si>
    <t xml:space="preserve">20340:4899779; 21632:4899448</t>
  </si>
  <si>
    <t xml:space="preserve">21206:4574708; 21206:4853169; 21206:5678182</t>
  </si>
  <si>
    <t xml:space="preserve">21206:4574710; 21206:5555029</t>
  </si>
  <si>
    <t xml:space="preserve">20340:4860430; 20340:4885549; 20340:5029331</t>
  </si>
  <si>
    <t xml:space="preserve">21206:4591210; 21206:5678193</t>
  </si>
  <si>
    <t xml:space="preserve">21605:4140335; 21605:4824131; 23012:4824177</t>
  </si>
  <si>
    <t xml:space="preserve">21206:4913062</t>
  </si>
  <si>
    <t xml:space="preserve">21206:5567232</t>
  </si>
  <si>
    <t xml:space="preserve">21206:4853146; 21206:5554968</t>
  </si>
  <si>
    <t xml:space="preserve">20340:4811696; 20340:4922831</t>
  </si>
  <si>
    <t xml:space="preserve">21206:4853091</t>
  </si>
  <si>
    <t xml:space="preserve">21206:4853095</t>
  </si>
  <si>
    <t xml:space="preserve">21605:3852726; 21605:4172265; 23012:4663859; 21605:4717597; 21632:5050804; 21605:5145937</t>
  </si>
  <si>
    <t xml:space="preserve">21206:4853098; 21206:5567159</t>
  </si>
  <si>
    <t xml:space="preserve">21605:4247845; 21632:4855310</t>
  </si>
  <si>
    <t xml:space="preserve">21206:4853099; 21206:5567162</t>
  </si>
  <si>
    <t xml:space="preserve">21632:4855313</t>
  </si>
  <si>
    <t xml:space="preserve">21206:4853100</t>
  </si>
  <si>
    <t xml:space="preserve">20340:3452807; 20340:4817182</t>
  </si>
  <si>
    <t xml:space="preserve">21206:4853101</t>
  </si>
  <si>
    <t xml:space="preserve">21632:3935225; 20340:4834953; 21632:4855401; 23012:4823243</t>
  </si>
  <si>
    <t xml:space="preserve">21206:4853116; 21206:5578328</t>
  </si>
  <si>
    <t xml:space="preserve">21206:4913059; 21206:5554966; 21206:5814152</t>
  </si>
  <si>
    <t xml:space="preserve">21206:4867866</t>
  </si>
  <si>
    <t xml:space="preserve">21206:4867867</t>
  </si>
  <si>
    <t xml:space="preserve">21605:4273961; 21605:4717589; 21632:4789405; 20340:4866759</t>
  </si>
  <si>
    <t xml:space="preserve">21206:4867868</t>
  </si>
  <si>
    <t xml:space="preserve">20340:4834970</t>
  </si>
  <si>
    <t xml:space="preserve">21206:4876633</t>
  </si>
  <si>
    <t xml:space="preserve">20340:4869120; 21632:4870936; 23012:4869317</t>
  </si>
  <si>
    <t xml:space="preserve">21206:4876638</t>
  </si>
  <si>
    <t xml:space="preserve">20340:5017674; 18397:5625556</t>
  </si>
  <si>
    <t xml:space="preserve">21206:4913063; 21206:5647961</t>
  </si>
  <si>
    <t xml:space="preserve">21206:4889922</t>
  </si>
  <si>
    <t xml:space="preserve">21206:4909937</t>
  </si>
  <si>
    <t xml:space="preserve">21206:4913064; 21206:5554985</t>
  </si>
  <si>
    <t xml:space="preserve">23012:4908833; 21632:4920500; 20340:5131607</t>
  </si>
  <si>
    <t xml:space="preserve">21206:5814178</t>
  </si>
  <si>
    <t xml:space="preserve">21206:5814148</t>
  </si>
  <si>
    <t xml:space="preserve">21206:5627271</t>
  </si>
  <si>
    <t xml:space="preserve">21206:5678197</t>
  </si>
  <si>
    <t xml:space="preserve">21206:5704177</t>
  </si>
  <si>
    <t xml:space="preserve">21206:5704158</t>
  </si>
  <si>
    <t xml:space="preserve">21605:4155560; 21605:4276085</t>
  </si>
  <si>
    <t xml:space="preserve">21206:5845038</t>
  </si>
  <si>
    <t xml:space="preserve">21206:5554938</t>
  </si>
  <si>
    <t xml:space="preserve">21206:5555022</t>
  </si>
  <si>
    <t xml:space="preserve">20340:3409808; 20340:4812236</t>
  </si>
  <si>
    <t xml:space="preserve">21206:5555044</t>
  </si>
  <si>
    <t xml:space="preserve">21632:3935271</t>
  </si>
  <si>
    <t xml:space="preserve">21206:5555059</t>
  </si>
  <si>
    <t xml:space="preserve">21206:5586295</t>
  </si>
  <si>
    <t xml:space="preserve">21605:4213001</t>
  </si>
  <si>
    <t xml:space="preserve">21206:5567156</t>
  </si>
  <si>
    <t xml:space="preserve">23012:4592338</t>
  </si>
  <si>
    <t xml:space="preserve">21206:5567194</t>
  </si>
  <si>
    <t xml:space="preserve">20340:5029358</t>
  </si>
  <si>
    <t xml:space="preserve">21206:5567215</t>
  </si>
  <si>
    <t xml:space="preserve">21605:4212998</t>
  </si>
  <si>
    <t xml:space="preserve">21206:5567218</t>
  </si>
  <si>
    <t xml:space="preserve">21206:5578332</t>
  </si>
  <si>
    <t xml:space="preserve">21605:4721989; 21605:4738382; 21605:4746790; 20340:4822156</t>
  </si>
  <si>
    <t xml:space="preserve">21206:5578338</t>
  </si>
  <si>
    <t xml:space="preserve">21206:5578343</t>
  </si>
  <si>
    <t xml:space="preserve">21206:5678178</t>
  </si>
  <si>
    <t xml:space="preserve">21206:5584302</t>
  </si>
  <si>
    <t xml:space="preserve">23012:4871691</t>
  </si>
  <si>
    <t xml:space="preserve">21206:5627281</t>
  </si>
  <si>
    <t xml:space="preserve">21632:3935179</t>
  </si>
  <si>
    <t xml:space="preserve">21206:5627283; 21206:5747294</t>
  </si>
  <si>
    <t xml:space="preserve">21632:3979736</t>
  </si>
  <si>
    <t xml:space="preserve">21206:5627293</t>
  </si>
  <si>
    <t xml:space="preserve">21605:3927574; 21632:4004644; 21605:4371628; 21605:4446935; 23012:4619220; 23012:4663846; 21632:4818914; 21605:5042397</t>
  </si>
  <si>
    <t xml:space="preserve">21206:5627298</t>
  </si>
  <si>
    <t xml:space="preserve">21632:3966919</t>
  </si>
  <si>
    <t xml:space="preserve">21206:5627299</t>
  </si>
  <si>
    <t xml:space="preserve">22544:4562709; 23012:4682716; 21605:4717586; 23012:4803626</t>
  </si>
  <si>
    <t xml:space="preserve">21206:5647945</t>
  </si>
  <si>
    <t xml:space="preserve">20340:4811705</t>
  </si>
  <si>
    <t xml:space="preserve">21206:5647960</t>
  </si>
  <si>
    <t xml:space="preserve">18397:5687842</t>
  </si>
  <si>
    <t xml:space="preserve">21206:5678184</t>
  </si>
  <si>
    <t xml:space="preserve">23012:4592348</t>
  </si>
  <si>
    <t xml:space="preserve">21206:5678191</t>
  </si>
  <si>
    <t xml:space="preserve">23012:4607804; 23012:4641506; 23012:4641508; 23012:4665619; 21605:4717591; 21632:4803642; 20340:5070411; 21632:5068194</t>
  </si>
  <si>
    <t xml:space="preserve">21206:5704145</t>
  </si>
  <si>
    <t xml:space="preserve">21632:3935163</t>
  </si>
  <si>
    <t xml:space="preserve">21206:5704156</t>
  </si>
  <si>
    <t xml:space="preserve">21206:5704157</t>
  </si>
  <si>
    <t xml:space="preserve">21206:5704159</t>
  </si>
  <si>
    <t xml:space="preserve">23012:4790250</t>
  </si>
  <si>
    <t xml:space="preserve">21206:5704168; 21206:5747291</t>
  </si>
  <si>
    <t xml:space="preserve">21206:5704181</t>
  </si>
  <si>
    <t xml:space="preserve">21206:5704184</t>
  </si>
  <si>
    <t xml:space="preserve">21632:4803644</t>
  </si>
  <si>
    <t xml:space="preserve">21206:5704198</t>
  </si>
  <si>
    <t xml:space="preserve">23012:5847481; 23012:5847504</t>
  </si>
  <si>
    <t xml:space="preserve">21206:5747305</t>
  </si>
  <si>
    <t xml:space="preserve">23012:4790252</t>
  </si>
  <si>
    <t xml:space="preserve">21206:5867281</t>
  </si>
  <si>
    <t xml:space="preserve">21206:5814181</t>
  </si>
  <si>
    <t xml:space="preserve">21206:5845045</t>
  </si>
  <si>
    <t xml:space="preserve">21206:5852747</t>
  </si>
  <si>
    <t xml:space="preserve">23012:4592217</t>
  </si>
  <si>
    <t xml:space="preserve">21206:5853825</t>
  </si>
  <si>
    <t xml:space="preserve">Every gift behind the Republican households: each household's gifts to the six candidates and its matched Republican gifts.</t>
  </si>
  <si>
    <t xml:space="preserve">Which gift</t>
  </si>
  <si>
    <t xml:space="preserve">Committee</t>
  </si>
  <si>
    <t xml:space="preserve">Filer Id</t>
  </si>
  <si>
    <t xml:space="preserve">Tran Id</t>
  </si>
  <si>
    <t xml:space="preserve">Date</t>
  </si>
  <si>
    <t xml:space="preserve">Amount ($, rounded)</t>
  </si>
  <si>
    <t xml:space="preserve">How it matched</t>
  </si>
  <si>
    <t xml:space="preserve">Gift to a slate candidate</t>
  </si>
  <si>
    <t xml:space="preserve">Novick for Portland</t>
  </si>
  <si>
    <t xml:space="preserve">15109</t>
  </si>
  <si>
    <t xml:space="preserve">5022280</t>
  </si>
  <si>
    <t xml:space="preserve">2024-09-04</t>
  </si>
  <si>
    <t xml:space="preserve">Republican gift</t>
  </si>
  <si>
    <t xml:space="preserve">12878</t>
  </si>
  <si>
    <t xml:space="preserve">307941</t>
  </si>
  <si>
    <t xml:space="preserve">2008-04-30</t>
  </si>
  <si>
    <t xml:space="preserve">554702</t>
  </si>
  <si>
    <t xml:space="preserve">2009-04-08</t>
  </si>
  <si>
    <t xml:space="preserve">Friends of Julia Brim-Edwards</t>
  </si>
  <si>
    <t xml:space="preserve">21206</t>
  </si>
  <si>
    <t xml:space="preserve">4530514</t>
  </si>
  <si>
    <t xml:space="preserve">2023-03-14</t>
  </si>
  <si>
    <t xml:space="preserve">4913049</t>
  </si>
  <si>
    <t xml:space="preserve">2024-05-14</t>
  </si>
  <si>
    <t xml:space="preserve">346009</t>
  </si>
  <si>
    <t xml:space="preserve">2008-06-10</t>
  </si>
  <si>
    <t xml:space="preserve">561926</t>
  </si>
  <si>
    <t xml:space="preserve">2009-04-23</t>
  </si>
  <si>
    <t xml:space="preserve">13998</t>
  </si>
  <si>
    <t xml:space="preserve">737042</t>
  </si>
  <si>
    <t xml:space="preserve">2010-03-29</t>
  </si>
  <si>
    <t xml:space="preserve">780531</t>
  </si>
  <si>
    <t xml:space="preserve">2010-05-05</t>
  </si>
  <si>
    <t xml:space="preserve">810187</t>
  </si>
  <si>
    <t xml:space="preserve">2010-06-10</t>
  </si>
  <si>
    <t xml:space="preserve">867527</t>
  </si>
  <si>
    <t xml:space="preserve">2010-08-27</t>
  </si>
  <si>
    <t xml:space="preserve">889878</t>
  </si>
  <si>
    <t xml:space="preserve">2010-09-20</t>
  </si>
  <si>
    <t xml:space="preserve">4155</t>
  </si>
  <si>
    <t xml:space="preserve">1691136</t>
  </si>
  <si>
    <t xml:space="preserve">2014-04-08</t>
  </si>
  <si>
    <t xml:space="preserve">2214008</t>
  </si>
  <si>
    <t xml:space="preserve">2016-04-09</t>
  </si>
  <si>
    <t xml:space="preserve">2255309</t>
  </si>
  <si>
    <t xml:space="preserve">2016-05-16</t>
  </si>
  <si>
    <t xml:space="preserve">17397</t>
  </si>
  <si>
    <t xml:space="preserve">2338132</t>
  </si>
  <si>
    <t xml:space="preserve">2016-09-06</t>
  </si>
  <si>
    <t xml:space="preserve">2400409</t>
  </si>
  <si>
    <t xml:space="preserve">2016-10-14</t>
  </si>
  <si>
    <t xml:space="preserve">15192</t>
  </si>
  <si>
    <t xml:space="preserve">2800100</t>
  </si>
  <si>
    <t xml:space="preserve">2018-04-06</t>
  </si>
  <si>
    <t xml:space="preserve">2903943</t>
  </si>
  <si>
    <t xml:space="preserve">2018-07-26</t>
  </si>
  <si>
    <t xml:space="preserve">3008676</t>
  </si>
  <si>
    <t xml:space="preserve">2018-10-01</t>
  </si>
  <si>
    <t xml:space="preserve">Friends of Kim Thatcher</t>
  </si>
  <si>
    <t xml:space="preserve">4871</t>
  </si>
  <si>
    <t xml:space="preserve">3576688</t>
  </si>
  <si>
    <t xml:space="preserve">2020-09-15</t>
  </si>
  <si>
    <t xml:space="preserve">19050</t>
  </si>
  <si>
    <t xml:space="preserve">5753126</t>
  </si>
  <si>
    <t xml:space="preserve">2026-08-05</t>
  </si>
  <si>
    <t xml:space="preserve">5771083</t>
  </si>
  <si>
    <t xml:space="preserve">2026-08-19</t>
  </si>
  <si>
    <t xml:space="preserve">Friends of Olivia</t>
  </si>
  <si>
    <t xml:space="preserve">23199</t>
  </si>
  <si>
    <t xml:space="preserve">4712016</t>
  </si>
  <si>
    <t xml:space="preserve">2023-11-28</t>
  </si>
  <si>
    <t xml:space="preserve">Friends of Eric Zimmerman</t>
  </si>
  <si>
    <t xml:space="preserve">17629</t>
  </si>
  <si>
    <t xml:space="preserve">5679870</t>
  </si>
  <si>
    <t xml:space="preserve">2026-05-11</t>
  </si>
  <si>
    <t xml:space="preserve">4536309</t>
  </si>
  <si>
    <t xml:space="preserve">2023-03-23</t>
  </si>
  <si>
    <t xml:space="preserve">4853079</t>
  </si>
  <si>
    <t xml:space="preserve">2024-03-26</t>
  </si>
  <si>
    <t xml:space="preserve">373393</t>
  </si>
  <si>
    <t xml:space="preserve">2008-08-14</t>
  </si>
  <si>
    <t xml:space="preserve">5627329</t>
  </si>
  <si>
    <t xml:space="preserve">2026-04-13</t>
  </si>
  <si>
    <t xml:space="preserve">4572188</t>
  </si>
  <si>
    <t xml:space="preserve">2023-05-03</t>
  </si>
  <si>
    <t xml:space="preserve">406431</t>
  </si>
  <si>
    <t xml:space="preserve">2008-09-10</t>
  </si>
  <si>
    <t xml:space="preserve">436939</t>
  </si>
  <si>
    <t xml:space="preserve">2008-09-30</t>
  </si>
  <si>
    <t xml:space="preserve">Kellie Torres for Portland</t>
  </si>
  <si>
    <t xml:space="preserve">24897</t>
  </si>
  <si>
    <t xml:space="preserve">5846576</t>
  </si>
  <si>
    <t xml:space="preserve">2026-09-20</t>
  </si>
  <si>
    <t xml:space="preserve">5846642</t>
  </si>
  <si>
    <t xml:space="preserve">5085923</t>
  </si>
  <si>
    <t xml:space="preserve">2024-10-06</t>
  </si>
  <si>
    <t xml:space="preserve">5633047</t>
  </si>
  <si>
    <t xml:space="preserve">2026-03-26</t>
  </si>
  <si>
    <t xml:space="preserve">4551175</t>
  </si>
  <si>
    <t xml:space="preserve">2023-04-03</t>
  </si>
  <si>
    <t xml:space="preserve">5747271</t>
  </si>
  <si>
    <t xml:space="preserve">2026-07-08</t>
  </si>
  <si>
    <t xml:space="preserve">449303</t>
  </si>
  <si>
    <t xml:space="preserve">2008-10-10</t>
  </si>
  <si>
    <t xml:space="preserve">4860147</t>
  </si>
  <si>
    <t xml:space="preserve">2024-04-14</t>
  </si>
  <si>
    <t xml:space="preserve">456114</t>
  </si>
  <si>
    <t xml:space="preserve">2008-10-16</t>
  </si>
  <si>
    <t xml:space="preserve">931177</t>
  </si>
  <si>
    <t xml:space="preserve">2010-10-12</t>
  </si>
  <si>
    <t xml:space="preserve">2752</t>
  </si>
  <si>
    <t xml:space="preserve">1197497</t>
  </si>
  <si>
    <t xml:space="preserve">2012-03-12</t>
  </si>
  <si>
    <t xml:space="preserve">2690</t>
  </si>
  <si>
    <t xml:space="preserve">1221981</t>
  </si>
  <si>
    <t xml:space="preserve">2012-04-12</t>
  </si>
  <si>
    <t xml:space="preserve">1272145</t>
  </si>
  <si>
    <t xml:space="preserve">2012-06-29</t>
  </si>
  <si>
    <t xml:space="preserve">1277778</t>
  </si>
  <si>
    <t xml:space="preserve">2012-07-10</t>
  </si>
  <si>
    <t xml:space="preserve">1283234</t>
  </si>
  <si>
    <t xml:space="preserve">2012-07-16</t>
  </si>
  <si>
    <t xml:space="preserve">2338634</t>
  </si>
  <si>
    <t xml:space="preserve">2016-09-07</t>
  </si>
  <si>
    <t xml:space="preserve">3012967</t>
  </si>
  <si>
    <t xml:space="preserve">2018-10-03</t>
  </si>
  <si>
    <t xml:space="preserve">21896</t>
  </si>
  <si>
    <t xml:space="preserve">4788154</t>
  </si>
  <si>
    <t xml:space="preserve">2024-02-22</t>
  </si>
  <si>
    <t xml:space="preserve">Bring Balance to Salem PAC</t>
  </si>
  <si>
    <t xml:space="preserve">21717</t>
  </si>
  <si>
    <t xml:space="preserve">5108443</t>
  </si>
  <si>
    <t xml:space="preserve">2024-10-21</t>
  </si>
  <si>
    <t xml:space="preserve">5124500</t>
  </si>
  <si>
    <t xml:space="preserve">2024-10-29</t>
  </si>
  <si>
    <t xml:space="preserve">5810934</t>
  </si>
  <si>
    <t xml:space="preserve">2026-09-13</t>
  </si>
  <si>
    <t xml:space="preserve">4842656</t>
  </si>
  <si>
    <t xml:space="preserve">2024-04-11</t>
  </si>
  <si>
    <t xml:space="preserve">5844178</t>
  </si>
  <si>
    <t xml:space="preserve">2026-09-12</t>
  </si>
  <si>
    <t xml:space="preserve">5813937</t>
  </si>
  <si>
    <t xml:space="preserve">467460</t>
  </si>
  <si>
    <t xml:space="preserve">2008-10-20</t>
  </si>
  <si>
    <t xml:space="preserve">615753</t>
  </si>
  <si>
    <t xml:space="preserve">2009-09-17</t>
  </si>
  <si>
    <t xml:space="preserve">730702</t>
  </si>
  <si>
    <t xml:space="preserve">2010-03-17</t>
  </si>
  <si>
    <t xml:space="preserve">5873385</t>
  </si>
  <si>
    <t xml:space="preserve">2026-10-05</t>
  </si>
  <si>
    <t xml:space="preserve">5863396</t>
  </si>
  <si>
    <t xml:space="preserve">2026-09-30</t>
  </si>
  <si>
    <t xml:space="preserve">5852827</t>
  </si>
  <si>
    <t xml:space="preserve">467561</t>
  </si>
  <si>
    <t xml:space="preserve">2008-10-24</t>
  </si>
  <si>
    <t xml:space="preserve">5868497</t>
  </si>
  <si>
    <t xml:space="preserve">645475</t>
  </si>
  <si>
    <t xml:space="preserve">2009-12-01</t>
  </si>
  <si>
    <t xml:space="preserve">24693</t>
  </si>
  <si>
    <t xml:space="preserve">5578379</t>
  </si>
  <si>
    <t xml:space="preserve">2026-03-16</t>
  </si>
  <si>
    <t xml:space="preserve">5704151</t>
  </si>
  <si>
    <t xml:space="preserve">2026-06-16</t>
  </si>
  <si>
    <t xml:space="preserve">645691</t>
  </si>
  <si>
    <t xml:space="preserve">5639462</t>
  </si>
  <si>
    <t xml:space="preserve">2026-04-25</t>
  </si>
  <si>
    <t xml:space="preserve">Eli for Portland</t>
  </si>
  <si>
    <t xml:space="preserve">23295</t>
  </si>
  <si>
    <t xml:space="preserve">5505111</t>
  </si>
  <si>
    <t xml:space="preserve">2026-01-12</t>
  </si>
  <si>
    <t xml:space="preserve">5505122</t>
  </si>
  <si>
    <t xml:space="preserve">661714</t>
  </si>
  <si>
    <t xml:space="preserve">2009-12-16</t>
  </si>
  <si>
    <t xml:space="preserve">819738</t>
  </si>
  <si>
    <t xml:space="preserve">2010-06-21</t>
  </si>
  <si>
    <t xml:space="preserve">4778922</t>
  </si>
  <si>
    <t xml:space="preserve">2024-02-02</t>
  </si>
  <si>
    <t xml:space="preserve">4536329</t>
  </si>
  <si>
    <t xml:space="preserve">2023-03-27</t>
  </si>
  <si>
    <t xml:space="preserve">677176</t>
  </si>
  <si>
    <t xml:space="preserve">2010-01-04</t>
  </si>
  <si>
    <t xml:space="preserve">761247</t>
  </si>
  <si>
    <t xml:space="preserve">2010-04-20</t>
  </si>
  <si>
    <t xml:space="preserve">846517</t>
  </si>
  <si>
    <t xml:space="preserve">2010-07-30</t>
  </si>
  <si>
    <t xml:space="preserve">911093</t>
  </si>
  <si>
    <t xml:space="preserve">2010-10-04</t>
  </si>
  <si>
    <t xml:space="preserve">1615784</t>
  </si>
  <si>
    <t xml:space="preserve">2013-12-19</t>
  </si>
  <si>
    <t xml:space="preserve">2145598</t>
  </si>
  <si>
    <t xml:space="preserve">2015-12-31</t>
  </si>
  <si>
    <t xml:space="preserve">2761997</t>
  </si>
  <si>
    <t xml:space="preserve">2018-02-28</t>
  </si>
  <si>
    <t xml:space="preserve">5760928</t>
  </si>
  <si>
    <t xml:space="preserve">2026-08-09</t>
  </si>
  <si>
    <t xml:space="preserve">5873453</t>
  </si>
  <si>
    <t xml:space="preserve">5853319</t>
  </si>
  <si>
    <t xml:space="preserve">2026-09-28</t>
  </si>
  <si>
    <t xml:space="preserve">5852794</t>
  </si>
  <si>
    <t xml:space="preserve">704478</t>
  </si>
  <si>
    <t xml:space="preserve">2010-02-09</t>
  </si>
  <si>
    <t xml:space="preserve">861561</t>
  </si>
  <si>
    <t xml:space="preserve">2010-08-17</t>
  </si>
  <si>
    <t xml:space="preserve">2206664</t>
  </si>
  <si>
    <t xml:space="preserve">2016-04-04</t>
  </si>
  <si>
    <t xml:space="preserve">2729829</t>
  </si>
  <si>
    <t xml:space="preserve">2018-01-18</t>
  </si>
  <si>
    <t xml:space="preserve">4388949</t>
  </si>
  <si>
    <t xml:space="preserve">2022-10-24</t>
  </si>
  <si>
    <t xml:space="preserve">5722342</t>
  </si>
  <si>
    <t xml:space="preserve">2026-07-13</t>
  </si>
  <si>
    <t xml:space="preserve">5838902</t>
  </si>
  <si>
    <t xml:space="preserve">5555068</t>
  </si>
  <si>
    <t xml:space="preserve">2026-02-18</t>
  </si>
  <si>
    <t xml:space="preserve">709479</t>
  </si>
  <si>
    <t xml:space="preserve">2010-02-18</t>
  </si>
  <si>
    <t xml:space="preserve">5645593</t>
  </si>
  <si>
    <t xml:space="preserve">2026-04-29</t>
  </si>
  <si>
    <t xml:space="preserve">4921375</t>
  </si>
  <si>
    <t xml:space="preserve">2024-05-15</t>
  </si>
  <si>
    <t xml:space="preserve">723588</t>
  </si>
  <si>
    <t xml:space="preserve">2010-03-10</t>
  </si>
  <si>
    <t xml:space="preserve">4536341</t>
  </si>
  <si>
    <t xml:space="preserve">2023-03-29</t>
  </si>
  <si>
    <t xml:space="preserve">5857115</t>
  </si>
  <si>
    <t xml:space="preserve">2026-10-03</t>
  </si>
  <si>
    <t xml:space="preserve">726280</t>
  </si>
  <si>
    <t xml:space="preserve">2977643</t>
  </si>
  <si>
    <t xml:space="preserve">2018-09-24</t>
  </si>
  <si>
    <t xml:space="preserve">4785325</t>
  </si>
  <si>
    <t xml:space="preserve">2024-02-18</t>
  </si>
  <si>
    <t xml:space="preserve">5685046</t>
  </si>
  <si>
    <t xml:space="preserve">2026-05-27</t>
  </si>
  <si>
    <t xml:space="preserve">5830453</t>
  </si>
  <si>
    <t xml:space="preserve">2026-09-22</t>
  </si>
  <si>
    <t xml:space="preserve">5674943</t>
  </si>
  <si>
    <t xml:space="preserve">2026-05-20</t>
  </si>
  <si>
    <t xml:space="preserve">5686494</t>
  </si>
  <si>
    <t xml:space="preserve">2026-06-11</t>
  </si>
  <si>
    <t xml:space="preserve">775628</t>
  </si>
  <si>
    <t xml:space="preserve">2010-05-03</t>
  </si>
  <si>
    <t xml:space="preserve">812221</t>
  </si>
  <si>
    <t xml:space="preserve">2010-06-14</t>
  </si>
  <si>
    <t xml:space="preserve">817465</t>
  </si>
  <si>
    <t xml:space="preserve">2010-06-18</t>
  </si>
  <si>
    <t xml:space="preserve">862917</t>
  </si>
  <si>
    <t xml:space="preserve">2010-08-25</t>
  </si>
  <si>
    <t xml:space="preserve">936530</t>
  </si>
  <si>
    <t xml:space="preserve">2010-10-15</t>
  </si>
  <si>
    <t xml:space="preserve">2620145</t>
  </si>
  <si>
    <t xml:space="preserve">2017-09-10</t>
  </si>
  <si>
    <t xml:space="preserve">2620146</t>
  </si>
  <si>
    <t xml:space="preserve">2889599</t>
  </si>
  <si>
    <t xml:space="preserve">2018-07-10</t>
  </si>
  <si>
    <t xml:space="preserve">2894245</t>
  </si>
  <si>
    <t xml:space="preserve">2018-07-17</t>
  </si>
  <si>
    <t xml:space="preserve">2948046</t>
  </si>
  <si>
    <t xml:space="preserve">2018-09-03</t>
  </si>
  <si>
    <t xml:space="preserve">3003198</t>
  </si>
  <si>
    <t xml:space="preserve">2018-09-28</t>
  </si>
  <si>
    <t xml:space="preserve">3009905</t>
  </si>
  <si>
    <t xml:space="preserve">2018-10-02</t>
  </si>
  <si>
    <t xml:space="preserve">4375712</t>
  </si>
  <si>
    <t xml:space="preserve">2022-10-19</t>
  </si>
  <si>
    <t xml:space="preserve">5086898</t>
  </si>
  <si>
    <t xml:space="preserve">2024-10-03</t>
  </si>
  <si>
    <t xml:space="preserve">5812169</t>
  </si>
  <si>
    <t xml:space="preserve">5868399</t>
  </si>
  <si>
    <t xml:space="preserve">797496</t>
  </si>
  <si>
    <t xml:space="preserve">2010-06-02</t>
  </si>
  <si>
    <t xml:space="preserve">949704</t>
  </si>
  <si>
    <t xml:space="preserve">2010-10-24</t>
  </si>
  <si>
    <t xml:space="preserve">5760945</t>
  </si>
  <si>
    <t xml:space="preserve">949689</t>
  </si>
  <si>
    <t xml:space="preserve">949688</t>
  </si>
  <si>
    <t xml:space="preserve">1270034</t>
  </si>
  <si>
    <t xml:space="preserve">2012-06-24</t>
  </si>
  <si>
    <t xml:space="preserve">1382465</t>
  </si>
  <si>
    <t xml:space="preserve">2012-10-15</t>
  </si>
  <si>
    <t xml:space="preserve">1414274</t>
  </si>
  <si>
    <t xml:space="preserve">2012-11-01</t>
  </si>
  <si>
    <t xml:space="preserve">1764279</t>
  </si>
  <si>
    <t xml:space="preserve">2014-07-16</t>
  </si>
  <si>
    <t xml:space="preserve">1862480</t>
  </si>
  <si>
    <t xml:space="preserve">2014-10-08</t>
  </si>
  <si>
    <t xml:space="preserve">2204149</t>
  </si>
  <si>
    <t xml:space="preserve">2016-03-30</t>
  </si>
  <si>
    <t xml:space="preserve">2227651</t>
  </si>
  <si>
    <t xml:space="preserve">2016-04-21</t>
  </si>
  <si>
    <t xml:space="preserve">2227560</t>
  </si>
  <si>
    <t xml:space="preserve">2275366</t>
  </si>
  <si>
    <t xml:space="preserve">2016-06-21</t>
  </si>
  <si>
    <t xml:space="preserve">2402657</t>
  </si>
  <si>
    <t xml:space="preserve">2016-10-17</t>
  </si>
  <si>
    <t xml:space="preserve">2871059</t>
  </si>
  <si>
    <t xml:space="preserve">2018-06-18</t>
  </si>
  <si>
    <t xml:space="preserve">Evergreen Oregon PAC</t>
  </si>
  <si>
    <t xml:space="preserve">20202</t>
  </si>
  <si>
    <t xml:space="preserve">3282978</t>
  </si>
  <si>
    <t xml:space="preserve">2019-11-07</t>
  </si>
  <si>
    <t xml:space="preserve">3824692</t>
  </si>
  <si>
    <t xml:space="preserve">2021-07-11</t>
  </si>
  <si>
    <t xml:space="preserve">4312835</t>
  </si>
  <si>
    <t xml:space="preserve">2022-09-29</t>
  </si>
  <si>
    <t xml:space="preserve">5099437</t>
  </si>
  <si>
    <t xml:space="preserve">2024-10-12</t>
  </si>
  <si>
    <t xml:space="preserve">5672089</t>
  </si>
  <si>
    <t xml:space="preserve">2026-05-21</t>
  </si>
  <si>
    <t xml:space="preserve">5778485</t>
  </si>
  <si>
    <t xml:space="preserve">2026-08-26</t>
  </si>
  <si>
    <t xml:space="preserve">5780404</t>
  </si>
  <si>
    <t xml:space="preserve">850526</t>
  </si>
  <si>
    <t xml:space="preserve">2010-08-03</t>
  </si>
  <si>
    <t xml:space="preserve">1262673</t>
  </si>
  <si>
    <t xml:space="preserve">2012-06-11</t>
  </si>
  <si>
    <t xml:space="preserve">2439411</t>
  </si>
  <si>
    <t xml:space="preserve">2016-10-31</t>
  </si>
  <si>
    <t xml:space="preserve">2662894</t>
  </si>
  <si>
    <t xml:space="preserve">2017-11-05</t>
  </si>
  <si>
    <t xml:space="preserve">2982743</t>
  </si>
  <si>
    <t xml:space="preserve">2018-09-18</t>
  </si>
  <si>
    <t xml:space="preserve">5846623</t>
  </si>
  <si>
    <t xml:space="preserve">5844219</t>
  </si>
  <si>
    <t xml:space="preserve">2026-09-15</t>
  </si>
  <si>
    <t xml:space="preserve">4993456</t>
  </si>
  <si>
    <t xml:space="preserve">2024-08-13</t>
  </si>
  <si>
    <t xml:space="preserve">5813957</t>
  </si>
  <si>
    <t xml:space="preserve">4551178</t>
  </si>
  <si>
    <t xml:space="preserve">2023-04-04</t>
  </si>
  <si>
    <t xml:space="preserve">5555089</t>
  </si>
  <si>
    <t xml:space="preserve">2026-02-23</t>
  </si>
  <si>
    <t xml:space="preserve">4551179</t>
  </si>
  <si>
    <t xml:space="preserve">4853109</t>
  </si>
  <si>
    <t xml:space="preserve">2024-03-25</t>
  </si>
  <si>
    <t xml:space="preserve">881222</t>
  </si>
  <si>
    <t xml:space="preserve">2010-09-10</t>
  </si>
  <si>
    <t xml:space="preserve">903723</t>
  </si>
  <si>
    <t xml:space="preserve">2010-09-29</t>
  </si>
  <si>
    <t xml:space="preserve">2982931</t>
  </si>
  <si>
    <t xml:space="preserve">2018-09-20</t>
  </si>
  <si>
    <t xml:space="preserve">3054852</t>
  </si>
  <si>
    <t xml:space="preserve">2018-10-25</t>
  </si>
  <si>
    <t xml:space="preserve">3069502</t>
  </si>
  <si>
    <t xml:space="preserve">2018-11-02</t>
  </si>
  <si>
    <t xml:space="preserve">5658420</t>
  </si>
  <si>
    <t xml:space="preserve">2026-05-03</t>
  </si>
  <si>
    <t xml:space="preserve">5717509</t>
  </si>
  <si>
    <t xml:space="preserve">2026-06-17</t>
  </si>
  <si>
    <t xml:space="preserve">5375105</t>
  </si>
  <si>
    <t xml:space="preserve">2025-08-25</t>
  </si>
  <si>
    <t xml:space="preserve">5473737</t>
  </si>
  <si>
    <t xml:space="preserve">2025-12-08</t>
  </si>
  <si>
    <t xml:space="preserve">5017065</t>
  </si>
  <si>
    <t xml:space="preserve">2024-08-22</t>
  </si>
  <si>
    <t xml:space="preserve">5813892</t>
  </si>
  <si>
    <t xml:space="preserve">2026-09-09</t>
  </si>
  <si>
    <t xml:space="preserve">4530526</t>
  </si>
  <si>
    <t xml:space="preserve">2023-03-15</t>
  </si>
  <si>
    <t xml:space="preserve">4913050</t>
  </si>
  <si>
    <t xml:space="preserve">5555015</t>
  </si>
  <si>
    <t xml:space="preserve">2026-02-16</t>
  </si>
  <si>
    <t xml:space="preserve">890502</t>
  </si>
  <si>
    <t xml:space="preserve">2010-09-22</t>
  </si>
  <si>
    <t xml:space="preserve">5846625</t>
  </si>
  <si>
    <t xml:space="preserve">5717485</t>
  </si>
  <si>
    <t xml:space="preserve">2026-06-12</t>
  </si>
  <si>
    <t xml:space="preserve">4931476</t>
  </si>
  <si>
    <t xml:space="preserve">5844223</t>
  </si>
  <si>
    <t xml:space="preserve">5778160</t>
  </si>
  <si>
    <t xml:space="preserve">2026-08-24</t>
  </si>
  <si>
    <t xml:space="preserve">5813959</t>
  </si>
  <si>
    <t xml:space="preserve">4551189</t>
  </si>
  <si>
    <t xml:space="preserve">2023-04-06</t>
  </si>
  <si>
    <t xml:space="preserve">944216</t>
  </si>
  <si>
    <t xml:space="preserve">2010-10-27</t>
  </si>
  <si>
    <t xml:space="preserve">5878236</t>
  </si>
  <si>
    <t xml:space="preserve">2026-10-06</t>
  </si>
  <si>
    <t xml:space="preserve">5800302</t>
  </si>
  <si>
    <t xml:space="preserve">2026-09-08</t>
  </si>
  <si>
    <t xml:space="preserve">5813894</t>
  </si>
  <si>
    <t xml:space="preserve">4568202</t>
  </si>
  <si>
    <t xml:space="preserve">2023-05-01</t>
  </si>
  <si>
    <t xml:space="preserve">4921372</t>
  </si>
  <si>
    <t xml:space="preserve">2024-05-20</t>
  </si>
  <si>
    <t xml:space="preserve">1125657</t>
  </si>
  <si>
    <t xml:space="preserve">2011-12-21</t>
  </si>
  <si>
    <t xml:space="preserve">1832575</t>
  </si>
  <si>
    <t xml:space="preserve">2014-09-17</t>
  </si>
  <si>
    <t xml:space="preserve">2294547</t>
  </si>
  <si>
    <t xml:space="preserve">2016-07-18</t>
  </si>
  <si>
    <t xml:space="preserve">2887948</t>
  </si>
  <si>
    <t xml:space="preserve">2018-07-05</t>
  </si>
  <si>
    <t xml:space="preserve">3164998</t>
  </si>
  <si>
    <t xml:space="preserve">2019-04-05</t>
  </si>
  <si>
    <t xml:space="preserve">3474655</t>
  </si>
  <si>
    <t xml:space="preserve">2020-05-19</t>
  </si>
  <si>
    <t xml:space="preserve">5804309</t>
  </si>
  <si>
    <t xml:space="preserve">5780400</t>
  </si>
  <si>
    <t xml:space="preserve">5831612</t>
  </si>
  <si>
    <t xml:space="preserve">5685078</t>
  </si>
  <si>
    <t xml:space="preserve">2026-06-04</t>
  </si>
  <si>
    <t xml:space="preserve">5679864</t>
  </si>
  <si>
    <t xml:space="preserve">4993392</t>
  </si>
  <si>
    <t xml:space="preserve">2024-08-08</t>
  </si>
  <si>
    <t xml:space="preserve">4568186</t>
  </si>
  <si>
    <t xml:space="preserve">5578333</t>
  </si>
  <si>
    <t xml:space="preserve">2026-03-11</t>
  </si>
  <si>
    <t xml:space="preserve">1155723</t>
  </si>
  <si>
    <t xml:space="preserve">2012-01-27</t>
  </si>
  <si>
    <t xml:space="preserve">1389544</t>
  </si>
  <si>
    <t xml:space="preserve">2012-10-22</t>
  </si>
  <si>
    <t xml:space="preserve">1412291</t>
  </si>
  <si>
    <t xml:space="preserve">2012-10-31</t>
  </si>
  <si>
    <t xml:space="preserve">1799268</t>
  </si>
  <si>
    <t xml:space="preserve">2014-08-05</t>
  </si>
  <si>
    <t xml:space="preserve">2622425</t>
  </si>
  <si>
    <t xml:space="preserve">2017-09-22</t>
  </si>
  <si>
    <t xml:space="preserve">3050049</t>
  </si>
  <si>
    <t xml:space="preserve">2018-10-22</t>
  </si>
  <si>
    <t xml:space="preserve">4770292</t>
  </si>
  <si>
    <t xml:space="preserve">2024-02-06</t>
  </si>
  <si>
    <t xml:space="preserve">5761006</t>
  </si>
  <si>
    <t xml:space="preserve">5633082</t>
  </si>
  <si>
    <t xml:space="preserve">2026-04-07</t>
  </si>
  <si>
    <t xml:space="preserve">5704040</t>
  </si>
  <si>
    <t xml:space="preserve">2026-06-13</t>
  </si>
  <si>
    <t xml:space="preserve">5820984</t>
  </si>
  <si>
    <t xml:space="preserve">4536304</t>
  </si>
  <si>
    <t xml:space="preserve">5578345</t>
  </si>
  <si>
    <t xml:space="preserve">1176724</t>
  </si>
  <si>
    <t xml:space="preserve">2012-02-26</t>
  </si>
  <si>
    <t xml:space="preserve">1413842</t>
  </si>
  <si>
    <t xml:space="preserve">1793078</t>
  </si>
  <si>
    <t xml:space="preserve">2014-08-14</t>
  </si>
  <si>
    <t xml:space="preserve">1852194</t>
  </si>
  <si>
    <t xml:space="preserve">2014-10-01</t>
  </si>
  <si>
    <t xml:space="preserve">2293621</t>
  </si>
  <si>
    <t xml:space="preserve">2733414</t>
  </si>
  <si>
    <t xml:space="preserve">2018-01-24</t>
  </si>
  <si>
    <t xml:space="preserve">2790090</t>
  </si>
  <si>
    <t xml:space="preserve">2018-03-29</t>
  </si>
  <si>
    <t xml:space="preserve">4775465</t>
  </si>
  <si>
    <t xml:space="preserve">2024-02-08</t>
  </si>
  <si>
    <t xml:space="preserve">5086955</t>
  </si>
  <si>
    <t xml:space="preserve">2024-10-04</t>
  </si>
  <si>
    <t xml:space="preserve">5732244</t>
  </si>
  <si>
    <t xml:space="preserve">2026-06-19</t>
  </si>
  <si>
    <t xml:space="preserve">5868476</t>
  </si>
  <si>
    <t xml:space="preserve">4563014</t>
  </si>
  <si>
    <t xml:space="preserve">2023-04-25</t>
  </si>
  <si>
    <t xml:space="preserve">4853135</t>
  </si>
  <si>
    <t xml:space="preserve">5555061</t>
  </si>
  <si>
    <t xml:space="preserve">2026-02-17</t>
  </si>
  <si>
    <t xml:space="preserve">1223332</t>
  </si>
  <si>
    <t xml:space="preserve">2012-04-18</t>
  </si>
  <si>
    <t xml:space="preserve">1639297</t>
  </si>
  <si>
    <t xml:space="preserve">2014-01-18</t>
  </si>
  <si>
    <t xml:space="preserve">1845152</t>
  </si>
  <si>
    <t xml:space="preserve">2014-09-27</t>
  </si>
  <si>
    <t xml:space="preserve">2599519</t>
  </si>
  <si>
    <t xml:space="preserve">2017-08-18</t>
  </si>
  <si>
    <t xml:space="preserve">2814827</t>
  </si>
  <si>
    <t xml:space="preserve">2018-04-19</t>
  </si>
  <si>
    <t xml:space="preserve">3043271</t>
  </si>
  <si>
    <t xml:space="preserve">2018-10-17</t>
  </si>
  <si>
    <t xml:space="preserve">4572241</t>
  </si>
  <si>
    <t xml:space="preserve">2023-05-08</t>
  </si>
  <si>
    <t xml:space="preserve">5578344</t>
  </si>
  <si>
    <t xml:space="preserve">5647917</t>
  </si>
  <si>
    <t xml:space="preserve">2026-04-18</t>
  </si>
  <si>
    <t xml:space="preserve">1254706</t>
  </si>
  <si>
    <t xml:space="preserve">2012-05-14</t>
  </si>
  <si>
    <t xml:space="preserve">1277399</t>
  </si>
  <si>
    <t xml:space="preserve">2012-07-02</t>
  </si>
  <si>
    <t xml:space="preserve">1404944</t>
  </si>
  <si>
    <t xml:space="preserve">4145981</t>
  </si>
  <si>
    <t xml:space="preserve">2022-05-02</t>
  </si>
  <si>
    <t xml:space="preserve">4350989</t>
  </si>
  <si>
    <t xml:space="preserve">2022-10-11</t>
  </si>
  <si>
    <t xml:space="preserve">4399899</t>
  </si>
  <si>
    <t xml:space="preserve">2022-10-31</t>
  </si>
  <si>
    <t xml:space="preserve">4399900</t>
  </si>
  <si>
    <t xml:space="preserve">4399901</t>
  </si>
  <si>
    <t xml:space="preserve">4402475</t>
  </si>
  <si>
    <t xml:space="preserve">2022-11-01</t>
  </si>
  <si>
    <t xml:space="preserve">4861611</t>
  </si>
  <si>
    <t xml:space="preserve">2024-04-17</t>
  </si>
  <si>
    <t xml:space="preserve">5123890</t>
  </si>
  <si>
    <t xml:space="preserve">2024-10-25</t>
  </si>
  <si>
    <t xml:space="preserve">5846627</t>
  </si>
  <si>
    <t xml:space="preserve">5793246</t>
  </si>
  <si>
    <t xml:space="preserve">2026-08-20</t>
  </si>
  <si>
    <t xml:space="preserve">5061732</t>
  </si>
  <si>
    <t xml:space="preserve">2024-09-27</t>
  </si>
  <si>
    <t xml:space="preserve">5473715</t>
  </si>
  <si>
    <t xml:space="preserve">2025-12-04</t>
  </si>
  <si>
    <t xml:space="preserve">4968603</t>
  </si>
  <si>
    <t xml:space="preserve">2024-07-19</t>
  </si>
  <si>
    <t xml:space="preserve">5651895</t>
  </si>
  <si>
    <t xml:space="preserve">2026-04-14</t>
  </si>
  <si>
    <t xml:space="preserve">5704160</t>
  </si>
  <si>
    <t xml:space="preserve">2026-06-18</t>
  </si>
  <si>
    <t xml:space="preserve">4530578</t>
  </si>
  <si>
    <t xml:space="preserve">4853174</t>
  </si>
  <si>
    <t xml:space="preserve">5647915</t>
  </si>
  <si>
    <t xml:space="preserve">Tim Knopp for State Senate</t>
  </si>
  <si>
    <t xml:space="preserve">15627</t>
  </si>
  <si>
    <t xml:space="preserve">1267733</t>
  </si>
  <si>
    <t xml:space="preserve">2012-05-31</t>
  </si>
  <si>
    <t xml:space="preserve">1412312</t>
  </si>
  <si>
    <t xml:space="preserve">1840306</t>
  </si>
  <si>
    <t xml:space="preserve">2014-09-24</t>
  </si>
  <si>
    <t xml:space="preserve">2346191</t>
  </si>
  <si>
    <t xml:space="preserve">2016-08-24</t>
  </si>
  <si>
    <t xml:space="preserve">2350441</t>
  </si>
  <si>
    <t xml:space="preserve">2016-09-18</t>
  </si>
  <si>
    <t xml:space="preserve">2428898</t>
  </si>
  <si>
    <t xml:space="preserve">2016-11-01</t>
  </si>
  <si>
    <t xml:space="preserve">2591021</t>
  </si>
  <si>
    <t xml:space="preserve">2017-08-04</t>
  </si>
  <si>
    <t xml:space="preserve">3033736</t>
  </si>
  <si>
    <t xml:space="preserve">2018-10-15</t>
  </si>
  <si>
    <t xml:space="preserve">4368289</t>
  </si>
  <si>
    <t xml:space="preserve">2022-10-18</t>
  </si>
  <si>
    <t xml:space="preserve">24485</t>
  </si>
  <si>
    <t xml:space="preserve">5485678</t>
  </si>
  <si>
    <t xml:space="preserve">2025-12-31</t>
  </si>
  <si>
    <t xml:space="preserve">4888919</t>
  </si>
  <si>
    <t xml:space="preserve">2024-05-01</t>
  </si>
  <si>
    <t xml:space="preserve">1285976</t>
  </si>
  <si>
    <t xml:space="preserve">2012-07-20</t>
  </si>
  <si>
    <t xml:space="preserve">2302002</t>
  </si>
  <si>
    <t xml:space="preserve">2016-07-29</t>
  </si>
  <si>
    <t xml:space="preserve">2716443</t>
  </si>
  <si>
    <t xml:space="preserve">2018-01-08</t>
  </si>
  <si>
    <t xml:space="preserve">2861417</t>
  </si>
  <si>
    <t xml:space="preserve">2018-06-05</t>
  </si>
  <si>
    <t xml:space="preserve">2913113</t>
  </si>
  <si>
    <t xml:space="preserve">2018-08-08</t>
  </si>
  <si>
    <t xml:space="preserve">3041308</t>
  </si>
  <si>
    <t xml:space="preserve">2018-10-16</t>
  </si>
  <si>
    <t xml:space="preserve">4210576</t>
  </si>
  <si>
    <t xml:space="preserve">2022-07-22</t>
  </si>
  <si>
    <t xml:space="preserve">4260172</t>
  </si>
  <si>
    <t xml:space="preserve">2022-09-01</t>
  </si>
  <si>
    <t xml:space="preserve">5778135</t>
  </si>
  <si>
    <t xml:space="preserve">2026-08-21</t>
  </si>
  <si>
    <t xml:space="preserve">5555087</t>
  </si>
  <si>
    <t xml:space="preserve">1334390</t>
  </si>
  <si>
    <t xml:space="preserve">2012-09-13</t>
  </si>
  <si>
    <t xml:space="preserve">2321617</t>
  </si>
  <si>
    <t xml:space="preserve">2016-08-12</t>
  </si>
  <si>
    <t xml:space="preserve">2621761</t>
  </si>
  <si>
    <t xml:space="preserve">2017-09-20</t>
  </si>
  <si>
    <t xml:space="preserve">2651802</t>
  </si>
  <si>
    <t xml:space="preserve">2017-10-28</t>
  </si>
  <si>
    <t xml:space="preserve">2652083</t>
  </si>
  <si>
    <t xml:space="preserve">2017-10-30</t>
  </si>
  <si>
    <t xml:space="preserve">2672555</t>
  </si>
  <si>
    <t xml:space="preserve">2017-11-20</t>
  </si>
  <si>
    <t xml:space="preserve">2701925</t>
  </si>
  <si>
    <t xml:space="preserve">2017-12-20</t>
  </si>
  <si>
    <t xml:space="preserve">2743422</t>
  </si>
  <si>
    <t xml:space="preserve">2018-02-01</t>
  </si>
  <si>
    <t xml:space="preserve">2784660</t>
  </si>
  <si>
    <t xml:space="preserve">2018-03-26</t>
  </si>
  <si>
    <t xml:space="preserve">2804187</t>
  </si>
  <si>
    <t xml:space="preserve">2018-04-10</t>
  </si>
  <si>
    <t xml:space="preserve">2910692</t>
  </si>
  <si>
    <t xml:space="preserve">2018-08-06</t>
  </si>
  <si>
    <t xml:space="preserve">4967848</t>
  </si>
  <si>
    <t xml:space="preserve">2024-07-18</t>
  </si>
  <si>
    <t xml:space="preserve">1374446</t>
  </si>
  <si>
    <t xml:space="preserve">2012-10-08</t>
  </si>
  <si>
    <t xml:space="preserve">2365415</t>
  </si>
  <si>
    <t xml:space="preserve">2016-09-28</t>
  </si>
  <si>
    <t xml:space="preserve">2992803</t>
  </si>
  <si>
    <t xml:space="preserve">3638153</t>
  </si>
  <si>
    <t xml:space="preserve">2020-10-15</t>
  </si>
  <si>
    <t xml:space="preserve">5795169</t>
  </si>
  <si>
    <t xml:space="preserve">2026-09-04</t>
  </si>
  <si>
    <t xml:space="preserve">4813722</t>
  </si>
  <si>
    <t xml:space="preserve">2024-03-07</t>
  </si>
  <si>
    <t xml:space="preserve">5080567</t>
  </si>
  <si>
    <t xml:space="preserve">2024-10-02</t>
  </si>
  <si>
    <t xml:space="preserve">5503410</t>
  </si>
  <si>
    <t xml:space="preserve">2026-01-05</t>
  </si>
  <si>
    <t xml:space="preserve">4907904</t>
  </si>
  <si>
    <t xml:space="preserve">2024-05-06</t>
  </si>
  <si>
    <t xml:space="preserve">5844271</t>
  </si>
  <si>
    <t xml:space="preserve">5828909</t>
  </si>
  <si>
    <t xml:space="preserve">2026-09-21</t>
  </si>
  <si>
    <t xml:space="preserve">5865555</t>
  </si>
  <si>
    <t xml:space="preserve">2026-10-04</t>
  </si>
  <si>
    <t xml:space="preserve">4530557</t>
  </si>
  <si>
    <t xml:space="preserve">2023-03-13</t>
  </si>
  <si>
    <t xml:space="preserve">4853139</t>
  </si>
  <si>
    <t xml:space="preserve">2024-04-08</t>
  </si>
  <si>
    <t xml:space="preserve">5555028</t>
  </si>
  <si>
    <t xml:space="preserve">2026-02-12</t>
  </si>
  <si>
    <t xml:space="preserve">15984</t>
  </si>
  <si>
    <t xml:space="preserve">1379009</t>
  </si>
  <si>
    <t xml:space="preserve">2012-10-16</t>
  </si>
  <si>
    <t xml:space="preserve">5516614</t>
  </si>
  <si>
    <t xml:space="preserve">5627280</t>
  </si>
  <si>
    <t xml:space="preserve">2026-03-30</t>
  </si>
  <si>
    <t xml:space="preserve">1414427</t>
  </si>
  <si>
    <t xml:space="preserve">5846650</t>
  </si>
  <si>
    <t xml:space="preserve">5830354</t>
  </si>
  <si>
    <t xml:space="preserve">2026-09-16</t>
  </si>
  <si>
    <t xml:space="preserve">5844238</t>
  </si>
  <si>
    <t xml:space="preserve">5679849</t>
  </si>
  <si>
    <t xml:space="preserve">2026-05-07</t>
  </si>
  <si>
    <t xml:space="preserve">5821161</t>
  </si>
  <si>
    <t xml:space="preserve">4530484</t>
  </si>
  <si>
    <t xml:space="preserve">2023-03-06</t>
  </si>
  <si>
    <t xml:space="preserve">5497844</t>
  </si>
  <si>
    <t xml:space="preserve">2025-12-11</t>
  </si>
  <si>
    <t xml:space="preserve">1797354</t>
  </si>
  <si>
    <t xml:space="preserve">2014-07-26</t>
  </si>
  <si>
    <t xml:space="preserve">5850415</t>
  </si>
  <si>
    <t xml:space="preserve">2026-09-29</t>
  </si>
  <si>
    <t xml:space="preserve">5852823</t>
  </si>
  <si>
    <t xml:space="preserve">1843897</t>
  </si>
  <si>
    <t xml:space="preserve">2014-09-19</t>
  </si>
  <si>
    <t xml:space="preserve">2102349</t>
  </si>
  <si>
    <t xml:space="preserve">2015-11-06</t>
  </si>
  <si>
    <t xml:space="preserve">2256302</t>
  </si>
  <si>
    <t xml:space="preserve">2016-05-17</t>
  </si>
  <si>
    <t xml:space="preserve">2348525</t>
  </si>
  <si>
    <t xml:space="preserve">2016-08-16</t>
  </si>
  <si>
    <t xml:space="preserve">2937348</t>
  </si>
  <si>
    <t xml:space="preserve">2018-08-28</t>
  </si>
  <si>
    <t xml:space="preserve">3043200</t>
  </si>
  <si>
    <t xml:space="preserve">4374820</t>
  </si>
  <si>
    <t xml:space="preserve">4938828</t>
  </si>
  <si>
    <t xml:space="preserve">2024-06-20</t>
  </si>
  <si>
    <t xml:space="preserve">4574705</t>
  </si>
  <si>
    <t xml:space="preserve">2023-05-09</t>
  </si>
  <si>
    <t xml:space="preserve">1856576</t>
  </si>
  <si>
    <t xml:space="preserve">5633829</t>
  </si>
  <si>
    <t xml:space="preserve">2026-04-19</t>
  </si>
  <si>
    <t xml:space="preserve">4725902</t>
  </si>
  <si>
    <t xml:space="preserve">2023-12-15</t>
  </si>
  <si>
    <t xml:space="preserve">5685083</t>
  </si>
  <si>
    <t xml:space="preserve">5778131</t>
  </si>
  <si>
    <t xml:space="preserve">5554616</t>
  </si>
  <si>
    <t xml:space="preserve">2026-02-02</t>
  </si>
  <si>
    <t xml:space="preserve">5850163</t>
  </si>
  <si>
    <t xml:space="preserve">4551187</t>
  </si>
  <si>
    <t xml:space="preserve">5555055</t>
  </si>
  <si>
    <t xml:space="preserve">1873970</t>
  </si>
  <si>
    <t xml:space="preserve">2014-10-09</t>
  </si>
  <si>
    <t xml:space="preserve">4865093</t>
  </si>
  <si>
    <t xml:space="preserve">2024-04-22</t>
  </si>
  <si>
    <t xml:space="preserve">1868276</t>
  </si>
  <si>
    <t xml:space="preserve">2014-10-13</t>
  </si>
  <si>
    <t xml:space="preserve">5778130</t>
  </si>
  <si>
    <t xml:space="preserve">5704060</t>
  </si>
  <si>
    <t xml:space="preserve">4530522</t>
  </si>
  <si>
    <t xml:space="preserve">4853068</t>
  </si>
  <si>
    <t xml:space="preserve">2024-04-01</t>
  </si>
  <si>
    <t xml:space="preserve">5554984</t>
  </si>
  <si>
    <t xml:space="preserve">2026-02-10</t>
  </si>
  <si>
    <t xml:space="preserve">1896834</t>
  </si>
  <si>
    <t xml:space="preserve">2014-10-23</t>
  </si>
  <si>
    <t xml:space="preserve">2652081</t>
  </si>
  <si>
    <t xml:space="preserve">2784661</t>
  </si>
  <si>
    <t xml:space="preserve">2853284</t>
  </si>
  <si>
    <t xml:space="preserve">2018-05-22</t>
  </si>
  <si>
    <t xml:space="preserve">3021279</t>
  </si>
  <si>
    <t xml:space="preserve">2018-10-11</t>
  </si>
  <si>
    <t xml:space="preserve">4778888</t>
  </si>
  <si>
    <t xml:space="preserve">2024-01-22</t>
  </si>
  <si>
    <t xml:space="preserve">1909054</t>
  </si>
  <si>
    <t xml:space="preserve">2014-10-29</t>
  </si>
  <si>
    <t xml:space="preserve">4778899</t>
  </si>
  <si>
    <t xml:space="preserve">2024-01-29</t>
  </si>
  <si>
    <t xml:space="preserve">1937421</t>
  </si>
  <si>
    <t xml:space="preserve">2014-12-04</t>
  </si>
  <si>
    <t xml:space="preserve">2113479</t>
  </si>
  <si>
    <t xml:space="preserve">2015-12-07</t>
  </si>
  <si>
    <t xml:space="preserve">5717564</t>
  </si>
  <si>
    <t xml:space="preserve">2026-06-23</t>
  </si>
  <si>
    <t xml:space="preserve">2050275</t>
  </si>
  <si>
    <t xml:space="preserve">2015-07-14</t>
  </si>
  <si>
    <t xml:space="preserve">2439372</t>
  </si>
  <si>
    <t xml:space="preserve">2016-10-30</t>
  </si>
  <si>
    <t xml:space="preserve">2469224</t>
  </si>
  <si>
    <t xml:space="preserve">2016-11-30</t>
  </si>
  <si>
    <t xml:space="preserve">2478470</t>
  </si>
  <si>
    <t xml:space="preserve">2016-12-31</t>
  </si>
  <si>
    <t xml:space="preserve">2606110</t>
  </si>
  <si>
    <t xml:space="preserve">2017-08-24</t>
  </si>
  <si>
    <t xml:space="preserve">2623651</t>
  </si>
  <si>
    <t xml:space="preserve">2017-09-24</t>
  </si>
  <si>
    <t xml:space="preserve">2647182</t>
  </si>
  <si>
    <t xml:space="preserve">2017-10-24</t>
  </si>
  <si>
    <t xml:space="preserve">2674053</t>
  </si>
  <si>
    <t xml:space="preserve">2017-11-24</t>
  </si>
  <si>
    <t xml:space="preserve">2703283</t>
  </si>
  <si>
    <t xml:space="preserve">2017-12-24</t>
  </si>
  <si>
    <t xml:space="preserve">5850025</t>
  </si>
  <si>
    <t xml:space="preserve">5830477</t>
  </si>
  <si>
    <t xml:space="preserve">5844270</t>
  </si>
  <si>
    <t xml:space="preserve">5828875</t>
  </si>
  <si>
    <t xml:space="preserve">2101867</t>
  </si>
  <si>
    <t xml:space="preserve">2015-10-28</t>
  </si>
  <si>
    <t xml:space="preserve">2265543</t>
  </si>
  <si>
    <t xml:space="preserve">2016-06-03</t>
  </si>
  <si>
    <t xml:space="preserve">Courtney Bangs PAC</t>
  </si>
  <si>
    <t xml:space="preserve">20246</t>
  </si>
  <si>
    <t xml:space="preserve">3426791</t>
  </si>
  <si>
    <t xml:space="preserve">2020-04-09</t>
  </si>
  <si>
    <t xml:space="preserve">4551199</t>
  </si>
  <si>
    <t xml:space="preserve">2023-04-07</t>
  </si>
  <si>
    <t xml:space="preserve">4853149</t>
  </si>
  <si>
    <t xml:space="preserve">4909928</t>
  </si>
  <si>
    <t xml:space="preserve">2024-05-07</t>
  </si>
  <si>
    <t xml:space="preserve">2228615</t>
  </si>
  <si>
    <t xml:space="preserve">5678169</t>
  </si>
  <si>
    <t xml:space="preserve">2026-05-05</t>
  </si>
  <si>
    <t xml:space="preserve">2235689</t>
  </si>
  <si>
    <t xml:space="preserve">2016-04-25</t>
  </si>
  <si>
    <t xml:space="preserve">2400857</t>
  </si>
  <si>
    <t xml:space="preserve">2636276</t>
  </si>
  <si>
    <t xml:space="preserve">2017-10-12</t>
  </si>
  <si>
    <t xml:space="preserve">2712241</t>
  </si>
  <si>
    <t xml:space="preserve">2017-12-30</t>
  </si>
  <si>
    <t xml:space="preserve">3004434</t>
  </si>
  <si>
    <t xml:space="preserve">2018-09-29</t>
  </si>
  <si>
    <t xml:space="preserve">5733633</t>
  </si>
  <si>
    <t xml:space="preserve">2026-07-21</t>
  </si>
  <si>
    <t xml:space="preserve">5021873</t>
  </si>
  <si>
    <t xml:space="preserve">2024-08-25</t>
  </si>
  <si>
    <t xml:space="preserve">5830533</t>
  </si>
  <si>
    <t xml:space="preserve">2026-09-24</t>
  </si>
  <si>
    <t xml:space="preserve">5828801</t>
  </si>
  <si>
    <t xml:space="preserve">2026-09-18</t>
  </si>
  <si>
    <t xml:space="preserve">4926096</t>
  </si>
  <si>
    <t xml:space="preserve">2024-04-29</t>
  </si>
  <si>
    <t xml:space="preserve">4943195</t>
  </si>
  <si>
    <t xml:space="preserve">2024-06-19</t>
  </si>
  <si>
    <t xml:space="preserve">5820948</t>
  </si>
  <si>
    <t xml:space="preserve">4572194</t>
  </si>
  <si>
    <t xml:space="preserve">2023-05-06</t>
  </si>
  <si>
    <t xml:space="preserve">5555057</t>
  </si>
  <si>
    <t xml:space="preserve">2235669</t>
  </si>
  <si>
    <t xml:space="preserve">2016-04-29</t>
  </si>
  <si>
    <t xml:space="preserve">5123848</t>
  </si>
  <si>
    <t xml:space="preserve">2024-10-24</t>
  </si>
  <si>
    <t xml:space="preserve">5022052</t>
  </si>
  <si>
    <t xml:space="preserve">5760170</t>
  </si>
  <si>
    <t xml:space="preserve">2026-08-01</t>
  </si>
  <si>
    <t xml:space="preserve">2300689</t>
  </si>
  <si>
    <t xml:space="preserve">2016-07-25</t>
  </si>
  <si>
    <t xml:space="preserve">2816873</t>
  </si>
  <si>
    <t xml:space="preserve">2018-04-20</t>
  </si>
  <si>
    <t xml:space="preserve">2923654</t>
  </si>
  <si>
    <t xml:space="preserve">2018-08-10</t>
  </si>
  <si>
    <t xml:space="preserve">2958374</t>
  </si>
  <si>
    <t xml:space="preserve">2018-09-11</t>
  </si>
  <si>
    <t xml:space="preserve">4712048</t>
  </si>
  <si>
    <t xml:space="preserve">2023-12-06</t>
  </si>
  <si>
    <t xml:space="preserve">5685641</t>
  </si>
  <si>
    <t xml:space="preserve">2026-06-09</t>
  </si>
  <si>
    <t xml:space="preserve">2311460</t>
  </si>
  <si>
    <t xml:space="preserve">2016-08-07</t>
  </si>
  <si>
    <t xml:space="preserve">4928139</t>
  </si>
  <si>
    <t xml:space="preserve">4993338</t>
  </si>
  <si>
    <t xml:space="preserve">5778116</t>
  </si>
  <si>
    <t xml:space="preserve">2026-08-18</t>
  </si>
  <si>
    <t xml:space="preserve">5813942</t>
  </si>
  <si>
    <t xml:space="preserve">2372574</t>
  </si>
  <si>
    <t xml:space="preserve">2016-08-30</t>
  </si>
  <si>
    <t xml:space="preserve">2385463</t>
  </si>
  <si>
    <t xml:space="preserve">2016-09-30</t>
  </si>
  <si>
    <t xml:space="preserve">2439363</t>
  </si>
  <si>
    <t xml:space="preserve">2469214</t>
  </si>
  <si>
    <t xml:space="preserve">2478440</t>
  </si>
  <si>
    <t xml:space="preserve">2016-12-30</t>
  </si>
  <si>
    <t xml:space="preserve">4907827</t>
  </si>
  <si>
    <t xml:space="preserve">2024-04-13</t>
  </si>
  <si>
    <t xml:space="preserve">5473740</t>
  </si>
  <si>
    <t xml:space="preserve">2025-12-09</t>
  </si>
  <si>
    <t xml:space="preserve">2335982</t>
  </si>
  <si>
    <t xml:space="preserve">2016-09-02</t>
  </si>
  <si>
    <t xml:space="preserve">4536311</t>
  </si>
  <si>
    <t xml:space="preserve">2023-03-17</t>
  </si>
  <si>
    <t xml:space="preserve">4591203</t>
  </si>
  <si>
    <t xml:space="preserve">2023-05-18</t>
  </si>
  <si>
    <t xml:space="preserve">4909921</t>
  </si>
  <si>
    <t xml:space="preserve">2024-05-12</t>
  </si>
  <si>
    <t xml:space="preserve">5567236</t>
  </si>
  <si>
    <t xml:space="preserve">2026-03-09</t>
  </si>
  <si>
    <t xml:space="preserve">2377910</t>
  </si>
  <si>
    <t xml:space="preserve">2888479</t>
  </si>
  <si>
    <t xml:space="preserve">2018-07-06</t>
  </si>
  <si>
    <t xml:space="preserve">3043318</t>
  </si>
  <si>
    <t xml:space="preserve">2018-10-18</t>
  </si>
  <si>
    <t xml:space="preserve">3065142</t>
  </si>
  <si>
    <t xml:space="preserve">2018-10-29</t>
  </si>
  <si>
    <t xml:space="preserve">4926099</t>
  </si>
  <si>
    <t xml:space="preserve">2024-05-04</t>
  </si>
  <si>
    <t xml:space="preserve">2347630</t>
  </si>
  <si>
    <t xml:space="preserve">2016-09-14</t>
  </si>
  <si>
    <t xml:space="preserve">2629422</t>
  </si>
  <si>
    <t xml:space="preserve">2017-10-01</t>
  </si>
  <si>
    <t xml:space="preserve">5873463</t>
  </si>
  <si>
    <t xml:space="preserve">5845072</t>
  </si>
  <si>
    <t xml:space="preserve">5852820</t>
  </si>
  <si>
    <t xml:space="preserve">2428778</t>
  </si>
  <si>
    <t xml:space="preserve">2598132</t>
  </si>
  <si>
    <t xml:space="preserve">2017-08-16</t>
  </si>
  <si>
    <t xml:space="preserve">2897641</t>
  </si>
  <si>
    <t xml:space="preserve">2018-07-18</t>
  </si>
  <si>
    <t xml:space="preserve">3061372</t>
  </si>
  <si>
    <t xml:space="preserve">2018-10-26</t>
  </si>
  <si>
    <t xml:space="preserve">4921371</t>
  </si>
  <si>
    <t xml:space="preserve">2024-05-17</t>
  </si>
  <si>
    <t xml:space="preserve">2446180</t>
  </si>
  <si>
    <t xml:space="preserve">2016-11-07</t>
  </si>
  <si>
    <t xml:space="preserve">2441264</t>
  </si>
  <si>
    <t xml:space="preserve">4853096</t>
  </si>
  <si>
    <t xml:space="preserve">2024-03-29</t>
  </si>
  <si>
    <t xml:space="preserve">2463477</t>
  </si>
  <si>
    <t xml:space="preserve">2016-11-19</t>
  </si>
  <si>
    <t xml:space="preserve">2475689</t>
  </si>
  <si>
    <t xml:space="preserve">2016-12-11</t>
  </si>
  <si>
    <t xml:space="preserve">Friends of Anna Scharf</t>
  </si>
  <si>
    <t xml:space="preserve">21575</t>
  </si>
  <si>
    <t xml:space="preserve">5146068</t>
  </si>
  <si>
    <t xml:space="preserve">2024-11-15</t>
  </si>
  <si>
    <t xml:space="preserve">5844241</t>
  </si>
  <si>
    <t xml:space="preserve">5813995</t>
  </si>
  <si>
    <t xml:space="preserve">5567230</t>
  </si>
  <si>
    <t xml:space="preserve">2026-03-07</t>
  </si>
  <si>
    <t xml:space="preserve">2598126</t>
  </si>
  <si>
    <t xml:space="preserve">2631877</t>
  </si>
  <si>
    <t xml:space="preserve">2017-10-04</t>
  </si>
  <si>
    <t xml:space="preserve">2732002</t>
  </si>
  <si>
    <t xml:space="preserve">2018-01-22</t>
  </si>
  <si>
    <t xml:space="preserve">2965588</t>
  </si>
  <si>
    <t xml:space="preserve">2018-09-06</t>
  </si>
  <si>
    <t xml:space="preserve">5868475</t>
  </si>
  <si>
    <t xml:space="preserve">2607747</t>
  </si>
  <si>
    <t xml:space="preserve">2017-09-03</t>
  </si>
  <si>
    <t xml:space="preserve">2631507</t>
  </si>
  <si>
    <t xml:space="preserve">2017-10-03</t>
  </si>
  <si>
    <t xml:space="preserve">5873390</t>
  </si>
  <si>
    <t xml:space="preserve">2622423</t>
  </si>
  <si>
    <t xml:space="preserve">2948048</t>
  </si>
  <si>
    <t xml:space="preserve">5780403</t>
  </si>
  <si>
    <t xml:space="preserve">2626751</t>
  </si>
  <si>
    <t xml:space="preserve">2017-09-26</t>
  </si>
  <si>
    <t xml:space="preserve">4772833</t>
  </si>
  <si>
    <t xml:space="preserve">2024-01-26</t>
  </si>
  <si>
    <t xml:space="preserve">5793318</t>
  </si>
  <si>
    <t xml:space="preserve">5005001</t>
  </si>
  <si>
    <t xml:space="preserve">2024-08-02</t>
  </si>
  <si>
    <t xml:space="preserve">5375098</t>
  </si>
  <si>
    <t xml:space="preserve">2025-08-21</t>
  </si>
  <si>
    <t xml:space="preserve">4993430</t>
  </si>
  <si>
    <t xml:space="preserve">2024-08-11</t>
  </si>
  <si>
    <t xml:space="preserve">4993300</t>
  </si>
  <si>
    <t xml:space="preserve">2024-08-15</t>
  </si>
  <si>
    <t xml:space="preserve">4530510</t>
  </si>
  <si>
    <t xml:space="preserve">4853064</t>
  </si>
  <si>
    <t xml:space="preserve">5555005</t>
  </si>
  <si>
    <t xml:space="preserve">2026-02-13</t>
  </si>
  <si>
    <t xml:space="preserve">2670230</t>
  </si>
  <si>
    <t xml:space="preserve">2017-10-25</t>
  </si>
  <si>
    <t xml:space="preserve">2804186</t>
  </si>
  <si>
    <t xml:space="preserve">2880177</t>
  </si>
  <si>
    <t xml:space="preserve">2018-06-28</t>
  </si>
  <si>
    <t xml:space="preserve">3053028</t>
  </si>
  <si>
    <t xml:space="preserve">4572213</t>
  </si>
  <si>
    <t xml:space="preserve">2652082</t>
  </si>
  <si>
    <t xml:space="preserve">3043256</t>
  </si>
  <si>
    <t xml:space="preserve">4554401</t>
  </si>
  <si>
    <t xml:space="preserve">2023-04-11</t>
  </si>
  <si>
    <t xml:space="preserve">2655262</t>
  </si>
  <si>
    <t xml:space="preserve">2017-10-31</t>
  </si>
  <si>
    <t xml:space="preserve">2958400</t>
  </si>
  <si>
    <t xml:space="preserve">5812175</t>
  </si>
  <si>
    <t xml:space="preserve">2026-08-16</t>
  </si>
  <si>
    <t xml:space="preserve">2662891</t>
  </si>
  <si>
    <t xml:space="preserve">2873624</t>
  </si>
  <si>
    <t xml:space="preserve">2018-06-23</t>
  </si>
  <si>
    <t xml:space="preserve">4572224</t>
  </si>
  <si>
    <t xml:space="preserve">2715613</t>
  </si>
  <si>
    <t xml:space="preserve">3040502</t>
  </si>
  <si>
    <t xml:space="preserve">3637386</t>
  </si>
  <si>
    <t xml:space="preserve">2020-10-16</t>
  </si>
  <si>
    <t xml:space="preserve">5760893</t>
  </si>
  <si>
    <t xml:space="preserve">4530521</t>
  </si>
  <si>
    <t xml:space="preserve">2777491</t>
  </si>
  <si>
    <t xml:space="preserve">2018-03-15</t>
  </si>
  <si>
    <t xml:space="preserve">5704169</t>
  </si>
  <si>
    <t xml:space="preserve">2787825</t>
  </si>
  <si>
    <t xml:space="preserve">2018-03-28</t>
  </si>
  <si>
    <t xml:space="preserve">2825696</t>
  </si>
  <si>
    <t xml:space="preserve">2018-04-26</t>
  </si>
  <si>
    <t xml:space="preserve">2832027</t>
  </si>
  <si>
    <t xml:space="preserve">2018-05-03</t>
  </si>
  <si>
    <t xml:space="preserve">2836617</t>
  </si>
  <si>
    <t xml:space="preserve">2018-05-08</t>
  </si>
  <si>
    <t xml:space="preserve">2843858</t>
  </si>
  <si>
    <t xml:space="preserve">2018-05-11</t>
  </si>
  <si>
    <t xml:space="preserve">2888765</t>
  </si>
  <si>
    <t xml:space="preserve">2888766</t>
  </si>
  <si>
    <t xml:space="preserve">2897524</t>
  </si>
  <si>
    <t xml:space="preserve">2904500</t>
  </si>
  <si>
    <t xml:space="preserve">2018-07-28</t>
  </si>
  <si>
    <t xml:space="preserve">2997866</t>
  </si>
  <si>
    <t xml:space="preserve">2018-09-26</t>
  </si>
  <si>
    <t xml:space="preserve">4813762</t>
  </si>
  <si>
    <t xml:space="preserve">2024-02-23</t>
  </si>
  <si>
    <t xml:space="preserve">2804184</t>
  </si>
  <si>
    <t xml:space="preserve">5778159</t>
  </si>
  <si>
    <t xml:space="preserve">4530518</t>
  </si>
  <si>
    <t xml:space="preserve">5555100</t>
  </si>
  <si>
    <t xml:space="preserve">2026-02-24</t>
  </si>
  <si>
    <t xml:space="preserve">2804189</t>
  </si>
  <si>
    <t xml:space="preserve">5666459</t>
  </si>
  <si>
    <t xml:space="preserve">2026-05-15</t>
  </si>
  <si>
    <t xml:space="preserve">5704561</t>
  </si>
  <si>
    <t xml:space="preserve">2026-06-03</t>
  </si>
  <si>
    <t xml:space="preserve">5704596</t>
  </si>
  <si>
    <t xml:space="preserve">5459859</t>
  </si>
  <si>
    <t xml:space="preserve">2025-11-14</t>
  </si>
  <si>
    <t xml:space="preserve">2832855</t>
  </si>
  <si>
    <t xml:space="preserve">2018-05-05</t>
  </si>
  <si>
    <t xml:space="preserve">2895015</t>
  </si>
  <si>
    <t xml:space="preserve">2018-07-20</t>
  </si>
  <si>
    <t xml:space="preserve">2924330</t>
  </si>
  <si>
    <t xml:space="preserve">2018-08-14</t>
  </si>
  <si>
    <t xml:space="preserve">3018676</t>
  </si>
  <si>
    <t xml:space="preserve">2018-10-05</t>
  </si>
  <si>
    <t xml:space="preserve">3073436</t>
  </si>
  <si>
    <t xml:space="preserve">2018-11-01</t>
  </si>
  <si>
    <t xml:space="preserve">4268959</t>
  </si>
  <si>
    <t xml:space="preserve">2022-09-06</t>
  </si>
  <si>
    <t xml:space="preserve">4389026</t>
  </si>
  <si>
    <t xml:space="preserve">2022-10-25</t>
  </si>
  <si>
    <t xml:space="preserve">4741334</t>
  </si>
  <si>
    <t xml:space="preserve">2024-01-08</t>
  </si>
  <si>
    <t xml:space="preserve">5046509</t>
  </si>
  <si>
    <t xml:space="preserve">2024-09-19</t>
  </si>
  <si>
    <t xml:space="preserve">5123745</t>
  </si>
  <si>
    <t xml:space="preserve">2024-10-23</t>
  </si>
  <si>
    <t xml:space="preserve">5123947</t>
  </si>
  <si>
    <t xml:space="preserve">2024-10-28</t>
  </si>
  <si>
    <t xml:space="preserve">5134203</t>
  </si>
  <si>
    <t xml:space="preserve">2024-10-31</t>
  </si>
  <si>
    <t xml:space="preserve">5134312</t>
  </si>
  <si>
    <t xml:space="preserve">2024-11-01</t>
  </si>
  <si>
    <t xml:space="preserve">5197923</t>
  </si>
  <si>
    <t xml:space="preserve">2025-01-06</t>
  </si>
  <si>
    <t xml:space="preserve">5516634</t>
  </si>
  <si>
    <t xml:space="preserve">2026-01-02</t>
  </si>
  <si>
    <t xml:space="preserve">Multnomah County Republican Central Committee</t>
  </si>
  <si>
    <t xml:space="preserve">21594</t>
  </si>
  <si>
    <t xml:space="preserve">5548325</t>
  </si>
  <si>
    <t xml:space="preserve">2026-02-20</t>
  </si>
  <si>
    <t xml:space="preserve">5813334</t>
  </si>
  <si>
    <t xml:space="preserve">5866669</t>
  </si>
  <si>
    <t xml:space="preserve">5397308</t>
  </si>
  <si>
    <t xml:space="preserve">2025-09-26</t>
  </si>
  <si>
    <t xml:space="preserve">2843482</t>
  </si>
  <si>
    <t xml:space="preserve">2018-05-10</t>
  </si>
  <si>
    <t xml:space="preserve">3050136</t>
  </si>
  <si>
    <t xml:space="preserve">5586577</t>
  </si>
  <si>
    <t xml:space="preserve">2026-02-19</t>
  </si>
  <si>
    <t xml:space="preserve">5562822</t>
  </si>
  <si>
    <t xml:space="preserve">4926098</t>
  </si>
  <si>
    <t xml:space="preserve">2024-05-23</t>
  </si>
  <si>
    <t xml:space="preserve">4967778</t>
  </si>
  <si>
    <t xml:space="preserve">2024-06-28</t>
  </si>
  <si>
    <t xml:space="preserve">4993243</t>
  </si>
  <si>
    <t xml:space="preserve">2024-07-28</t>
  </si>
  <si>
    <t xml:space="preserve">5032635</t>
  </si>
  <si>
    <t xml:space="preserve">2024-08-28</t>
  </si>
  <si>
    <t xml:space="preserve">5459908</t>
  </si>
  <si>
    <t xml:space="preserve">2025-11-18</t>
  </si>
  <si>
    <t xml:space="preserve">2870169</t>
  </si>
  <si>
    <t xml:space="preserve">2018-06-17</t>
  </si>
  <si>
    <t xml:space="preserve">2904437</t>
  </si>
  <si>
    <t xml:space="preserve">2937608</t>
  </si>
  <si>
    <t xml:space="preserve">2018-08-29</t>
  </si>
  <si>
    <t xml:space="preserve">2964633</t>
  </si>
  <si>
    <t xml:space="preserve">2018-09-14</t>
  </si>
  <si>
    <t xml:space="preserve">5829381</t>
  </si>
  <si>
    <t xml:space="preserve">5780412</t>
  </si>
  <si>
    <t xml:space="preserve">4551192</t>
  </si>
  <si>
    <t xml:space="preserve">4867891</t>
  </si>
  <si>
    <t xml:space="preserve">2904945</t>
  </si>
  <si>
    <t xml:space="preserve">2018-07-23</t>
  </si>
  <si>
    <t xml:space="preserve">5679863</t>
  </si>
  <si>
    <t xml:space="preserve">5704592</t>
  </si>
  <si>
    <t xml:space="preserve">2026-06-10</t>
  </si>
  <si>
    <t xml:space="preserve">5747532</t>
  </si>
  <si>
    <t xml:space="preserve">2026-07-02</t>
  </si>
  <si>
    <t xml:space="preserve">5778065</t>
  </si>
  <si>
    <t xml:space="preserve">5813878</t>
  </si>
  <si>
    <t xml:space="preserve">5813946</t>
  </si>
  <si>
    <t xml:space="preserve">5858311</t>
  </si>
  <si>
    <t xml:space="preserve">2026-10-02</t>
  </si>
  <si>
    <t xml:space="preserve">4967797</t>
  </si>
  <si>
    <t xml:space="preserve">2024-07-12</t>
  </si>
  <si>
    <t xml:space="preserve">5686478</t>
  </si>
  <si>
    <t xml:space="preserve">5704091</t>
  </si>
  <si>
    <t xml:space="preserve">2026-06-26</t>
  </si>
  <si>
    <t xml:space="preserve">5747078</t>
  </si>
  <si>
    <t xml:space="preserve">5786029</t>
  </si>
  <si>
    <t xml:space="preserve">5820960</t>
  </si>
  <si>
    <t xml:space="preserve">5820959</t>
  </si>
  <si>
    <t xml:space="preserve">5865526</t>
  </si>
  <si>
    <t xml:space="preserve">2906820</t>
  </si>
  <si>
    <t xml:space="preserve">2018-07-31</t>
  </si>
  <si>
    <t xml:space="preserve">3003976</t>
  </si>
  <si>
    <t xml:space="preserve">5844288</t>
  </si>
  <si>
    <t xml:space="preserve">5778150</t>
  </si>
  <si>
    <t xml:space="preserve">2923951</t>
  </si>
  <si>
    <t xml:space="preserve">2018-08-13</t>
  </si>
  <si>
    <t xml:space="preserve">2987847</t>
  </si>
  <si>
    <t xml:space="preserve">2018-09-25</t>
  </si>
  <si>
    <t xml:space="preserve">5850084</t>
  </si>
  <si>
    <t xml:space="preserve">2026-09-27</t>
  </si>
  <si>
    <t xml:space="preserve">5844264</t>
  </si>
  <si>
    <t xml:space="preserve">5828869</t>
  </si>
  <si>
    <t xml:space="preserve">4557176</t>
  </si>
  <si>
    <t xml:space="preserve">2023-04-16</t>
  </si>
  <si>
    <t xml:space="preserve">5578348</t>
  </si>
  <si>
    <t xml:space="preserve">5704183</t>
  </si>
  <si>
    <t xml:space="preserve">2026-06-22</t>
  </si>
  <si>
    <t xml:space="preserve">2930610</t>
  </si>
  <si>
    <t xml:space="preserve">2018-08-23</t>
  </si>
  <si>
    <t xml:space="preserve">5098690</t>
  </si>
  <si>
    <t xml:space="preserve">2024-10-14</t>
  </si>
  <si>
    <t xml:space="preserve">5051375</t>
  </si>
  <si>
    <t xml:space="preserve">2024-09-09</t>
  </si>
  <si>
    <t xml:space="preserve">5098332</t>
  </si>
  <si>
    <t xml:space="preserve">5584304</t>
  </si>
  <si>
    <t xml:space="preserve">2026-03-20</t>
  </si>
  <si>
    <t xml:space="preserve">2958365</t>
  </si>
  <si>
    <t xml:space="preserve">4309117</t>
  </si>
  <si>
    <t xml:space="preserve">2022-09-23</t>
  </si>
  <si>
    <t xml:space="preserve">4877571</t>
  </si>
  <si>
    <t xml:space="preserve">5704173</t>
  </si>
  <si>
    <t xml:space="preserve">2958381</t>
  </si>
  <si>
    <t xml:space="preserve">2961054</t>
  </si>
  <si>
    <t xml:space="preserve">2018-09-12</t>
  </si>
  <si>
    <t xml:space="preserve">2997848</t>
  </si>
  <si>
    <t xml:space="preserve">3011700</t>
  </si>
  <si>
    <t xml:space="preserve">3021339</t>
  </si>
  <si>
    <t xml:space="preserve">2018-10-10</t>
  </si>
  <si>
    <t xml:space="preserve">3034413</t>
  </si>
  <si>
    <t xml:space="preserve">2018-10-13</t>
  </si>
  <si>
    <t xml:space="preserve">3046113</t>
  </si>
  <si>
    <t xml:space="preserve">3059099</t>
  </si>
  <si>
    <t xml:space="preserve">3068749</t>
  </si>
  <si>
    <t xml:space="preserve">3071834</t>
  </si>
  <si>
    <t xml:space="preserve">4948163</t>
  </si>
  <si>
    <t xml:space="preserve">2024-06-18</t>
  </si>
  <si>
    <t xml:space="preserve">5136698</t>
  </si>
  <si>
    <t xml:space="preserve">5197917</t>
  </si>
  <si>
    <t xml:space="preserve">5577062</t>
  </si>
  <si>
    <t xml:space="preserve">2026-03-15</t>
  </si>
  <si>
    <t xml:space="preserve">5700997</t>
  </si>
  <si>
    <t xml:space="preserve">2026-06-25</t>
  </si>
  <si>
    <t xml:space="preserve">5770870</t>
  </si>
  <si>
    <t xml:space="preserve">5567226</t>
  </si>
  <si>
    <t xml:space="preserve">2026-03-06</t>
  </si>
  <si>
    <t xml:space="preserve">2957088</t>
  </si>
  <si>
    <t xml:space="preserve">4966473</t>
  </si>
  <si>
    <t xml:space="preserve">4536327</t>
  </si>
  <si>
    <t xml:space="preserve">2969341</t>
  </si>
  <si>
    <t xml:space="preserve">4725830</t>
  </si>
  <si>
    <t xml:space="preserve">2023-12-19</t>
  </si>
  <si>
    <t xml:space="preserve">4554403</t>
  </si>
  <si>
    <t xml:space="preserve">2023-04-12</t>
  </si>
  <si>
    <t xml:space="preserve">5704147</t>
  </si>
  <si>
    <t xml:space="preserve">2971143</t>
  </si>
  <si>
    <t xml:space="preserve">2018-09-19</t>
  </si>
  <si>
    <t xml:space="preserve">5873378</t>
  </si>
  <si>
    <t xml:space="preserve">5845070</t>
  </si>
  <si>
    <t xml:space="preserve">5868467</t>
  </si>
  <si>
    <t xml:space="preserve">5598564</t>
  </si>
  <si>
    <t xml:space="preserve">2026-03-31</t>
  </si>
  <si>
    <t xml:space="preserve">4536323</t>
  </si>
  <si>
    <t xml:space="preserve">5578340</t>
  </si>
  <si>
    <t xml:space="preserve">2026-03-13</t>
  </si>
  <si>
    <t xml:space="preserve">2977979</t>
  </si>
  <si>
    <t xml:space="preserve">2018-09-23</t>
  </si>
  <si>
    <t xml:space="preserve">5032662</t>
  </si>
  <si>
    <t xml:space="preserve">2024-08-27</t>
  </si>
  <si>
    <t xml:space="preserve">4572228</t>
  </si>
  <si>
    <t xml:space="preserve">3011754</t>
  </si>
  <si>
    <t xml:space="preserve">5627317</t>
  </si>
  <si>
    <t xml:space="preserve">2026-04-09</t>
  </si>
  <si>
    <t xml:space="preserve">3026413</t>
  </si>
  <si>
    <t xml:space="preserve">2018-10-09</t>
  </si>
  <si>
    <t xml:space="preserve">3037360</t>
  </si>
  <si>
    <t xml:space="preserve">4993366</t>
  </si>
  <si>
    <t xml:space="preserve">2024-08-01</t>
  </si>
  <si>
    <t xml:space="preserve">3028353</t>
  </si>
  <si>
    <t xml:space="preserve">3043061</t>
  </si>
  <si>
    <t xml:space="preserve">3058304</t>
  </si>
  <si>
    <t xml:space="preserve">2018-10-24</t>
  </si>
  <si>
    <t xml:space="preserve">3065292</t>
  </si>
  <si>
    <t xml:space="preserve">2018-10-31</t>
  </si>
  <si>
    <t xml:space="preserve">5868498</t>
  </si>
  <si>
    <t xml:space="preserve">4572220</t>
  </si>
  <si>
    <t xml:space="preserve">5555099</t>
  </si>
  <si>
    <t xml:space="preserve">3043250</t>
  </si>
  <si>
    <t xml:space="preserve">5760900</t>
  </si>
  <si>
    <t xml:space="preserve">5022124</t>
  </si>
  <si>
    <t xml:space="preserve">2024-08-21</t>
  </si>
  <si>
    <t xml:space="preserve">5005047</t>
  </si>
  <si>
    <t xml:space="preserve">5005275</t>
  </si>
  <si>
    <t xml:space="preserve">5778125</t>
  </si>
  <si>
    <t xml:space="preserve">5032641</t>
  </si>
  <si>
    <t xml:space="preserve">4536325</t>
  </si>
  <si>
    <t xml:space="preserve">2023-03-26</t>
  </si>
  <si>
    <t xml:space="preserve">5555053</t>
  </si>
  <si>
    <t xml:space="preserve">3053040</t>
  </si>
  <si>
    <t xml:space="preserve">5460001</t>
  </si>
  <si>
    <t xml:space="preserve">5747127</t>
  </si>
  <si>
    <t xml:space="preserve">2026-07-14</t>
  </si>
  <si>
    <t xml:space="preserve">3063469</t>
  </si>
  <si>
    <t xml:space="preserve">2018-10-27</t>
  </si>
  <si>
    <t xml:space="preserve">5761015</t>
  </si>
  <si>
    <t xml:space="preserve">5685085</t>
  </si>
  <si>
    <t xml:space="preserve">5778143</t>
  </si>
  <si>
    <t xml:space="preserve">4572232</t>
  </si>
  <si>
    <t xml:space="preserve">4861356</t>
  </si>
  <si>
    <t xml:space="preserve">2024-04-16</t>
  </si>
  <si>
    <t xml:space="preserve">5647922</t>
  </si>
  <si>
    <t xml:space="preserve">2026-04-20</t>
  </si>
  <si>
    <t xml:space="preserve">3066973</t>
  </si>
  <si>
    <t xml:space="preserve">4808154</t>
  </si>
  <si>
    <t xml:space="preserve">2024-02-27</t>
  </si>
  <si>
    <t xml:space="preserve">3068827</t>
  </si>
  <si>
    <t xml:space="preserve">4317479</t>
  </si>
  <si>
    <t xml:space="preserve">2022-09-28</t>
  </si>
  <si>
    <t xml:space="preserve">5685080</t>
  </si>
  <si>
    <t xml:space="preserve">4572236</t>
  </si>
  <si>
    <t xml:space="preserve">3075371</t>
  </si>
  <si>
    <t xml:space="preserve">2018-11-03</t>
  </si>
  <si>
    <t xml:space="preserve">4358312</t>
  </si>
  <si>
    <t xml:space="preserve">2022-10-17</t>
  </si>
  <si>
    <t xml:space="preserve">5647916</t>
  </si>
  <si>
    <t xml:space="preserve">3519484</t>
  </si>
  <si>
    <t xml:space="preserve">2020-07-25</t>
  </si>
  <si>
    <t xml:space="preserve">5438241</t>
  </si>
  <si>
    <t xml:space="preserve">5851026</t>
  </si>
  <si>
    <t xml:space="preserve">4865073</t>
  </si>
  <si>
    <t xml:space="preserve">2024-04-04</t>
  </si>
  <si>
    <t xml:space="preserve">5047884</t>
  </si>
  <si>
    <t xml:space="preserve">2024-08-30</t>
  </si>
  <si>
    <t xml:space="preserve">5850413</t>
  </si>
  <si>
    <t xml:space="preserve">5852822</t>
  </si>
  <si>
    <t xml:space="preserve">3604571</t>
  </si>
  <si>
    <t xml:space="preserve">2020-10-01</t>
  </si>
  <si>
    <t xml:space="preserve">4111493</t>
  </si>
  <si>
    <t xml:space="preserve">2022-04-14</t>
  </si>
  <si>
    <t xml:space="preserve">5634180</t>
  </si>
  <si>
    <t xml:space="preserve">5868499</t>
  </si>
  <si>
    <t xml:space="preserve">3648909</t>
  </si>
  <si>
    <t xml:space="preserve">2020-10-21</t>
  </si>
  <si>
    <t xml:space="preserve">5771117</t>
  </si>
  <si>
    <t xml:space="preserve">4568208</t>
  </si>
  <si>
    <t xml:space="preserve">3988571</t>
  </si>
  <si>
    <t xml:space="preserve">2022-01-20</t>
  </si>
  <si>
    <t xml:space="preserve">5064945</t>
  </si>
  <si>
    <t xml:space="preserve">2024-09-15</t>
  </si>
  <si>
    <t xml:space="preserve">5747274</t>
  </si>
  <si>
    <t xml:space="preserve">2026-07-01</t>
  </si>
  <si>
    <t xml:space="preserve">4563017</t>
  </si>
  <si>
    <t xml:space="preserve">2023-04-26</t>
  </si>
  <si>
    <t xml:space="preserve">5647956</t>
  </si>
  <si>
    <t xml:space="preserve">2026-04-28</t>
  </si>
  <si>
    <t xml:space="preserve">3990333</t>
  </si>
  <si>
    <t xml:space="preserve">2022-01-26</t>
  </si>
  <si>
    <t xml:space="preserve">3990334</t>
  </si>
  <si>
    <t xml:space="preserve">5627297</t>
  </si>
  <si>
    <t xml:space="preserve">2026-04-06</t>
  </si>
  <si>
    <t xml:space="preserve">4020650</t>
  </si>
  <si>
    <t xml:space="preserve">2022-02-25</t>
  </si>
  <si>
    <t xml:space="preserve">4111500</t>
  </si>
  <si>
    <t xml:space="preserve">2022-03-18</t>
  </si>
  <si>
    <t xml:space="preserve">4111499</t>
  </si>
  <si>
    <t xml:space="preserve">2022-04-15</t>
  </si>
  <si>
    <t xml:space="preserve">4174973</t>
  </si>
  <si>
    <t xml:space="preserve">2022-06-06</t>
  </si>
  <si>
    <t xml:space="preserve">4201000</t>
  </si>
  <si>
    <t xml:space="preserve">2022-07-11</t>
  </si>
  <si>
    <t xml:space="preserve">4326395</t>
  </si>
  <si>
    <t xml:space="preserve">2022-10-04</t>
  </si>
  <si>
    <t xml:space="preserve">5335680</t>
  </si>
  <si>
    <t xml:space="preserve">2025-07-03</t>
  </si>
  <si>
    <t xml:space="preserve">5400944</t>
  </si>
  <si>
    <t xml:space="preserve">2025-10-02</t>
  </si>
  <si>
    <t xml:space="preserve">5500849</t>
  </si>
  <si>
    <t xml:space="preserve">2026-01-08</t>
  </si>
  <si>
    <t xml:space="preserve">5622672</t>
  </si>
  <si>
    <t xml:space="preserve">5753118</t>
  </si>
  <si>
    <t xml:space="preserve">5829352</t>
  </si>
  <si>
    <t xml:space="preserve">5685110</t>
  </si>
  <si>
    <t xml:space="preserve">2026-06-08</t>
  </si>
  <si>
    <t xml:space="preserve">4102163</t>
  </si>
  <si>
    <t xml:space="preserve">2022-03-16</t>
  </si>
  <si>
    <t xml:space="preserve">5704191</t>
  </si>
  <si>
    <t xml:space="preserve">4090915</t>
  </si>
  <si>
    <t xml:space="preserve">2022-04-04</t>
  </si>
  <si>
    <t xml:space="preserve">4912748</t>
  </si>
  <si>
    <t xml:space="preserve">2024-05-13</t>
  </si>
  <si>
    <t xml:space="preserve">5187525</t>
  </si>
  <si>
    <t xml:space="preserve">2025-01-11</t>
  </si>
  <si>
    <t xml:space="preserve">5532125</t>
  </si>
  <si>
    <t xml:space="preserve">2026-02-06</t>
  </si>
  <si>
    <t xml:space="preserve">5662581</t>
  </si>
  <si>
    <t xml:space="preserve">5850412</t>
  </si>
  <si>
    <t xml:space="preserve">5813973</t>
  </si>
  <si>
    <t xml:space="preserve">5747279</t>
  </si>
  <si>
    <t xml:space="preserve">4331006</t>
  </si>
  <si>
    <t xml:space="preserve">2022-10-05</t>
  </si>
  <si>
    <t xml:space="preserve">5528888</t>
  </si>
  <si>
    <t xml:space="preserve">2026-01-28</t>
  </si>
  <si>
    <t xml:space="preserve">5755553</t>
  </si>
  <si>
    <t xml:space="preserve">2026-08-06</t>
  </si>
  <si>
    <t xml:space="preserve">4536320</t>
  </si>
  <si>
    <t xml:space="preserve">2023-03-25</t>
  </si>
  <si>
    <t xml:space="preserve">4371959</t>
  </si>
  <si>
    <t xml:space="preserve">2022-10-12</t>
  </si>
  <si>
    <t xml:space="preserve">4572239</t>
  </si>
  <si>
    <t xml:space="preserve">5555037</t>
  </si>
  <si>
    <t xml:space="preserve">4382481</t>
  </si>
  <si>
    <t xml:space="preserve">4876639</t>
  </si>
  <si>
    <t xml:space="preserve">2024-04-25</t>
  </si>
  <si>
    <t xml:space="preserve">4402717</t>
  </si>
  <si>
    <t xml:space="preserve">2022-11-02</t>
  </si>
  <si>
    <t xml:space="preserve">4733917</t>
  </si>
  <si>
    <t xml:space="preserve">2023-12-21</t>
  </si>
  <si>
    <t xml:space="preserve">4775468</t>
  </si>
  <si>
    <t xml:space="preserve">4808136</t>
  </si>
  <si>
    <t xml:space="preserve">4943182</t>
  </si>
  <si>
    <t xml:space="preserve">4819609</t>
  </si>
  <si>
    <t xml:space="preserve">4981370</t>
  </si>
  <si>
    <t xml:space="preserve">2024-07-29</t>
  </si>
  <si>
    <t xml:space="preserve">5760957</t>
  </si>
  <si>
    <t xml:space="preserve">4839586</t>
  </si>
  <si>
    <t xml:space="preserve">2024-04-10</t>
  </si>
  <si>
    <t xml:space="preserve">5850513</t>
  </si>
  <si>
    <t xml:space="preserve">5704579</t>
  </si>
  <si>
    <t xml:space="preserve">5747140</t>
  </si>
  <si>
    <t xml:space="preserve">2026-07-20</t>
  </si>
  <si>
    <t xml:space="preserve">5852754</t>
  </si>
  <si>
    <t xml:space="preserve">2026-10-01</t>
  </si>
  <si>
    <t xml:space="preserve">17895</t>
  </si>
  <si>
    <t xml:space="preserve">4958938</t>
  </si>
  <si>
    <t xml:space="preserve">2024-07-17</t>
  </si>
  <si>
    <t xml:space="preserve">5567167</t>
  </si>
  <si>
    <t xml:space="preserve">2026-03-02</t>
  </si>
  <si>
    <t xml:space="preserve">4987581</t>
  </si>
  <si>
    <t xml:space="preserve">2024-08-12</t>
  </si>
  <si>
    <t xml:space="preserve">5132595</t>
  </si>
  <si>
    <t xml:space="preserve">2024-11-02</t>
  </si>
  <si>
    <t xml:space="preserve">5686443</t>
  </si>
  <si>
    <t xml:space="preserve">2026-05-30</t>
  </si>
  <si>
    <t xml:space="preserve">5820974</t>
  </si>
  <si>
    <t xml:space="preserve">5006138</t>
  </si>
  <si>
    <t xml:space="preserve">5726700</t>
  </si>
  <si>
    <t xml:space="preserve">2026-07-16</t>
  </si>
  <si>
    <t xml:space="preserve">5760925</t>
  </si>
  <si>
    <t xml:space="preserve">5888824</t>
  </si>
  <si>
    <t xml:space="preserve">2026-10-15</t>
  </si>
  <si>
    <t xml:space="preserve">5889564</t>
  </si>
  <si>
    <t xml:space="preserve">2026-10-09</t>
  </si>
  <si>
    <t xml:space="preserve">5876489</t>
  </si>
  <si>
    <t xml:space="preserve">4530537</t>
  </si>
  <si>
    <t xml:space="preserve">4913051</t>
  </si>
  <si>
    <t xml:space="preserve">5555072</t>
  </si>
  <si>
    <t xml:space="preserve">5031388</t>
  </si>
  <si>
    <t xml:space="preserve">2024-09-11</t>
  </si>
  <si>
    <t xml:space="preserve">5116455</t>
  </si>
  <si>
    <t xml:space="preserve">2024-10-22</t>
  </si>
  <si>
    <t xml:space="preserve">5600244</t>
  </si>
  <si>
    <t xml:space="preserve">2026-04-03</t>
  </si>
  <si>
    <t xml:space="preserve">5780437</t>
  </si>
  <si>
    <t xml:space="preserve">2026-08-27</t>
  </si>
  <si>
    <t xml:space="preserve">5889571</t>
  </si>
  <si>
    <t xml:space="preserve">2026-10-12</t>
  </si>
  <si>
    <t xml:space="preserve">5887697</t>
  </si>
  <si>
    <t xml:space="preserve">5046603</t>
  </si>
  <si>
    <t xml:space="preserve">5116453</t>
  </si>
  <si>
    <t xml:space="preserve">5873386</t>
  </si>
  <si>
    <t xml:space="preserve">5850411</t>
  </si>
  <si>
    <t xml:space="preserve">5555045</t>
  </si>
  <si>
    <t xml:space="preserve">5099537</t>
  </si>
  <si>
    <t xml:space="preserve">2024-10-15</t>
  </si>
  <si>
    <t xml:space="preserve">5452339</t>
  </si>
  <si>
    <t xml:space="preserve">2025-12-03</t>
  </si>
  <si>
    <t xml:space="preserve">5735739</t>
  </si>
  <si>
    <t xml:space="preserve">2026-07-24</t>
  </si>
  <si>
    <t xml:space="preserve">5793914</t>
  </si>
  <si>
    <t xml:space="preserve">5831641</t>
  </si>
  <si>
    <t xml:space="preserve">5573077</t>
  </si>
  <si>
    <t xml:space="preserve">2026-03-10</t>
  </si>
  <si>
    <t xml:space="preserve">5674969</t>
  </si>
  <si>
    <t xml:space="preserve">2026-05-28</t>
  </si>
  <si>
    <t xml:space="preserve">5704042</t>
  </si>
  <si>
    <t xml:space="preserve">5135204</t>
  </si>
  <si>
    <t xml:space="preserve">2024-11-05</t>
  </si>
  <si>
    <t xml:space="preserve">5820950</t>
  </si>
  <si>
    <t xml:space="preserve">2026-09-03</t>
  </si>
  <si>
    <t xml:space="preserve">5820951</t>
  </si>
  <si>
    <t xml:space="preserve">2026-09-14</t>
  </si>
  <si>
    <t xml:space="preserve">5844627</t>
  </si>
  <si>
    <t xml:space="preserve">379</t>
  </si>
  <si>
    <t xml:space="preserve">5421680</t>
  </si>
  <si>
    <t xml:space="preserve">2025-10-29</t>
  </si>
  <si>
    <t xml:space="preserve">4572249</t>
  </si>
  <si>
    <t xml:space="preserve">5647953</t>
  </si>
  <si>
    <t xml:space="preserve">2026-04-26</t>
  </si>
  <si>
    <t xml:space="preserve">5535926</t>
  </si>
  <si>
    <t xml:space="preserve">2026-02-11</t>
  </si>
  <si>
    <t xml:space="preserve">5678189</t>
  </si>
  <si>
    <t xml:space="preserve">2026-05-10</t>
  </si>
  <si>
    <t xml:space="preserve">5537128</t>
  </si>
  <si>
    <t xml:space="preserve">5601852</t>
  </si>
  <si>
    <t xml:space="preserve">2026-04-02</t>
  </si>
  <si>
    <t xml:space="preserve">4530569</t>
  </si>
  <si>
    <t xml:space="preserve">2023-03-08</t>
  </si>
  <si>
    <t xml:space="preserve">4909930</t>
  </si>
  <si>
    <t xml:space="preserve">5578347</t>
  </si>
  <si>
    <t xml:space="preserve">5573403</t>
  </si>
  <si>
    <t xml:space="preserve">5752715</t>
  </si>
  <si>
    <t xml:space="preserve">2026-08-04</t>
  </si>
  <si>
    <t xml:space="preserve">5752134</t>
  </si>
  <si>
    <t xml:space="preserve">5459961</t>
  </si>
  <si>
    <t xml:space="preserve">2025-12-10</t>
  </si>
  <si>
    <t xml:space="preserve">4536303</t>
  </si>
  <si>
    <t xml:space="preserve">2023-03-22</t>
  </si>
  <si>
    <t xml:space="preserve">5594723</t>
  </si>
  <si>
    <t xml:space="preserve">5760909</t>
  </si>
  <si>
    <t xml:space="preserve">5645585</t>
  </si>
  <si>
    <t xml:space="preserve">5873439</t>
  </si>
  <si>
    <t xml:space="preserve">2026-10-07</t>
  </si>
  <si>
    <t xml:space="preserve">5858347</t>
  </si>
  <si>
    <t xml:space="preserve">5857113</t>
  </si>
  <si>
    <t xml:space="preserve">5711476</t>
  </si>
  <si>
    <t xml:space="preserve">2026-07-09</t>
  </si>
  <si>
    <t xml:space="preserve">5674962</t>
  </si>
  <si>
    <t xml:space="preserve">5704093</t>
  </si>
  <si>
    <t xml:space="preserve">2026-06-27</t>
  </si>
  <si>
    <t xml:space="preserve">5747157</t>
  </si>
  <si>
    <t xml:space="preserve">2026-07-27</t>
  </si>
  <si>
    <t xml:space="preserve">5786166</t>
  </si>
  <si>
    <t xml:space="preserve">5844733</t>
  </si>
  <si>
    <t xml:space="preserve">5752033</t>
  </si>
  <si>
    <t xml:space="preserve">2026-08-03</t>
  </si>
  <si>
    <t xml:space="preserve">5814580</t>
  </si>
  <si>
    <t xml:space="preserve">2026-09-17</t>
  </si>
  <si>
    <t xml:space="preserve">5866191</t>
  </si>
  <si>
    <t xml:space="preserve">4745090</t>
  </si>
  <si>
    <t xml:space="preserve">2024-01-13</t>
  </si>
  <si>
    <t xml:space="preserve">5717899</t>
  </si>
  <si>
    <t xml:space="preserve">2026-06-30</t>
  </si>
  <si>
    <t xml:space="preserve">5878457</t>
  </si>
  <si>
    <t xml:space="preserve">5771118</t>
  </si>
  <si>
    <t xml:space="preserve">5685116</t>
  </si>
  <si>
    <t xml:space="preserve">5685642</t>
  </si>
  <si>
    <t xml:space="preserve">5704591</t>
  </si>
  <si>
    <t xml:space="preserve">5778103</t>
  </si>
  <si>
    <t xml:space="preserve">2026-08-15</t>
  </si>
  <si>
    <t xml:space="preserve">5459905</t>
  </si>
  <si>
    <t xml:space="preserve">2025-11-17</t>
  </si>
  <si>
    <t xml:space="preserve">5555120</t>
  </si>
  <si>
    <t xml:space="preserve">2026-02-27</t>
  </si>
  <si>
    <t xml:space="preserve">5780430</t>
  </si>
  <si>
    <t xml:space="preserve">5780431</t>
  </si>
  <si>
    <t xml:space="preserve">5844160</t>
  </si>
  <si>
    <t xml:space="preserve">2026-09-07</t>
  </si>
  <si>
    <t xml:space="preserve">5813886</t>
  </si>
  <si>
    <t xml:space="preserve">5573046</t>
  </si>
  <si>
    <t xml:space="preserve">2026-03-05</t>
  </si>
  <si>
    <t xml:space="preserve">5780447</t>
  </si>
  <si>
    <t xml:space="preserve">5032672</t>
  </si>
  <si>
    <t xml:space="preserve">2024-09-06</t>
  </si>
  <si>
    <t xml:space="preserve">5821026</t>
  </si>
  <si>
    <t xml:space="preserve">5788216</t>
  </si>
  <si>
    <t xml:space="preserve">2026-09-01</t>
  </si>
  <si>
    <t xml:space="preserve">5819478</t>
  </si>
  <si>
    <t xml:space="preserve">5780402</t>
  </si>
  <si>
    <t xml:space="preserve">4530520</t>
  </si>
  <si>
    <t xml:space="preserve">5812344</t>
  </si>
  <si>
    <t xml:space="preserve">5555081</t>
  </si>
  <si>
    <t xml:space="preserve">2026-02-21</t>
  </si>
  <si>
    <t xml:space="preserve">5818021</t>
  </si>
  <si>
    <t xml:space="preserve">5634477</t>
  </si>
  <si>
    <t xml:space="preserve">2026-04-16</t>
  </si>
  <si>
    <t xml:space="preserve">5634478</t>
  </si>
  <si>
    <t xml:space="preserve">5640860</t>
  </si>
  <si>
    <t xml:space="preserve">2026-04-27</t>
  </si>
  <si>
    <t xml:space="preserve">5674960</t>
  </si>
  <si>
    <t xml:space="preserve">5704092</t>
  </si>
  <si>
    <t xml:space="preserve">5747156</t>
  </si>
  <si>
    <t xml:space="preserve">5786107</t>
  </si>
  <si>
    <t xml:space="preserve">2026-08-17</t>
  </si>
  <si>
    <t xml:space="preserve">5786173</t>
  </si>
  <si>
    <t xml:space="preserve">5820890</t>
  </si>
  <si>
    <t xml:space="preserve">5844731</t>
  </si>
  <si>
    <t xml:space="preserve">5848283</t>
  </si>
  <si>
    <t xml:space="preserve">5886615</t>
  </si>
  <si>
    <t xml:space="preserve">2026-10-14</t>
  </si>
  <si>
    <t xml:space="preserve">4574707</t>
  </si>
  <si>
    <t xml:space="preserve">5627302</t>
  </si>
  <si>
    <t xml:space="preserve">5854542</t>
  </si>
  <si>
    <t xml:space="preserve">5868461</t>
  </si>
  <si>
    <t xml:space="preserve">5083355</t>
  </si>
  <si>
    <t xml:space="preserve">5122815</t>
  </si>
  <si>
    <t xml:space="preserve">2024-10-26</t>
  </si>
  <si>
    <t xml:space="preserve">5861924</t>
  </si>
  <si>
    <t xml:space="preserve">5799863</t>
  </si>
  <si>
    <t xml:space="preserve">2026-09-06</t>
  </si>
  <si>
    <t xml:space="preserve">5861860</t>
  </si>
  <si>
    <t xml:space="preserve">5627308</t>
  </si>
  <si>
    <t xml:space="preserve">2026-04-08</t>
  </si>
  <si>
    <t xml:space="preserve">5878886</t>
  </si>
  <si>
    <t xml:space="preserve">Everything we compared donors against, plus committees we considered and left out. Donor columns count pairs; a donor can count under several committees. 'Gifts in export from/to' is the date range our export covers.</t>
  </si>
  <si>
    <t xml:space="preserve">Party as filed</t>
  </si>
  <si>
    <t xml:space="preserve">Gifts in export from</t>
  </si>
  <si>
    <t xml:space="preserve">to</t>
  </si>
  <si>
    <t xml:space="preserve">Torres</t>
  </si>
  <si>
    <t xml:space="preserve">Novick</t>
  </si>
  <si>
    <t xml:space="preserve">Clark</t>
  </si>
  <si>
    <t xml:space="preserve">Zimmerman</t>
  </si>
  <si>
    <t xml:space="preserve">Arnold</t>
  </si>
  <si>
    <t xml:space="preserve">Brim-Edwards</t>
  </si>
  <si>
    <t xml:space="preserve">All six</t>
  </si>
  <si>
    <t xml:space="preserve">Why included or excluded</t>
  </si>
  <si>
    <t xml:space="preserve">Republican</t>
  </si>
  <si>
    <t xml:space="preserve">Knute Buehler</t>
  </si>
  <si>
    <t xml:space="preserve">2011-08-22</t>
  </si>
  <si>
    <t xml:space="preserve">2019-09-10</t>
  </si>
  <si>
    <t xml:space="preserve">Candidate filed as a Republican.</t>
  </si>
  <si>
    <t xml:space="preserve">Christine Drazan</t>
  </si>
  <si>
    <t xml:space="preserve">2018-02-05</t>
  </si>
  <si>
    <t xml:space="preserve">2026-10-16</t>
  </si>
  <si>
    <t xml:space="preserve">Will Lathrop</t>
  </si>
  <si>
    <t xml:space="preserve">2024-01-02</t>
  </si>
  <si>
    <t xml:space="preserve">Bruce Starr</t>
  </si>
  <si>
    <t xml:space="preserve">2006-12-18</t>
  </si>
  <si>
    <t xml:space="preserve">2018-03-31</t>
  </si>
  <si>
    <t xml:space="preserve">Allen H. Alley</t>
  </si>
  <si>
    <t xml:space="preserve">2008-03-06</t>
  </si>
  <si>
    <t xml:space="preserve">2018-02-08</t>
  </si>
  <si>
    <t xml:space="preserve">Dennis M Richardson</t>
  </si>
  <si>
    <t xml:space="preserve">2006-12-01</t>
  </si>
  <si>
    <t xml:space="preserve">2019-02-19</t>
  </si>
  <si>
    <t xml:space="preserve">Chris Dudley</t>
  </si>
  <si>
    <t xml:space="preserve">2009-11-03</t>
  </si>
  <si>
    <t xml:space="preserve">2011-01-03</t>
  </si>
  <si>
    <t xml:space="preserve">2026-01-25</t>
  </si>
  <si>
    <t xml:space="preserve">2026-05-24</t>
  </si>
  <si>
    <t xml:space="preserve">William C Pierce</t>
  </si>
  <si>
    <t xml:space="preserve">2015-04-26</t>
  </si>
  <si>
    <t xml:space="preserve">2018-03-01</t>
  </si>
  <si>
    <t xml:space="preserve">Jeff Helfrich</t>
  </si>
  <si>
    <t xml:space="preserve">2012-10-06</t>
  </si>
  <si>
    <t xml:space="preserve">Brad S Hicks</t>
  </si>
  <si>
    <t xml:space="preserve">2025-10-16</t>
  </si>
  <si>
    <t xml:space="preserve">2024-02-05</t>
  </si>
  <si>
    <t xml:space="preserve">Republican legislative PAC. Our export of this committee starts in 2024, so earlier gifts are not checked.</t>
  </si>
  <si>
    <t xml:space="preserve">Kim Thatcher</t>
  </si>
  <si>
    <t xml:space="preserve">2006-11-27</t>
  </si>
  <si>
    <t xml:space="preserve">2006-11-29</t>
  </si>
  <si>
    <t xml:space="preserve">Republican legislative leadership committee (added Oct 18, 2026).</t>
  </si>
  <si>
    <t xml:space="preserve">Courtney D Bangs</t>
  </si>
  <si>
    <t xml:space="preserve">2019-11-22</t>
  </si>
  <si>
    <t xml:space="preserve">2026-10-11</t>
  </si>
  <si>
    <t xml:space="preserve">Tim Knopp</t>
  </si>
  <si>
    <t xml:space="preserve">2012-03-07</t>
  </si>
  <si>
    <t xml:space="preserve">2025-05-22</t>
  </si>
  <si>
    <t xml:space="preserve">Dennis B Linthicum</t>
  </si>
  <si>
    <t xml:space="preserve">2016-03-10</t>
  </si>
  <si>
    <t xml:space="preserve">2026-10-08</t>
  </si>
  <si>
    <t xml:space="preserve">Anna Scharf</t>
  </si>
  <si>
    <t xml:space="preserve">2021-07-15</t>
  </si>
  <si>
    <t xml:space="preserve">2021-08-04</t>
  </si>
  <si>
    <t xml:space="preserve">Republican party committee (added Oct 18, 2026).</t>
  </si>
  <si>
    <t xml:space="preserve">State Republican Party. Our export of this committee starts in 2024, so earlier gifts are not checked.</t>
  </si>
  <si>
    <t xml:space="preserve">2019-10-27</t>
  </si>
  <si>
    <t xml:space="preserve">2023-10-02</t>
  </si>
  <si>
    <t xml:space="preserve">House Republican caucus PAC (added Oct 18, 2026).</t>
  </si>
  <si>
    <t xml:space="preserve">Boquist Leadership Fund</t>
  </si>
  <si>
    <t xml:space="preserve">4893</t>
  </si>
  <si>
    <t xml:space="preserve">Brian J. Boquist</t>
  </si>
  <si>
    <t xml:space="preserve">2024-11-14</t>
  </si>
  <si>
    <t xml:space="preserve">Boquist was registered Independent 2021-2023; gifts in those years are not counted as Republican.</t>
  </si>
  <si>
    <t xml:space="preserve">Clackamas County Republican Party</t>
  </si>
  <si>
    <t xml:space="preserve">294</t>
  </si>
  <si>
    <t xml:space="preserve">2007-02-01</t>
  </si>
  <si>
    <t xml:space="preserve">Senate Republican Leadership Fund</t>
  </si>
  <si>
    <t xml:space="preserve">20381</t>
  </si>
  <si>
    <t xml:space="preserve">2020-01-27</t>
  </si>
  <si>
    <t xml:space="preserve">2020-05-06</t>
  </si>
  <si>
    <t xml:space="preserve">Senate Republican caucus committee (added Oct 18, 2026). Our export covers Jan–May 2020 only.</t>
  </si>
  <si>
    <t xml:space="preserve">Washington County Republican Central Committee</t>
  </si>
  <si>
    <t xml:space="preserve">349</t>
  </si>
  <si>
    <t xml:space="preserve">21605</t>
  </si>
  <si>
    <t xml:space="preserve">Rene Gonzalez</t>
  </si>
  <si>
    <t xml:space="preserve">2021-08-16</t>
  </si>
  <si>
    <t xml:space="preserve">2024-12-14</t>
  </si>
  <si>
    <t xml:space="preserve">Original conservative-leaning nonpartisan race (team judgment). Also meets the overlap rule: none of the progressive councilors' donors match it.</t>
  </si>
  <si>
    <t xml:space="preserve">21632</t>
  </si>
  <si>
    <t xml:space="preserve">Vadim Mozyrsky</t>
  </si>
  <si>
    <t xml:space="preserve">Nonpartisan</t>
  </si>
  <si>
    <t xml:space="preserve">2021-09-08</t>
  </si>
  <si>
    <t xml:space="preserve">2024-11-28</t>
  </si>
  <si>
    <t xml:space="preserve">20340</t>
  </si>
  <si>
    <t xml:space="preserve">Sam Adams</t>
  </si>
  <si>
    <t xml:space="preserve">2020-01-14</t>
  </si>
  <si>
    <t xml:space="preserve">Passed the overlap test Oct 18, 2026: at least 3% of the slate's donors gave to it and none of the progressive councilors' donors did.</t>
  </si>
  <si>
    <t xml:space="preserve">23012</t>
  </si>
  <si>
    <t xml:space="preserve">Nathan Vasquez</t>
  </si>
  <si>
    <t xml:space="preserve">2023-05-19</t>
  </si>
  <si>
    <t xml:space="preserve">18397</t>
  </si>
  <si>
    <t xml:space="preserve">Pam Treece</t>
  </si>
  <si>
    <t xml:space="preserve">2017-05-01</t>
  </si>
  <si>
    <t xml:space="preserve">22544</t>
  </si>
  <si>
    <t xml:space="preserve">2022 PAC backing Rene Gonzalez. Passed the overlap test Oct 18, 2026: at least 3% of the slate's donors gave to it and none of the progressive councilors' donors did.</t>
  </si>
  <si>
    <t xml:space="preserve">Excluded</t>
  </si>
  <si>
    <t xml:space="preserve">Committee to Elect Loretta Smith</t>
  </si>
  <si>
    <t xml:space="preserve">14377</t>
  </si>
  <si>
    <t xml:space="preserve">Loretta J. Smith</t>
  </si>
  <si>
    <t xml:space="preserve">2010-03-12</t>
  </si>
  <si>
    <t xml:space="preserve">2026-09-25</t>
  </si>
  <si>
    <t xml:space="preserve">Excluded Oct 18, 2026: 3 of Shannon Singleton's donors also gave to her.</t>
  </si>
  <si>
    <t xml:space="preserve">Dan Ryan for Portland</t>
  </si>
  <si>
    <t xml:space="preserve">20344</t>
  </si>
  <si>
    <t xml:space="preserve">Dan Ryan</t>
  </si>
  <si>
    <t xml:space="preserve">2020-01-17</t>
  </si>
  <si>
    <t xml:space="preserve">2025-10-05</t>
  </si>
  <si>
    <t xml:space="preserve">Excluded Oct 18, 2026: failed the overlap test (3 progressive-councilor donors gave to it).</t>
  </si>
  <si>
    <t xml:space="preserve">Friends of Mingus Mapps</t>
  </si>
  <si>
    <t xml:space="preserve">20023</t>
  </si>
  <si>
    <t xml:space="preserve">Mingus Mapps</t>
  </si>
  <si>
    <t xml:space="preserve">2019-08-31</t>
  </si>
  <si>
    <t xml:space="preserve">2025-08-22</t>
  </si>
  <si>
    <t xml:space="preserve">Friends of Sharon Meieran</t>
  </si>
  <si>
    <t xml:space="preserve">15132</t>
  </si>
  <si>
    <t xml:space="preserve">Sharon E Meieran</t>
  </si>
  <si>
    <t xml:space="preserve">2011-07-18</t>
  </si>
  <si>
    <t xml:space="preserve">Friends of Tootie Smith</t>
  </si>
  <si>
    <t xml:space="preserve">20016</t>
  </si>
  <si>
    <t xml:space="preserve">Tootie Smith</t>
  </si>
  <si>
    <t xml:space="preserve">2019-07-02</t>
  </si>
  <si>
    <t xml:space="preserve">2024-12-16</t>
  </si>
  <si>
    <t xml:space="preserve">Excluded Oct 18, 2026: filed nonpartisan, so not Republican under the party-as-filed rule; outside Portland, so not tested as a Portland conservative.</t>
  </si>
  <si>
    <t xml:space="preserve">Go Portland Go</t>
  </si>
  <si>
    <t xml:space="preserve">24993</t>
  </si>
  <si>
    <t xml:space="preserve">Excluded Oct 18, 2026: circular. It backs the slate.</t>
  </si>
  <si>
    <t xml:space="preserve">Jessie Burke's Positivity PAC</t>
  </si>
  <si>
    <t xml:space="preserve">23326</t>
  </si>
  <si>
    <t xml:space="preserve">Jessie Burke</t>
  </si>
  <si>
    <t xml:space="preserve">2023-12-29</t>
  </si>
  <si>
    <t xml:space="preserve">2024-11-09</t>
  </si>
  <si>
    <t xml:space="preserve">Excluded Oct 18, 2026: may have backed slate candidates (circular).</t>
  </si>
  <si>
    <t xml:space="preserve">Keith Wilson for Mayor</t>
  </si>
  <si>
    <t xml:space="preserve">23349</t>
  </si>
  <si>
    <t xml:space="preserve">Keith Wilson</t>
  </si>
  <si>
    <t xml:space="preserve">2024-02-09</t>
  </si>
  <si>
    <t xml:space="preserve">2026-09-10</t>
  </si>
  <si>
    <t xml:space="preserve">Excluded Oct 18, 2026: weakest signal (2.7% of his own donors gave to Republicans), overlaps progressive councilors' donors, and he endorses a slate candidate.</t>
  </si>
</sst>
</file>

<file path=xl/styles.xml><?xml version="1.0" encoding="utf-8"?>
<styleSheet xmlns="http://schemas.openxmlformats.org/spreadsheetml/2006/main">
  <numFmts count="3">
    <numFmt numFmtId="164" formatCode="General"/>
    <numFmt numFmtId="165" formatCode="General"/>
    <numFmt numFmtId="166" formatCode="0%"/>
  </numFmts>
  <fonts count="14">
    <font>
      <sz val="11"/>
      <color theme="1"/>
      <name val="Calibri"/>
      <family val="2"/>
      <charset val="1"/>
    </font>
    <font>
      <sz val="10"/>
      <name val="Arial"/>
      <family val="0"/>
    </font>
    <font>
      <sz val="10"/>
      <name val="Arial"/>
      <family val="0"/>
    </font>
    <font>
      <sz val="10"/>
      <name val="Arial"/>
      <family val="0"/>
    </font>
    <font>
      <b val="true"/>
      <sz val="20"/>
      <color rgb="FF1F2430"/>
      <name val="Calibri"/>
      <family val="0"/>
      <charset val="1"/>
    </font>
    <font>
      <sz val="12"/>
      <color rgb="FF1F2430"/>
      <name val="Calibri"/>
      <family val="0"/>
      <charset val="1"/>
    </font>
    <font>
      <i val="true"/>
      <sz val="11"/>
      <color rgb="FF5B6270"/>
      <name val="Calibri"/>
      <family val="0"/>
      <charset val="1"/>
    </font>
    <font>
      <b val="true"/>
      <sz val="14"/>
      <color rgb="FF1F2430"/>
      <name val="Calibri"/>
      <family val="0"/>
      <charset val="1"/>
    </font>
    <font>
      <u val="single"/>
      <sz val="12"/>
      <color rgb="FF1F5FBF"/>
      <name val="Calibri"/>
      <family val="0"/>
      <charset val="1"/>
    </font>
    <font>
      <b val="true"/>
      <sz val="12"/>
      <color rgb="FF1F2430"/>
      <name val="Calibri"/>
      <family val="0"/>
      <charset val="1"/>
    </font>
    <font>
      <b val="true"/>
      <sz val="16"/>
      <color rgb="FFC8102E"/>
      <name val="Calibri"/>
      <family val="0"/>
      <charset val="1"/>
    </font>
    <font>
      <b val="true"/>
      <sz val="12"/>
      <color rgb="FFC8102E"/>
      <name val="Calibri"/>
      <family val="0"/>
      <charset val="1"/>
    </font>
    <font>
      <b val="true"/>
      <sz val="11"/>
      <color rgb="FFFFFFFF"/>
      <name val="Calibri"/>
      <family val="0"/>
      <charset val="1"/>
    </font>
    <font>
      <sz val="11"/>
      <color rgb="FF1F2430"/>
      <name val="Calibri"/>
      <family val="0"/>
      <charset val="1"/>
    </font>
  </fonts>
  <fills count="4">
    <fill>
      <patternFill patternType="none"/>
    </fill>
    <fill>
      <patternFill patternType="gray125"/>
    </fill>
    <fill>
      <patternFill patternType="solid">
        <fgColor rgb="FFF4F1EA"/>
        <bgColor rgb="FFFFFFFF"/>
      </patternFill>
    </fill>
    <fill>
      <patternFill patternType="solid">
        <fgColor rgb="FF1F2430"/>
        <bgColor rgb="FF3333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10" fillId="0" borderId="0" xfId="0" applyFont="true" applyBorder="false" applyAlignment="true" applyProtection="false">
      <alignment horizontal="right"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6" fontId="13" fillId="0" borderId="0" xfId="0" applyFont="true" applyBorder="false" applyAlignment="true" applyProtection="false">
      <alignment horizontal="general" vertical="top"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243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8102E"/>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1EA"/>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270"/>
      <rgbColor rgb="FF8A8F99"/>
      <rgbColor rgb="FF003366"/>
      <rgbColor rgb="FF339966"/>
      <rgbColor rgb="FF003300"/>
      <rgbColor rgb="FF333300"/>
      <rgbColor rgb="FF993300"/>
      <rgbColor rgb="FF993366"/>
      <rgbColor rgb="FF333399"/>
      <rgbColor rgb="FF1F24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ables/table1.xml><?xml version="1.0" encoding="utf-8"?>
<table xmlns="http://schemas.openxmlformats.org/spreadsheetml/2006/main" id="1" name="CandidatePCMatches" displayName="CandidatePCMatches" ref="A4:H462" headerRowCount="1" totalsRowCount="0" totalsRowShown="0">
  <autoFilter ref="A4:H462"/>
  <tableColumns count="8">
    <tableColumn id="1" name="Candidate"/>
    <tableColumn id="2" name="Household"/>
    <tableColumn id="3" name="Match basis"/>
    <tableColumn id="4" name="Portland conservative campaigns"/>
    <tableColumn id="5" name="Latest gift (year)"/>
    <tableColumn id="6" name="Gifts ($, rounded)"/>
    <tableColumn id="7" name="Candidate gifts (Filer Id:Tran Id)"/>
    <tableColumn id="8" name="Matched gifts (Filer Id:Tran Id)"/>
  </tableColumns>
</table>
</file>

<file path=xl/tables/table2.xml><?xml version="1.0" encoding="utf-8"?>
<table xmlns="http://schemas.openxmlformats.org/spreadsheetml/2006/main" id="2" name="CandidateRMatches" displayName="CandidateRMatches" ref="A4:J267" headerRowCount="1" totalsRowCount="0" totalsRowShown="0">
  <autoFilter ref="A4:J267"/>
  <tableColumns count="10">
    <tableColumn id="1" name="Candidate"/>
    <tableColumn id="2" name="Household"/>
    <tableColumn id="3" name="Verification"/>
    <tableColumn id="4" name="Match basis"/>
    <tableColumn id="5" name="Republican campaigns"/>
    <tableColumn id="6" name="Latest Republican gift (year)"/>
    <tableColumn id="7" name="Republican gifts ($, rounded)"/>
    <tableColumn id="8" name="Why, if not a direct match"/>
    <tableColumn id="9" name="Candidate gifts (Filer Id:Tran Id)"/>
    <tableColumn id="10" name="Republican gifts (Filer Id:Tran Id)"/>
  </tableColumns>
</table>
</file>

<file path=xl/tables/table3.xml><?xml version="1.0" encoding="utf-8"?>
<table xmlns="http://schemas.openxmlformats.org/spreadsheetml/2006/main" id="3" name="Candidates" displayName="Candidates" ref="A4:G14" headerRowCount="1" totalsRowCount="0" totalsRowShown="0">
  <autoFilter ref="A4:G14"/>
  <tableColumns count="7">
    <tableColumn id="1" name="Candidate"/>
    <tableColumn id="2" name="Group"/>
    <tableColumn id="3" name="Individual donors (over $100, since 2023)"/>
    <tableColumn id="4" name="Gave to Republicans"/>
    <tableColumn id="5" name="Portland conservative only"/>
    <tableColumn id="6" name="Total"/>
    <tableColumn id="7" name="Share"/>
  </tableColumns>
</table>
</file>

<file path=xl/tables/table4.xml><?xml version="1.0" encoding="utf-8"?>
<table xmlns="http://schemas.openxmlformats.org/spreadsheetml/2006/main" id="4" name="Committees" displayName="Committees" ref="A4:O43" headerRowCount="1" totalsRowCount="0" totalsRowShown="0">
  <autoFilter ref="A4:O43"/>
  <tableColumns count="15">
    <tableColumn id="1" name="Group"/>
    <tableColumn id="2" name="Committee"/>
    <tableColumn id="3" name="Filer Id"/>
    <tableColumn id="4" name="Candidate"/>
    <tableColumn id="5" name="Party as filed"/>
    <tableColumn id="6" name="Gifts in export from"/>
    <tableColumn id="7" name="to"/>
    <tableColumn id="8" name="Torres"/>
    <tableColumn id="9" name="Novick"/>
    <tableColumn id="10" name="Clark"/>
    <tableColumn id="11" name="Zimmerman"/>
    <tableColumn id="12" name="Arnold"/>
    <tableColumn id="13" name="Brim-Edwards"/>
    <tableColumn id="14" name="All six"/>
    <tableColumn id="15" name="Why included or excluded"/>
  </tableColumns>
</table>
</file>

<file path=xl/tables/table5.xml><?xml version="1.0" encoding="utf-8"?>
<table xmlns="http://schemas.openxmlformats.org/spreadsheetml/2006/main" id="5" name="Gifts" displayName="Gifts" ref="A4:H839" headerRowCount="1" totalsRowCount="0" totalsRowShown="0">
  <autoFilter ref="A4:H839"/>
  <tableColumns count="8">
    <tableColumn id="1" name="Household"/>
    <tableColumn id="2" name="Which gift"/>
    <tableColumn id="3" name="Committee"/>
    <tableColumn id="4" name="Filer Id"/>
    <tableColumn id="5" name="Tran Id"/>
    <tableColumn id="6" name="Date"/>
    <tableColumn id="7" name="Amount ($, rounded)"/>
    <tableColumn id="8" name="How it matched"/>
  </tableColumns>
</table>
</file>

<file path=xl/tables/table6.xml><?xml version="1.0" encoding="utf-8"?>
<table xmlns="http://schemas.openxmlformats.org/spreadsheetml/2006/main" id="6" name="PCOnlyHouseholds" displayName="PCOnlyHouseholds" ref="A4:D249" headerRowCount="1" totalsRowCount="0" totalsRowShown="0">
  <autoFilter ref="A4:D249"/>
  <tableColumns count="4">
    <tableColumn id="1" name="Household"/>
    <tableColumn id="2" name="Slate candidates given to"/>
    <tableColumn id="3" name="No. of slate candidates"/>
    <tableColumn id="4" name="Portland conservative campaigns"/>
  </tableColumns>
</table>
</file>

<file path=xl/tables/table7.xml><?xml version="1.0" encoding="utf-8"?>
<table xmlns="http://schemas.openxmlformats.org/spreadsheetml/2006/main" id="7" name="RepublicanHouseholds" displayName="RepublicanHouseholds" ref="A4:N136" headerRowCount="1" totalsRowCount="0" totalsRowShown="0">
  <autoFilter ref="A4:N136"/>
  <tableColumns count="14">
    <tableColumn id="1" name="Household"/>
    <tableColumn id="2" name="Slate candidates given to"/>
    <tableColumn id="3" name="No. of slate candidates"/>
    <tableColumn id="4" name="Gave to Drazan"/>
    <tableColumn id="5" name="Republican campaigns"/>
    <tableColumn id="6" name="First Republican gift (year)"/>
    <tableColumn id="7" name="Latest Republican gift (year)"/>
    <tableColumn id="8" name="No. of Republican gifts"/>
    <tableColumn id="9" name="Republican gifts, total ($, rounded)"/>
    <tableColumn id="10" name="Match basis"/>
    <tableColumn id="11" name="Verification"/>
    <tableColumn id="12" name="Why, if not a direct match"/>
    <tableColumn id="13" name="Republican gifts (Filer Id:Tran Id)"/>
    <tableColumn id="14" name="Slate gifts (Filer Id:Tran Id)"/>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Whos%20Buying%20PDX%20-%20data%20walkthrough.xlsx" TargetMode="External"/><Relationship Id="rId2" Type="http://schemas.openxmlformats.org/officeDocument/2006/relationships/hyperlink" Target="../Whos%20Buying%20PDX%20-%20data%20walkthrough.xlsx" TargetMode="External"/><Relationship Id="rId3" Type="http://schemas.openxmlformats.org/officeDocument/2006/relationships/hyperlink" Target="../Whos%20Buying%20PDX%20-%20data%20walkthrough.xlsx" TargetMode="External"/><Relationship Id="rId4" Type="http://schemas.openxmlformats.org/officeDocument/2006/relationships/hyperlink" Target="../Whos%20Buying%20PDX%20-%20data%20walkthrough.xlsx" TargetMode="External"/><Relationship Id="rId5" Type="http://schemas.openxmlformats.org/officeDocument/2006/relationships/hyperlink" Target="../Whos%20Buying%20PDX%20-%20data%20walkthrough.xlsx" TargetMode="External"/><Relationship Id="rId6" Type="http://schemas.openxmlformats.org/officeDocument/2006/relationships/hyperlink" Target="../Whos%20Buying%20PDX%20-%20data%20walkthrough.xlsx" TargetMode="External"/><Relationship Id="rId7" Type="http://schemas.openxmlformats.org/officeDocument/2006/relationships/hyperlink" Target="../Whos%20Buying%20PDX%20-%20data%20walkthrough.xlsx" TargetMode="External"/><Relationship Id="rId8" Type="http://schemas.openxmlformats.org/officeDocument/2006/relationships/hyperlink" Target="../Whos%20Buying%20PDX%20-%20data%20walkthrough.xlsx" TargetMode="External"/><Relationship Id="rId9" Type="http://schemas.openxmlformats.org/officeDocument/2006/relationships/hyperlink" Target="../Whos%20Buying%20PDX%20-%20data%20walkthrough.xlsx" TargetMode="External"/><Relationship Id="rId10" Type="http://schemas.openxmlformats.org/officeDocument/2006/relationships/hyperlink" Target="../Whos%20Buying%20PDX%20-%20data%20walkthrough.xlsx" TargetMode="External"/><Relationship Id="rId11" Type="http://schemas.openxmlformats.org/officeDocument/2006/relationships/hyperlink" Target="../Whos%20Buying%20PDX%20-%20data%20walkthrough.xlsx" TargetMode="External"/>
</Relationships>
</file>

<file path=xl/worksheets/_rels/sheet6.xml.rels><?xml version="1.0" encoding="UTF-8"?>
<Relationships xmlns="http://schemas.openxmlformats.org/package/2006/relationships"><Relationship Id="rId1" Type="http://schemas.openxmlformats.org/officeDocument/2006/relationships/hyperlink" Target="../Whos%20Buying%20PDX%20-%20data%20walkthrough.xlsx" TargetMode="External"/><Relationship Id="rId2" Type="http://schemas.openxmlformats.org/officeDocument/2006/relationships/table" Target="../tables/table3.xml"/>
</Relationships>
</file>

<file path=xl/worksheets/_rels/sheet7.xml.rels><?xml version="1.0" encoding="UTF-8"?>
<Relationships xmlns="http://schemas.openxmlformats.org/package/2006/relationships"><Relationship Id="rId1" Type="http://schemas.openxmlformats.org/officeDocument/2006/relationships/hyperlink" Target="../Whos%20Buying%20PDX%20-%20data%20walkthrough.xlsx" TargetMode="External"/><Relationship Id="rId2" Type="http://schemas.openxmlformats.org/officeDocument/2006/relationships/table" Target="../tables/table7.xml"/>
</Relationships>
</file>

<file path=xl/worksheets/_rels/sheet8.xml.rels><?xml version="1.0" encoding="UTF-8"?>
<Relationships xmlns="http://schemas.openxmlformats.org/package/2006/relationships"><Relationship Id="rId1" Type="http://schemas.openxmlformats.org/officeDocument/2006/relationships/hyperlink" Target="../Whos%20Buying%20PDX%20-%20data%20walkthrough.xlsx" TargetMode="External"/><Relationship Id="rId2"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hyperlink" Target="../Whos%20Buying%20PDX%20-%20data%20walkthrough.xlsx" TargetMode="External"/><Relationship Id="rId2" Type="http://schemas.openxmlformats.org/officeDocument/2006/relationships/table" Target="../tables/table2.xml"/>
</Relationships>
</file>

<file path=xl/worksheets/_rels/sheet10.xml.rels><?xml version="1.0" encoding="UTF-8"?>
<Relationships xmlns="http://schemas.openxmlformats.org/package/2006/relationships"><Relationship Id="rId1" Type="http://schemas.openxmlformats.org/officeDocument/2006/relationships/hyperlink" Target="../Whos%20Buying%20PDX%20-%20data%20walkthrough.xlsx" TargetMode="External"/><Relationship Id="rId2" Type="http://schemas.openxmlformats.org/officeDocument/2006/relationships/table" Target="../tables/table1.xml"/>
</Relationships>
</file>

<file path=xl/worksheets/_rels/sheet11.xml.rels><?xml version="1.0" encoding="UTF-8"?>
<Relationships xmlns="http://schemas.openxmlformats.org/package/2006/relationships"><Relationship Id="rId1" Type="http://schemas.openxmlformats.org/officeDocument/2006/relationships/hyperlink" Target="../Whos%20Buying%20PDX%20-%20data%20walkthrough.xlsx" TargetMode="External"/><Relationship Id="rId2" Type="http://schemas.openxmlformats.org/officeDocument/2006/relationships/table" Target="../tables/table5.xml"/>
</Relationships>
</file>

<file path=xl/worksheets/_rels/sheet12.xml.rels><?xml version="1.0" encoding="UTF-8"?>
<Relationships xmlns="http://schemas.openxmlformats.org/package/2006/relationships"><Relationship Id="rId1" Type="http://schemas.openxmlformats.org/officeDocument/2006/relationships/hyperlink" Target="../Whos%20Buying%20PDX%20-%20data%20walkthrough.xlsx" TargetMode="External"/><Relationship Id="rId2"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8102E"/>
    <pageSetUpPr fitToPage="false"/>
  </sheetPr>
  <dimension ref="B2:B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7" min="3" style="0" width="16"/>
  </cols>
  <sheetData>
    <row r="2" customFormat="false" ht="30" hidden="false" customHeight="true" outlineLevel="0" collapsed="false">
      <c r="B2" s="1" t="s">
        <v>0</v>
      </c>
    </row>
    <row r="4" customFormat="false" ht="51.75" hidden="false" customHeight="true" outlineLevel="0" collapsed="false">
      <c r="B4" s="2" t="s">
        <v>1</v>
      </c>
    </row>
    <row r="5" customFormat="false" ht="28.35" hidden="false" customHeight="false" outlineLevel="0" collapsed="false">
      <c r="B5" s="3" t="s">
        <v>2</v>
      </c>
    </row>
    <row r="7" customFormat="false" ht="21.75" hidden="false" customHeight="true" outlineLevel="0" collapsed="false">
      <c r="B7" s="4" t="s">
        <v>3</v>
      </c>
    </row>
    <row r="8" customFormat="false" ht="72" hidden="false" customHeight="true" outlineLevel="0" collapsed="false">
      <c r="B8" s="5" t="s">
        <v>4</v>
      </c>
    </row>
    <row r="10" customFormat="false" ht="21.75" hidden="false" customHeight="true" outlineLevel="0" collapsed="false">
      <c r="B10" s="4" t="s">
        <v>5</v>
      </c>
    </row>
    <row r="11" customFormat="false" ht="15" hidden="false" customHeight="false" outlineLevel="0" collapsed="false">
      <c r="B11" s="6" t="s">
        <v>6</v>
      </c>
    </row>
    <row r="12" customFormat="false" ht="15" hidden="false" customHeight="false" outlineLevel="0" collapsed="false">
      <c r="B12" s="6" t="s">
        <v>7</v>
      </c>
    </row>
    <row r="13" customFormat="false" ht="15" hidden="false" customHeight="false" outlineLevel="0" collapsed="false">
      <c r="B13" s="6" t="s">
        <v>8</v>
      </c>
    </row>
    <row r="14" customFormat="false" ht="15" hidden="false" customHeight="false" outlineLevel="0" collapsed="false">
      <c r="B14" s="6" t="s">
        <v>9</v>
      </c>
    </row>
    <row r="16" customFormat="false" ht="15" hidden="false" customHeight="false" outlineLevel="0" collapsed="false">
      <c r="B16" s="7" t="s">
        <v>10</v>
      </c>
    </row>
    <row r="17" customFormat="false" ht="15" hidden="false" customHeight="false" outlineLevel="0" collapsed="false">
      <c r="B17" s="6" t="s">
        <v>11</v>
      </c>
    </row>
    <row r="18" customFormat="false" ht="15" hidden="false" customHeight="false" outlineLevel="0" collapsed="false">
      <c r="B18" s="6" t="s">
        <v>12</v>
      </c>
    </row>
    <row r="19" customFormat="false" ht="15" hidden="false" customHeight="false" outlineLevel="0" collapsed="false">
      <c r="B19" s="6" t="s">
        <v>13</v>
      </c>
    </row>
    <row r="20" customFormat="false" ht="15" hidden="false" customHeight="false" outlineLevel="0" collapsed="false">
      <c r="B20" s="6" t="s">
        <v>14</v>
      </c>
    </row>
    <row r="21" customFormat="false" ht="15" hidden="false" customHeight="false" outlineLevel="0" collapsed="false">
      <c r="B21" s="6" t="s">
        <v>15</v>
      </c>
    </row>
    <row r="22" customFormat="false" ht="15" hidden="false" customHeight="false" outlineLevel="0" collapsed="false">
      <c r="B22" s="6" t="s">
        <v>16</v>
      </c>
    </row>
    <row r="23" customFormat="false" ht="15" hidden="false" customHeight="false" outlineLevel="0" collapsed="false">
      <c r="B23" s="6" t="s">
        <v>17</v>
      </c>
    </row>
    <row r="25" customFormat="false" ht="21.75" hidden="false" customHeight="true" outlineLevel="0" collapsed="false">
      <c r="B25" s="4" t="s">
        <v>18</v>
      </c>
    </row>
    <row r="26" customFormat="false" ht="51.75" hidden="false" customHeight="true" outlineLevel="0" collapsed="false">
      <c r="B26" s="2" t="s">
        <v>19</v>
      </c>
    </row>
    <row r="27" customFormat="false" ht="51.75" hidden="false" customHeight="true" outlineLevel="0" collapsed="false">
      <c r="B27" s="2" t="s">
        <v>20</v>
      </c>
    </row>
  </sheetData>
  <hyperlinks>
    <hyperlink ref="B11" r:id="rId1" location="'How%20we%20got%20each%20number'!A1" display="1. How we got each number — the step-by-step math, from donor lists to 132 and 377"/>
    <hyperlink ref="B12" r:id="rId2" location="'Why%20the%20numbers%20changed'!A1" display="2. Why the numbers changed — what we corrected on Oct 20, and why"/>
    <hyperlink ref="B13" r:id="rId3" location="'How%20to%20check%20a%20row'!A1" display="3. How to check a row — look up any gift yourself in ORESTAR"/>
    <hyperlink ref="B14" r:id="rId4" location="'Words%20we%20use'!A1" display="4. Words we use — household, match, Likely, Portland conservative"/>
    <hyperlink ref="B17" r:id="rId5" location="'Candidates'!A1" display="Candidates — donor counts and shares for all ten candidates"/>
    <hyperlink ref="B18" r:id="rId6" location="'Republican%20households'!A1" display="Republican households (132) — one row per household"/>
    <hyperlink ref="B19" r:id="rId7" location="'PC-only%20households'!A1" display="Portland-conservative-only households (245) — one row per household"/>
    <hyperlink ref="B20" r:id="rId8" location="'Candidate%20R%20matches'!A1" display="Candidate × Republican matches (263) — one row per donor per candidate"/>
    <hyperlink ref="B21" r:id="rId9" location="'Candidate%20PC%20matches'!A1" display="Candidate × Portland-conservative matches (458)"/>
    <hyperlink ref="B22" r:id="rId10" location="'Gifts'!A1" display="Gifts (835) — every gift behind the Republican households, with its Transaction ID"/>
    <hyperlink ref="B23" r:id="rId11" location="'Committees'!A1" display="Committees (39) — what we compared against, and what we left out and wh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8102E"/>
    <pageSetUpPr fitToPage="false"/>
  </sheetPr>
  <dimension ref="B2: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70"/>
    <col collapsed="false" customWidth="true" hidden="false" outlineLevel="0" max="3" min="3" style="0" width="14"/>
    <col collapsed="false" customWidth="true" hidden="false" outlineLevel="0" max="7" min="4" style="0" width="16"/>
  </cols>
  <sheetData>
    <row r="2" customFormat="false" ht="30" hidden="false" customHeight="true" outlineLevel="0" collapsed="false">
      <c r="B2" s="1" t="s">
        <v>21</v>
      </c>
    </row>
    <row r="4" customFormat="false" ht="51.75" hidden="false" customHeight="true" outlineLevel="0" collapsed="false">
      <c r="B4" s="2" t="s">
        <v>22</v>
      </c>
    </row>
    <row r="6" customFormat="false" ht="21.75" hidden="false" customHeight="true" outlineLevel="0" collapsed="false">
      <c r="B6" s="4" t="s">
        <v>23</v>
      </c>
    </row>
    <row r="7" customFormat="false" ht="180" hidden="false" customHeight="true" outlineLevel="0" collapsed="false">
      <c r="B7" s="2" t="s">
        <v>24</v>
      </c>
    </row>
    <row r="8" customFormat="false" ht="33.75" hidden="false" customHeight="true" outlineLevel="0" collapsed="false">
      <c r="B8" s="2" t="s">
        <v>25</v>
      </c>
      <c r="C8" s="8" t="n">
        <f aca="false">SUM(Candidates!C5:C10)</f>
        <v>1677</v>
      </c>
      <c r="D8" s="9" t="s">
        <v>26</v>
      </c>
      <c r="E8" s="9"/>
      <c r="F8" s="9"/>
      <c r="G8" s="9"/>
    </row>
    <row r="9" customFormat="false" ht="15" hidden="false" customHeight="false" outlineLevel="0" collapsed="false">
      <c r="B9" s="3" t="s">
        <v>27</v>
      </c>
    </row>
    <row r="11" customFormat="false" ht="21.75" hidden="false" customHeight="true" outlineLevel="0" collapsed="false">
      <c r="B11" s="4" t="s">
        <v>28</v>
      </c>
    </row>
    <row r="12" customFormat="false" ht="147.75" hidden="false" customHeight="true" outlineLevel="0" collapsed="false">
      <c r="B12" s="2" t="s">
        <v>29</v>
      </c>
    </row>
    <row r="13" customFormat="false" ht="33.75" hidden="false" customHeight="true" outlineLevel="0" collapsed="false">
      <c r="B13" s="2" t="s">
        <v>30</v>
      </c>
      <c r="C13" s="8" t="n">
        <f aca="false">COUNTA('Candidate R matches'!B5:B1000)</f>
        <v>263</v>
      </c>
      <c r="D13" s="9" t="s">
        <v>31</v>
      </c>
      <c r="E13" s="9"/>
      <c r="F13" s="9"/>
      <c r="G13" s="9"/>
    </row>
    <row r="14" customFormat="false" ht="33.75" hidden="false" customHeight="true" outlineLevel="0" collapsed="false">
      <c r="B14" s="2" t="s">
        <v>32</v>
      </c>
      <c r="C14" s="8" t="n">
        <f aca="false">COUNTIF('Candidate R matches'!C5:C1000,"Confirmed")</f>
        <v>236</v>
      </c>
    </row>
    <row r="15" customFormat="false" ht="33.75" hidden="false" customHeight="true" outlineLevel="0" collapsed="false">
      <c r="B15" s="2" t="s">
        <v>33</v>
      </c>
      <c r="C15" s="8" t="n">
        <f aca="false">COUNTIF('Candidate R matches'!C5:C1000,"Likely")</f>
        <v>27</v>
      </c>
      <c r="D15" s="9" t="s">
        <v>34</v>
      </c>
      <c r="E15" s="9"/>
      <c r="F15" s="9"/>
      <c r="G15" s="9"/>
    </row>
    <row r="17" customFormat="false" ht="21.75" hidden="false" customHeight="true" outlineLevel="0" collapsed="false">
      <c r="B17" s="4" t="s">
        <v>35</v>
      </c>
    </row>
    <row r="18" customFormat="false" ht="84" hidden="false" customHeight="true" outlineLevel="0" collapsed="false">
      <c r="B18" s="2" t="s">
        <v>36</v>
      </c>
    </row>
    <row r="19" customFormat="false" ht="33.75" hidden="false" customHeight="true" outlineLevel="0" collapsed="false">
      <c r="B19" s="2" t="s">
        <v>37</v>
      </c>
      <c r="C19" s="8" t="n">
        <f aca="false">COUNTA('Candidate PC matches'!A5:A1000)</f>
        <v>458</v>
      </c>
    </row>
    <row r="20" customFormat="false" ht="33.75" hidden="false" customHeight="true" outlineLevel="0" collapsed="false">
      <c r="B20" s="2" t="s">
        <v>38</v>
      </c>
      <c r="C20" s="8" t="n">
        <f aca="false">C13+C19</f>
        <v>721</v>
      </c>
    </row>
    <row r="21" customFormat="false" ht="41.75" hidden="false" customHeight="false" outlineLevel="0" collapsed="false">
      <c r="B21" s="3" t="s">
        <v>39</v>
      </c>
    </row>
    <row r="23" customFormat="false" ht="21.75" hidden="false" customHeight="true" outlineLevel="0" collapsed="false">
      <c r="B23" s="4" t="s">
        <v>40</v>
      </c>
    </row>
    <row r="24" customFormat="false" ht="163.5" hidden="false" customHeight="true" outlineLevel="0" collapsed="false">
      <c r="B24" s="2" t="s">
        <v>41</v>
      </c>
    </row>
    <row r="25" customFormat="false" ht="33.75" hidden="false" customHeight="true" outlineLevel="0" collapsed="false">
      <c r="B25" s="2" t="s">
        <v>42</v>
      </c>
      <c r="C25" s="8" t="n">
        <f aca="false">C13</f>
        <v>263</v>
      </c>
    </row>
    <row r="26" customFormat="false" ht="33.75" hidden="false" customHeight="true" outlineLevel="0" collapsed="false">
      <c r="B26" s="2" t="s">
        <v>43</v>
      </c>
      <c r="C26" s="8" t="n">
        <v>-5</v>
      </c>
      <c r="D26" s="9" t="s">
        <v>44</v>
      </c>
      <c r="E26" s="9"/>
      <c r="F26" s="9"/>
      <c r="G26" s="9"/>
    </row>
    <row r="27" customFormat="false" ht="33.75" hidden="false" customHeight="true" outlineLevel="0" collapsed="false">
      <c r="B27" s="2" t="s">
        <v>45</v>
      </c>
      <c r="C27" s="8" t="n">
        <f aca="false">C25+C26</f>
        <v>258</v>
      </c>
    </row>
    <row r="28" customFormat="false" ht="33.75" hidden="false" customHeight="true" outlineLevel="0" collapsed="false">
      <c r="B28" s="2" t="s">
        <v>46</v>
      </c>
      <c r="C28" s="8" t="n">
        <f aca="false">-(C27-COUNTA('Republican households'!A5:A200))</f>
        <v>-126</v>
      </c>
      <c r="D28" s="9" t="s">
        <v>47</v>
      </c>
      <c r="E28" s="9"/>
      <c r="F28" s="9"/>
      <c r="G28" s="9"/>
    </row>
    <row r="29" customFormat="false" ht="33.75" hidden="false" customHeight="true" outlineLevel="0" collapsed="false">
      <c r="B29" s="2" t="s">
        <v>48</v>
      </c>
      <c r="C29" s="8" t="n">
        <f aca="false">COUNTA('Republican households'!A5:A200)</f>
        <v>132</v>
      </c>
      <c r="D29" s="9" t="s">
        <v>49</v>
      </c>
      <c r="E29" s="9"/>
      <c r="F29" s="9"/>
      <c r="G29" s="9"/>
    </row>
    <row r="31" customFormat="false" ht="33.75" hidden="false" customHeight="true" outlineLevel="0" collapsed="false">
      <c r="B31" s="2" t="s">
        <v>50</v>
      </c>
      <c r="C31" s="8" t="n">
        <f aca="false">COUNTA('PC-only households'!A5:A400)</f>
        <v>245</v>
      </c>
      <c r="D31" s="9" t="s">
        <v>51</v>
      </c>
      <c r="E31" s="9"/>
      <c r="F31" s="9"/>
      <c r="G31" s="9"/>
    </row>
    <row r="32" customFormat="false" ht="33.75" hidden="false" customHeight="true" outlineLevel="0" collapsed="false">
      <c r="B32" s="2" t="s">
        <v>52</v>
      </c>
      <c r="C32" s="8" t="n">
        <f aca="false">C29+C31</f>
        <v>377</v>
      </c>
      <c r="D32" s="9" t="s">
        <v>53</v>
      </c>
      <c r="E32" s="9"/>
      <c r="F32" s="9"/>
      <c r="G32" s="9"/>
    </row>
    <row r="34" customFormat="false" ht="15" hidden="false" customHeight="false" outlineLevel="0" collapsed="false">
      <c r="B34" s="7" t="s">
        <v>54</v>
      </c>
    </row>
    <row r="35" customFormat="false" ht="33.75" hidden="false" customHeight="true" outlineLevel="0" collapsed="false">
      <c r="B35" s="2" t="s">
        <v>55</v>
      </c>
      <c r="C35" s="8" t="n">
        <f aca="false">COUNTIF('Republican households'!D5:D200,"Yes")</f>
        <v>48</v>
      </c>
    </row>
    <row r="36" customFormat="false" ht="33.75" hidden="false" customHeight="true" outlineLevel="0" collapsed="false">
      <c r="B36" s="2" t="s">
        <v>56</v>
      </c>
      <c r="C36" s="8" t="n">
        <f aca="false">COUNTIF('Republican households'!G5:G200,"&gt;=2024")</f>
        <v>58</v>
      </c>
    </row>
    <row r="37" customFormat="false" ht="33.75" hidden="false" customHeight="true" outlineLevel="0" collapsed="false">
      <c r="B37" s="2" t="s">
        <v>57</v>
      </c>
      <c r="C37" s="8" t="n">
        <f aca="false">COUNTIF('Republican households'!C5:C200,"&gt;=2")</f>
        <v>57</v>
      </c>
    </row>
    <row r="38" customFormat="false" ht="33.75" hidden="false" customHeight="true" outlineLevel="0" collapsed="false">
      <c r="B38" s="2" t="s">
        <v>58</v>
      </c>
      <c r="C38" s="8" t="n">
        <f aca="false">COUNTIF('Republican households'!K5:K200,"Likely")</f>
        <v>6</v>
      </c>
    </row>
    <row r="40" customFormat="false" ht="21.75" hidden="false" customHeight="true" outlineLevel="0" collapsed="false">
      <c r="B40" s="4" t="s">
        <v>59</v>
      </c>
    </row>
    <row r="41" customFormat="false" ht="115.5" hidden="false" customHeight="true" outlineLevel="0" collapsed="false">
      <c r="B41" s="2" t="s">
        <v>60</v>
      </c>
    </row>
  </sheetData>
  <mergeCells count="8">
    <mergeCell ref="D8:G8"/>
    <mergeCell ref="D13:G13"/>
    <mergeCell ref="D15:G15"/>
    <mergeCell ref="D26:G26"/>
    <mergeCell ref="D28:G28"/>
    <mergeCell ref="D29:G29"/>
    <mergeCell ref="D31:G31"/>
    <mergeCell ref="D32:G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8102E"/>
    <pageSetUpPr fitToPage="false"/>
  </sheetPr>
  <dimension ref="B2: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4" min="3" style="0" width="14"/>
    <col collapsed="false" customWidth="true" hidden="false" outlineLevel="0" max="7" min="5" style="0" width="16"/>
  </cols>
  <sheetData>
    <row r="2" customFormat="false" ht="30" hidden="false" customHeight="true" outlineLevel="0" collapsed="false">
      <c r="B2" s="1" t="s">
        <v>61</v>
      </c>
    </row>
    <row r="4" customFormat="false" ht="84" hidden="false" customHeight="true" outlineLevel="0" collapsed="false">
      <c r="B4" s="2" t="s">
        <v>62</v>
      </c>
    </row>
    <row r="6" customFormat="false" ht="21.75" hidden="false" customHeight="true" outlineLevel="0" collapsed="false">
      <c r="B6" s="4" t="s">
        <v>63</v>
      </c>
    </row>
    <row r="7" customFormat="false" ht="307.5" hidden="false" customHeight="true" outlineLevel="0" collapsed="false">
      <c r="B7" s="2" t="s">
        <v>64</v>
      </c>
    </row>
    <row r="9" customFormat="false" ht="15" hidden="false" customHeight="false" outlineLevel="0" collapsed="false">
      <c r="B9" s="7" t="s">
        <v>65</v>
      </c>
      <c r="C9" s="10" t="s">
        <v>66</v>
      </c>
      <c r="D9" s="11" t="s">
        <v>67</v>
      </c>
    </row>
    <row r="10" customFormat="false" ht="51.75" hidden="false" customHeight="true" outlineLevel="0" collapsed="false">
      <c r="B10" s="2" t="s">
        <v>68</v>
      </c>
    </row>
    <row r="12" customFormat="false" ht="15" hidden="false" customHeight="false" outlineLevel="0" collapsed="false">
      <c r="B12" s="7" t="s">
        <v>52</v>
      </c>
      <c r="C12" s="10" t="s">
        <v>69</v>
      </c>
      <c r="D12" s="11" t="s">
        <v>70</v>
      </c>
    </row>
    <row r="13" customFormat="false" ht="36" hidden="false" customHeight="true" outlineLevel="0" collapsed="false">
      <c r="B13" s="2" t="s">
        <v>71</v>
      </c>
    </row>
    <row r="15" customFormat="false" ht="15" hidden="false" customHeight="false" outlineLevel="0" collapsed="false">
      <c r="B15" s="7" t="s">
        <v>55</v>
      </c>
      <c r="C15" s="10" t="s">
        <v>72</v>
      </c>
      <c r="D15" s="11" t="s">
        <v>73</v>
      </c>
    </row>
    <row r="16" customFormat="false" ht="19.5" hidden="false" customHeight="true" outlineLevel="0" collapsed="false">
      <c r="B16" s="2" t="s">
        <v>74</v>
      </c>
    </row>
    <row r="18" customFormat="false" ht="15" hidden="false" customHeight="false" outlineLevel="0" collapsed="false">
      <c r="B18" s="7" t="s">
        <v>75</v>
      </c>
      <c r="C18" s="10" t="s">
        <v>76</v>
      </c>
      <c r="D18" s="11" t="s">
        <v>77</v>
      </c>
    </row>
    <row r="19" customFormat="false" ht="19.5" hidden="false" customHeight="true" outlineLevel="0" collapsed="false">
      <c r="B19" s="2" t="s">
        <v>78</v>
      </c>
    </row>
    <row r="21" customFormat="false" ht="15" hidden="false" customHeight="false" outlineLevel="0" collapsed="false">
      <c r="B21" s="7" t="s">
        <v>30</v>
      </c>
      <c r="C21" s="10" t="s">
        <v>79</v>
      </c>
      <c r="D21" s="11" t="s">
        <v>80</v>
      </c>
    </row>
    <row r="22" customFormat="false" ht="19.5" hidden="false" customHeight="true" outlineLevel="0" collapsed="false">
      <c r="B22" s="2" t="s">
        <v>81</v>
      </c>
    </row>
    <row r="24" customFormat="false" ht="15" hidden="false" customHeight="false" outlineLevel="0" collapsed="false">
      <c r="B24" s="7" t="s">
        <v>82</v>
      </c>
      <c r="C24" s="10" t="s">
        <v>83</v>
      </c>
      <c r="D24" s="11" t="s">
        <v>84</v>
      </c>
    </row>
    <row r="25" customFormat="false" ht="36" hidden="false" customHeight="true" outlineLevel="0" collapsed="false">
      <c r="B25" s="2" t="s">
        <v>85</v>
      </c>
    </row>
    <row r="27" customFormat="false" ht="21.75" hidden="false" customHeight="true" outlineLevel="0" collapsed="false">
      <c r="B27" s="4" t="s">
        <v>86</v>
      </c>
    </row>
    <row r="28" customFormat="false" ht="67.5" hidden="false" customHeight="true" outlineLevel="0" collapsed="false">
      <c r="B28" s="2" t="s">
        <v>87</v>
      </c>
    </row>
    <row r="30" customFormat="false" ht="21.75" hidden="false" customHeight="true" outlineLevel="0" collapsed="false">
      <c r="B30" s="4" t="s">
        <v>88</v>
      </c>
    </row>
    <row r="31" customFormat="false" ht="67.5" hidden="false" customHeight="true" outlineLevel="0" collapsed="false">
      <c r="B31" s="2" t="s">
        <v>89</v>
      </c>
    </row>
    <row r="32" customFormat="false" ht="51.75" hidden="false" customHeight="true" outlineLevel="0" collapsed="false">
      <c r="B32" s="2" t="s">
        <v>90</v>
      </c>
    </row>
    <row r="34" customFormat="false" ht="21.75" hidden="false" customHeight="true" outlineLevel="0" collapsed="false">
      <c r="B34" s="4" t="s">
        <v>91</v>
      </c>
    </row>
    <row r="35" customFormat="false" ht="67.5" hidden="false" customHeight="true" outlineLevel="0" collapsed="false">
      <c r="B35" s="2" t="s">
        <v>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8102E"/>
    <pageSetUpPr fitToPage="false"/>
  </sheetPr>
  <dimension ref="B2: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7" min="3" style="0" width="16"/>
  </cols>
  <sheetData>
    <row r="2" customFormat="false" ht="30" hidden="false" customHeight="true" outlineLevel="0" collapsed="false">
      <c r="B2" s="1" t="s">
        <v>93</v>
      </c>
    </row>
    <row r="4" customFormat="false" ht="36" hidden="false" customHeight="true" outlineLevel="0" collapsed="false">
      <c r="B4" s="2" t="s">
        <v>94</v>
      </c>
    </row>
    <row r="6" customFormat="false" ht="21.75" hidden="false" customHeight="true" outlineLevel="0" collapsed="false">
      <c r="B6" s="4" t="s">
        <v>95</v>
      </c>
    </row>
    <row r="7" customFormat="false" ht="36" hidden="false" customHeight="true" outlineLevel="0" collapsed="false">
      <c r="B7" s="2" t="s">
        <v>96</v>
      </c>
    </row>
    <row r="8" customFormat="false" ht="19.5" hidden="false" customHeight="true" outlineLevel="0" collapsed="false">
      <c r="B8" s="2" t="s">
        <v>97</v>
      </c>
    </row>
    <row r="9" customFormat="false" ht="36" hidden="false" customHeight="true" outlineLevel="0" collapsed="false">
      <c r="B9" s="2" t="s">
        <v>98</v>
      </c>
    </row>
    <row r="10" customFormat="false" ht="36" hidden="false" customHeight="true" outlineLevel="0" collapsed="false">
      <c r="B10" s="2" t="s">
        <v>99</v>
      </c>
    </row>
    <row r="11" customFormat="false" ht="51.75" hidden="false" customHeight="true" outlineLevel="0" collapsed="false">
      <c r="B11" s="2" t="s">
        <v>100</v>
      </c>
    </row>
    <row r="13" customFormat="false" ht="21.75" hidden="false" customHeight="true" outlineLevel="0" collapsed="false">
      <c r="B13" s="4" t="s">
        <v>101</v>
      </c>
    </row>
    <row r="14" customFormat="false" ht="103.5" hidden="false" customHeight="true" outlineLevel="0" collapsed="false">
      <c r="B14" s="5" t="s">
        <v>102</v>
      </c>
    </row>
    <row r="16" customFormat="false" ht="21.75" hidden="false" customHeight="true" outlineLevel="0" collapsed="false">
      <c r="B16" s="4" t="s">
        <v>103</v>
      </c>
    </row>
    <row r="17" customFormat="false" ht="84" hidden="false" customHeight="true" outlineLevel="0" collapsed="false">
      <c r="B17" s="2" t="s">
        <v>104</v>
      </c>
    </row>
    <row r="19" customFormat="false" ht="21.75" hidden="false" customHeight="true" outlineLevel="0" collapsed="false">
      <c r="B19" s="4" t="s">
        <v>105</v>
      </c>
    </row>
    <row r="20" customFormat="false" ht="36" hidden="false" customHeight="true" outlineLevel="0" collapsed="false">
      <c r="B20" s="2" t="s">
        <v>106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8102E"/>
    <pageSetUpPr fitToPage="false"/>
  </sheetPr>
  <dimension ref="B2:B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7" min="3" style="0" width="16"/>
  </cols>
  <sheetData>
    <row r="2" customFormat="false" ht="30" hidden="false" customHeight="true" outlineLevel="0" collapsed="false">
      <c r="B2" s="1" t="s">
        <v>107</v>
      </c>
    </row>
    <row r="4" customFormat="false" ht="15" hidden="false" customHeight="false" outlineLevel="0" collapsed="false">
      <c r="B4" s="7" t="s">
        <v>108</v>
      </c>
    </row>
    <row r="5" customFormat="false" ht="36" hidden="false" customHeight="true" outlineLevel="0" collapsed="false">
      <c r="B5" s="2" t="s">
        <v>109</v>
      </c>
    </row>
    <row r="7" customFormat="false" ht="15" hidden="false" customHeight="false" outlineLevel="0" collapsed="false">
      <c r="B7" s="7" t="s">
        <v>110</v>
      </c>
    </row>
    <row r="8" customFormat="false" ht="67.5" hidden="false" customHeight="true" outlineLevel="0" collapsed="false">
      <c r="B8" s="2" t="s">
        <v>111</v>
      </c>
    </row>
    <row r="10" customFormat="false" ht="15" hidden="false" customHeight="false" outlineLevel="0" collapsed="false">
      <c r="B10" s="7" t="s">
        <v>112</v>
      </c>
    </row>
    <row r="11" customFormat="false" ht="51.75" hidden="false" customHeight="true" outlineLevel="0" collapsed="false">
      <c r="B11" s="2" t="s">
        <v>113</v>
      </c>
    </row>
    <row r="13" customFormat="false" ht="15" hidden="false" customHeight="false" outlineLevel="0" collapsed="false">
      <c r="B13" s="7" t="s">
        <v>114</v>
      </c>
    </row>
    <row r="14" customFormat="false" ht="51.75" hidden="false" customHeight="true" outlineLevel="0" collapsed="false">
      <c r="B14" s="2" t="s">
        <v>115</v>
      </c>
    </row>
    <row r="16" customFormat="false" ht="15" hidden="false" customHeight="false" outlineLevel="0" collapsed="false">
      <c r="B16" s="7" t="s">
        <v>116</v>
      </c>
    </row>
    <row r="17" customFormat="false" ht="67.5" hidden="false" customHeight="true" outlineLevel="0" collapsed="false">
      <c r="B17" s="2" t="s">
        <v>117</v>
      </c>
    </row>
    <row r="19" customFormat="false" ht="15" hidden="false" customHeight="false" outlineLevel="0" collapsed="false">
      <c r="B19" s="7" t="s">
        <v>118</v>
      </c>
    </row>
    <row r="20" customFormat="false" ht="67.5" hidden="false" customHeight="true" outlineLevel="0" collapsed="false">
      <c r="B20" s="2" t="s">
        <v>119</v>
      </c>
    </row>
    <row r="22" customFormat="false" ht="15" hidden="false" customHeight="false" outlineLevel="0" collapsed="false">
      <c r="B22" s="7" t="s">
        <v>120</v>
      </c>
    </row>
    <row r="23" customFormat="false" ht="19.5" hidden="false" customHeight="true" outlineLevel="0" collapsed="false">
      <c r="B23" s="2" t="s">
        <v>121</v>
      </c>
    </row>
    <row r="25" customFormat="false" ht="15" hidden="false" customHeight="false" outlineLevel="0" collapsed="false">
      <c r="B25" s="7" t="s">
        <v>122</v>
      </c>
    </row>
    <row r="26" customFormat="false" ht="36" hidden="false" customHeight="true" outlineLevel="0" collapsed="false">
      <c r="B26" s="2" t="s">
        <v>123</v>
      </c>
    </row>
    <row r="28" customFormat="false" ht="15" hidden="false" customHeight="false" outlineLevel="0" collapsed="false">
      <c r="B28" s="7" t="s">
        <v>124</v>
      </c>
    </row>
    <row r="29" customFormat="false" ht="36" hidden="false" customHeight="true" outlineLevel="0" collapsed="false">
      <c r="B29" s="2" t="s">
        <v>125</v>
      </c>
    </row>
    <row r="31" customFormat="false" ht="15" hidden="false" customHeight="false" outlineLevel="0" collapsed="false">
      <c r="B31" s="7" t="s">
        <v>126</v>
      </c>
    </row>
    <row r="32" customFormat="false" ht="36" hidden="false" customHeight="true" outlineLevel="0" collapsed="false">
      <c r="B32"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8F99"/>
    <pageSetUpPr fitToPage="false"/>
  </sheetPr>
  <dimension ref="A1: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6"/>
    <col collapsed="false" customWidth="true" hidden="false" outlineLevel="0" max="3" min="3" style="0" width="18"/>
    <col collapsed="false" customWidth="true" hidden="false" outlineLevel="0" max="4" min="4" style="0" width="14"/>
    <col collapsed="false" customWidth="true" hidden="false" outlineLevel="0" max="5" min="5" style="0" width="16"/>
    <col collapsed="false" customWidth="true" hidden="false" outlineLevel="0" max="7" min="6" style="0" width="10"/>
  </cols>
  <sheetData>
    <row r="1" customFormat="false" ht="42" hidden="false" customHeight="true" outlineLevel="0" collapsed="false">
      <c r="A1" s="12" t="s">
        <v>128</v>
      </c>
      <c r="B1" s="12"/>
      <c r="C1" s="12"/>
      <c r="D1" s="12"/>
      <c r="E1" s="12"/>
      <c r="F1" s="12"/>
      <c r="G1" s="12"/>
    </row>
    <row r="2" customFormat="false" ht="15" hidden="false" customHeight="false" outlineLevel="0" collapsed="false">
      <c r="A2" s="13" t="s">
        <v>129</v>
      </c>
    </row>
    <row r="4" customFormat="false" ht="33.75" hidden="false" customHeight="true" outlineLevel="0" collapsed="false">
      <c r="A4" s="14" t="s">
        <v>130</v>
      </c>
      <c r="B4" s="14" t="s">
        <v>131</v>
      </c>
      <c r="C4" s="14" t="s">
        <v>132</v>
      </c>
      <c r="D4" s="14" t="s">
        <v>133</v>
      </c>
      <c r="E4" s="14" t="s">
        <v>134</v>
      </c>
      <c r="F4" s="14" t="s">
        <v>135</v>
      </c>
      <c r="G4" s="14" t="s">
        <v>136</v>
      </c>
    </row>
    <row r="5" customFormat="false" ht="15" hidden="false" customHeight="false" outlineLevel="0" collapsed="false">
      <c r="A5" s="15" t="s">
        <v>137</v>
      </c>
      <c r="B5" s="15" t="s">
        <v>138</v>
      </c>
      <c r="C5" s="15" t="n">
        <v>201</v>
      </c>
      <c r="D5" s="15" t="n">
        <v>35</v>
      </c>
      <c r="E5" s="15" t="n">
        <v>56</v>
      </c>
      <c r="F5" s="15" t="n">
        <f aca="false">D5+E5</f>
        <v>91</v>
      </c>
      <c r="G5" s="16" t="n">
        <f aca="false">F5/C5</f>
        <v>0.45273631840796</v>
      </c>
    </row>
    <row r="6" customFormat="false" ht="15" hidden="false" customHeight="false" outlineLevel="0" collapsed="false">
      <c r="A6" s="15" t="s">
        <v>139</v>
      </c>
      <c r="B6" s="15" t="s">
        <v>138</v>
      </c>
      <c r="C6" s="15" t="n">
        <v>279</v>
      </c>
      <c r="D6" s="15" t="n">
        <v>30</v>
      </c>
      <c r="E6" s="15" t="n">
        <v>56</v>
      </c>
      <c r="F6" s="15" t="n">
        <f aca="false">D6+E6</f>
        <v>86</v>
      </c>
      <c r="G6" s="16" t="n">
        <f aca="false">F6/C6</f>
        <v>0.308243727598566</v>
      </c>
    </row>
    <row r="7" customFormat="false" ht="15" hidden="false" customHeight="false" outlineLevel="0" collapsed="false">
      <c r="A7" s="15" t="s">
        <v>140</v>
      </c>
      <c r="B7" s="15" t="s">
        <v>138</v>
      </c>
      <c r="C7" s="15" t="n">
        <v>292</v>
      </c>
      <c r="D7" s="15" t="n">
        <v>40</v>
      </c>
      <c r="E7" s="15" t="n">
        <v>67</v>
      </c>
      <c r="F7" s="15" t="n">
        <f aca="false">D7+E7</f>
        <v>107</v>
      </c>
      <c r="G7" s="16" t="n">
        <f aca="false">F7/C7</f>
        <v>0.366438356164384</v>
      </c>
    </row>
    <row r="8" customFormat="false" ht="15" hidden="false" customHeight="false" outlineLevel="0" collapsed="false">
      <c r="A8" s="15" t="s">
        <v>141</v>
      </c>
      <c r="B8" s="15" t="s">
        <v>138</v>
      </c>
      <c r="C8" s="15" t="n">
        <v>254</v>
      </c>
      <c r="D8" s="15" t="n">
        <v>43</v>
      </c>
      <c r="E8" s="15" t="n">
        <v>90</v>
      </c>
      <c r="F8" s="15" t="n">
        <f aca="false">D8+E8</f>
        <v>133</v>
      </c>
      <c r="G8" s="16" t="n">
        <f aca="false">F8/C8</f>
        <v>0.523622047244094</v>
      </c>
    </row>
    <row r="9" customFormat="false" ht="15" hidden="false" customHeight="false" outlineLevel="0" collapsed="false">
      <c r="A9" s="15" t="s">
        <v>142</v>
      </c>
      <c r="B9" s="15" t="s">
        <v>138</v>
      </c>
      <c r="C9" s="15" t="n">
        <v>183</v>
      </c>
      <c r="D9" s="15" t="n">
        <v>34</v>
      </c>
      <c r="E9" s="15" t="n">
        <v>55</v>
      </c>
      <c r="F9" s="15" t="n">
        <f aca="false">D9+E9</f>
        <v>89</v>
      </c>
      <c r="G9" s="16" t="n">
        <f aca="false">F9/C9</f>
        <v>0.486338797814208</v>
      </c>
    </row>
    <row r="10" customFormat="false" ht="15" hidden="false" customHeight="false" outlineLevel="0" collapsed="false">
      <c r="A10" s="15" t="s">
        <v>143</v>
      </c>
      <c r="B10" s="15" t="s">
        <v>138</v>
      </c>
      <c r="C10" s="15" t="n">
        <v>468</v>
      </c>
      <c r="D10" s="15" t="n">
        <v>81</v>
      </c>
      <c r="E10" s="15" t="n">
        <v>134</v>
      </c>
      <c r="F10" s="15" t="n">
        <f aca="false">D10+E10</f>
        <v>215</v>
      </c>
      <c r="G10" s="16" t="n">
        <f aca="false">F10/C10</f>
        <v>0.459401709401709</v>
      </c>
    </row>
    <row r="11" customFormat="false" ht="15" hidden="false" customHeight="false" outlineLevel="0" collapsed="false">
      <c r="A11" s="15" t="s">
        <v>144</v>
      </c>
      <c r="B11" s="15" t="s">
        <v>145</v>
      </c>
      <c r="C11" s="15" t="n">
        <v>204</v>
      </c>
      <c r="D11" s="15" t="n">
        <v>0</v>
      </c>
      <c r="E11" s="15" t="n">
        <v>0</v>
      </c>
      <c r="F11" s="15" t="n">
        <f aca="false">D11+E11</f>
        <v>0</v>
      </c>
      <c r="G11" s="16" t="n">
        <f aca="false">F11/C11</f>
        <v>0</v>
      </c>
    </row>
    <row r="12" customFormat="false" ht="15" hidden="false" customHeight="false" outlineLevel="0" collapsed="false">
      <c r="A12" s="15" t="s">
        <v>146</v>
      </c>
      <c r="B12" s="15" t="s">
        <v>145</v>
      </c>
      <c r="C12" s="15" t="n">
        <v>160</v>
      </c>
      <c r="D12" s="15" t="n">
        <v>0</v>
      </c>
      <c r="E12" s="15" t="n">
        <v>0</v>
      </c>
      <c r="F12" s="15" t="n">
        <f aca="false">D12+E12</f>
        <v>0</v>
      </c>
      <c r="G12" s="16" t="n">
        <f aca="false">F12/C12</f>
        <v>0</v>
      </c>
    </row>
    <row r="13" customFormat="false" ht="15" hidden="false" customHeight="false" outlineLevel="0" collapsed="false">
      <c r="A13" s="15" t="s">
        <v>147</v>
      </c>
      <c r="B13" s="15" t="s">
        <v>145</v>
      </c>
      <c r="C13" s="15" t="n">
        <v>143</v>
      </c>
      <c r="D13" s="15" t="n">
        <v>0</v>
      </c>
      <c r="E13" s="15" t="n">
        <v>0</v>
      </c>
      <c r="F13" s="15" t="n">
        <f aca="false">D13+E13</f>
        <v>0</v>
      </c>
      <c r="G13" s="16" t="n">
        <f aca="false">F13/C13</f>
        <v>0</v>
      </c>
    </row>
    <row r="14" customFormat="false" ht="15" hidden="false" customHeight="false" outlineLevel="0" collapsed="false">
      <c r="A14" s="15" t="s">
        <v>148</v>
      </c>
      <c r="B14" s="15" t="s">
        <v>145</v>
      </c>
      <c r="C14" s="15" t="n">
        <v>154</v>
      </c>
      <c r="D14" s="15" t="n">
        <v>1</v>
      </c>
      <c r="E14" s="15" t="n">
        <v>1</v>
      </c>
      <c r="F14" s="15" t="n">
        <f aca="false">D14+E14</f>
        <v>2</v>
      </c>
      <c r="G14" s="16" t="n">
        <f aca="false">F14/C14</f>
        <v>0.012987012987013</v>
      </c>
    </row>
  </sheetData>
  <mergeCells count="1">
    <mergeCell ref="A1:G1"/>
  </mergeCells>
  <hyperlinks>
    <hyperlink ref="A2" r:id="rId1" location="'Start%20here'!A1" display="← Back to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8F99"/>
    <pageSetUpPr fitToPage="false"/>
  </sheetPr>
  <dimension ref="A1:N1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8"/>
    <col collapsed="false" customWidth="true" hidden="false" outlineLevel="0" max="3" min="3" style="0" width="10"/>
    <col collapsed="false" customWidth="true" hidden="false" outlineLevel="0" max="4" min="4" style="0" width="9"/>
    <col collapsed="false" customWidth="true" hidden="false" outlineLevel="0" max="5" min="5" style="0" width="40"/>
    <col collapsed="false" customWidth="true" hidden="false" outlineLevel="0" max="8" min="6" style="0" width="10"/>
    <col collapsed="false" customWidth="true" hidden="false" outlineLevel="0" max="9" min="9" style="0" width="13"/>
    <col collapsed="false" customWidth="true" hidden="false" outlineLevel="0" max="10" min="10" style="0" width="22"/>
    <col collapsed="false" customWidth="true" hidden="false" outlineLevel="0" max="11" min="11" style="0" width="12"/>
    <col collapsed="false" customWidth="true" hidden="false" outlineLevel="0" max="12" min="12" style="0" width="50"/>
    <col collapsed="false" customWidth="true" hidden="false" outlineLevel="0" max="13" min="13" style="0" width="40"/>
    <col collapsed="false" customWidth="true" hidden="false" outlineLevel="0" max="14" min="14" style="0" width="32"/>
  </cols>
  <sheetData>
    <row r="1" customFormat="false" ht="42" hidden="false" customHeight="true" outlineLevel="0" collapsed="false">
      <c r="A1" s="12" t="s">
        <v>149</v>
      </c>
      <c r="B1" s="12"/>
      <c r="C1" s="12"/>
      <c r="D1" s="12"/>
      <c r="E1" s="12"/>
      <c r="F1" s="12"/>
      <c r="G1" s="12"/>
      <c r="H1" s="12"/>
    </row>
    <row r="2" customFormat="false" ht="15" hidden="false" customHeight="false" outlineLevel="0" collapsed="false">
      <c r="A2" s="13" t="s">
        <v>129</v>
      </c>
    </row>
    <row r="4" customFormat="false" ht="33.75" hidden="false" customHeight="true" outlineLevel="0" collapsed="false">
      <c r="A4" s="14" t="s">
        <v>110</v>
      </c>
      <c r="B4" s="14" t="s">
        <v>150</v>
      </c>
      <c r="C4" s="14" t="s">
        <v>151</v>
      </c>
      <c r="D4" s="14" t="s">
        <v>152</v>
      </c>
      <c r="E4" s="14" t="s">
        <v>153</v>
      </c>
      <c r="F4" s="14" t="s">
        <v>154</v>
      </c>
      <c r="G4" s="14" t="s">
        <v>155</v>
      </c>
      <c r="H4" s="14" t="s">
        <v>156</v>
      </c>
      <c r="I4" s="14" t="s">
        <v>157</v>
      </c>
      <c r="J4" s="14" t="s">
        <v>158</v>
      </c>
      <c r="K4" s="14" t="s">
        <v>159</v>
      </c>
      <c r="L4" s="14" t="s">
        <v>160</v>
      </c>
      <c r="M4" s="14" t="s">
        <v>161</v>
      </c>
      <c r="N4" s="14" t="s">
        <v>162</v>
      </c>
    </row>
    <row r="5" customFormat="false" ht="15" hidden="false" customHeight="false" outlineLevel="0" collapsed="false">
      <c r="A5" s="15" t="s">
        <v>163</v>
      </c>
      <c r="B5" s="17" t="s">
        <v>139</v>
      </c>
      <c r="C5" s="15" t="n">
        <v>1</v>
      </c>
      <c r="D5" s="15" t="s">
        <v>164</v>
      </c>
      <c r="E5" s="17" t="s">
        <v>165</v>
      </c>
      <c r="F5" s="15" t="n">
        <v>2008</v>
      </c>
      <c r="G5" s="15" t="n">
        <v>2009</v>
      </c>
      <c r="H5" s="15" t="n">
        <v>2</v>
      </c>
      <c r="I5" s="15" t="n">
        <v>3000</v>
      </c>
      <c r="J5" s="15" t="s">
        <v>166</v>
      </c>
      <c r="K5" s="15" t="s">
        <v>120</v>
      </c>
      <c r="L5" s="17"/>
      <c r="M5" s="15" t="s">
        <v>167</v>
      </c>
      <c r="N5" s="15" t="s">
        <v>168</v>
      </c>
    </row>
    <row r="6" customFormat="false" ht="68.65" hidden="false" customHeight="false" outlineLevel="0" collapsed="false">
      <c r="A6" s="15" t="s">
        <v>169</v>
      </c>
      <c r="B6" s="17" t="s">
        <v>143</v>
      </c>
      <c r="C6" s="15" t="n">
        <v>1</v>
      </c>
      <c r="D6" s="15" t="s">
        <v>170</v>
      </c>
      <c r="E6" s="17" t="s">
        <v>171</v>
      </c>
      <c r="F6" s="15" t="n">
        <v>2008</v>
      </c>
      <c r="G6" s="15" t="n">
        <v>2026</v>
      </c>
      <c r="H6" s="15" t="n">
        <v>18</v>
      </c>
      <c r="I6" s="15" t="n">
        <v>51000</v>
      </c>
      <c r="J6" s="15" t="s">
        <v>166</v>
      </c>
      <c r="K6" s="15" t="s">
        <v>120</v>
      </c>
      <c r="L6" s="17"/>
      <c r="M6" s="15" t="s">
        <v>172</v>
      </c>
      <c r="N6" s="15" t="s">
        <v>173</v>
      </c>
    </row>
    <row r="7" customFormat="false" ht="28.35" hidden="false" customHeight="false" outlineLevel="0" collapsed="false">
      <c r="A7" s="15" t="s">
        <v>174</v>
      </c>
      <c r="B7" s="17" t="s">
        <v>175</v>
      </c>
      <c r="C7" s="15" t="n">
        <v>3</v>
      </c>
      <c r="D7" s="15" t="s">
        <v>164</v>
      </c>
      <c r="E7" s="17" t="s">
        <v>165</v>
      </c>
      <c r="F7" s="15" t="n">
        <v>2008</v>
      </c>
      <c r="G7" s="15" t="n">
        <v>2008</v>
      </c>
      <c r="H7" s="15" t="n">
        <v>1</v>
      </c>
      <c r="I7" s="15" t="n">
        <v>250</v>
      </c>
      <c r="J7" s="15" t="s">
        <v>166</v>
      </c>
      <c r="K7" s="15" t="s">
        <v>120</v>
      </c>
      <c r="L7" s="17"/>
      <c r="M7" s="15" t="s">
        <v>176</v>
      </c>
      <c r="N7" s="15" t="s">
        <v>177</v>
      </c>
    </row>
    <row r="8" customFormat="false" ht="15" hidden="false" customHeight="false" outlineLevel="0" collapsed="false">
      <c r="A8" s="15" t="s">
        <v>178</v>
      </c>
      <c r="B8" s="17" t="s">
        <v>143</v>
      </c>
      <c r="C8" s="15" t="n">
        <v>1</v>
      </c>
      <c r="D8" s="15" t="s">
        <v>164</v>
      </c>
      <c r="E8" s="17" t="s">
        <v>165</v>
      </c>
      <c r="F8" s="15" t="n">
        <v>2008</v>
      </c>
      <c r="G8" s="15" t="n">
        <v>2008</v>
      </c>
      <c r="H8" s="15" t="n">
        <v>2</v>
      </c>
      <c r="I8" s="15" t="n">
        <v>1000</v>
      </c>
      <c r="J8" s="15" t="s">
        <v>166</v>
      </c>
      <c r="K8" s="15" t="s">
        <v>120</v>
      </c>
      <c r="L8" s="17"/>
      <c r="M8" s="15" t="s">
        <v>179</v>
      </c>
      <c r="N8" s="15" t="s">
        <v>180</v>
      </c>
    </row>
    <row r="9" customFormat="false" ht="28.35" hidden="false" customHeight="false" outlineLevel="0" collapsed="false">
      <c r="A9" s="15" t="s">
        <v>181</v>
      </c>
      <c r="B9" s="17" t="s">
        <v>182</v>
      </c>
      <c r="C9" s="15" t="n">
        <v>3</v>
      </c>
      <c r="D9" s="15" t="s">
        <v>164</v>
      </c>
      <c r="E9" s="17" t="s">
        <v>165</v>
      </c>
      <c r="F9" s="15" t="n">
        <v>2008</v>
      </c>
      <c r="G9" s="15" t="n">
        <v>2008</v>
      </c>
      <c r="H9" s="15" t="n">
        <v>1</v>
      </c>
      <c r="I9" s="15" t="n">
        <v>500</v>
      </c>
      <c r="J9" s="15" t="s">
        <v>166</v>
      </c>
      <c r="K9" s="15" t="s">
        <v>120</v>
      </c>
      <c r="L9" s="17"/>
      <c r="M9" s="15" t="s">
        <v>183</v>
      </c>
      <c r="N9" s="15" t="s">
        <v>184</v>
      </c>
    </row>
    <row r="10" customFormat="false" ht="68.65" hidden="false" customHeight="false" outlineLevel="0" collapsed="false">
      <c r="A10" s="15" t="s">
        <v>185</v>
      </c>
      <c r="B10" s="17" t="s">
        <v>143</v>
      </c>
      <c r="C10" s="15" t="n">
        <v>1</v>
      </c>
      <c r="D10" s="15" t="s">
        <v>164</v>
      </c>
      <c r="E10" s="17" t="s">
        <v>186</v>
      </c>
      <c r="F10" s="15" t="n">
        <v>2008</v>
      </c>
      <c r="G10" s="15" t="n">
        <v>2024</v>
      </c>
      <c r="H10" s="15" t="n">
        <v>12</v>
      </c>
      <c r="I10" s="15" t="n">
        <v>64000</v>
      </c>
      <c r="J10" s="15" t="s">
        <v>166</v>
      </c>
      <c r="K10" s="15" t="s">
        <v>120</v>
      </c>
      <c r="L10" s="17"/>
      <c r="M10" s="15" t="s">
        <v>187</v>
      </c>
      <c r="N10" s="15" t="s">
        <v>188</v>
      </c>
    </row>
    <row r="11" customFormat="false" ht="28.35" hidden="false" customHeight="false" outlineLevel="0" collapsed="false">
      <c r="A11" s="15" t="s">
        <v>189</v>
      </c>
      <c r="B11" s="17" t="s">
        <v>190</v>
      </c>
      <c r="C11" s="15" t="n">
        <v>3</v>
      </c>
      <c r="D11" s="15" t="s">
        <v>164</v>
      </c>
      <c r="E11" s="17" t="s">
        <v>165</v>
      </c>
      <c r="F11" s="15" t="n">
        <v>2008</v>
      </c>
      <c r="G11" s="15" t="n">
        <v>2010</v>
      </c>
      <c r="H11" s="15" t="n">
        <v>3</v>
      </c>
      <c r="I11" s="15" t="n">
        <v>8000</v>
      </c>
      <c r="J11" s="15" t="s">
        <v>166</v>
      </c>
      <c r="K11" s="15" t="s">
        <v>120</v>
      </c>
      <c r="L11" s="17"/>
      <c r="M11" s="15" t="s">
        <v>191</v>
      </c>
      <c r="N11" s="15" t="s">
        <v>192</v>
      </c>
    </row>
    <row r="12" customFormat="false" ht="41.75" hidden="false" customHeight="false" outlineLevel="0" collapsed="false">
      <c r="A12" s="15" t="s">
        <v>193</v>
      </c>
      <c r="B12" s="17" t="s">
        <v>194</v>
      </c>
      <c r="C12" s="15" t="n">
        <v>3</v>
      </c>
      <c r="D12" s="15" t="s">
        <v>164</v>
      </c>
      <c r="E12" s="17" t="s">
        <v>165</v>
      </c>
      <c r="F12" s="15" t="n">
        <v>2008</v>
      </c>
      <c r="G12" s="15" t="n">
        <v>2008</v>
      </c>
      <c r="H12" s="15" t="n">
        <v>1</v>
      </c>
      <c r="I12" s="15" t="n">
        <v>500</v>
      </c>
      <c r="J12" s="15" t="s">
        <v>195</v>
      </c>
      <c r="K12" s="15" t="s">
        <v>122</v>
      </c>
      <c r="L12" s="17" t="s">
        <v>196</v>
      </c>
      <c r="M12" s="15" t="s">
        <v>197</v>
      </c>
      <c r="N12" s="15" t="s">
        <v>198</v>
      </c>
    </row>
    <row r="13" customFormat="false" ht="15" hidden="false" customHeight="false" outlineLevel="0" collapsed="false">
      <c r="A13" s="15" t="s">
        <v>199</v>
      </c>
      <c r="B13" s="17" t="s">
        <v>140</v>
      </c>
      <c r="C13" s="15" t="n">
        <v>1</v>
      </c>
      <c r="D13" s="15" t="s">
        <v>164</v>
      </c>
      <c r="E13" s="17" t="s">
        <v>200</v>
      </c>
      <c r="F13" s="15" t="n">
        <v>2009</v>
      </c>
      <c r="G13" s="15" t="n">
        <v>2026</v>
      </c>
      <c r="H13" s="15" t="n">
        <v>2</v>
      </c>
      <c r="I13" s="15" t="n">
        <v>6000</v>
      </c>
      <c r="J13" s="15" t="s">
        <v>201</v>
      </c>
      <c r="K13" s="15" t="s">
        <v>120</v>
      </c>
      <c r="L13" s="17"/>
      <c r="M13" s="15" t="s">
        <v>202</v>
      </c>
      <c r="N13" s="15" t="s">
        <v>203</v>
      </c>
    </row>
    <row r="14" customFormat="false" ht="15" hidden="false" customHeight="false" outlineLevel="0" collapsed="false">
      <c r="A14" s="15" t="s">
        <v>204</v>
      </c>
      <c r="B14" s="17" t="s">
        <v>143</v>
      </c>
      <c r="C14" s="15" t="n">
        <v>1</v>
      </c>
      <c r="D14" s="15" t="s">
        <v>164</v>
      </c>
      <c r="E14" s="17" t="s">
        <v>200</v>
      </c>
      <c r="F14" s="15" t="n">
        <v>2009</v>
      </c>
      <c r="G14" s="15" t="n">
        <v>2026</v>
      </c>
      <c r="H14" s="15" t="n">
        <v>2</v>
      </c>
      <c r="I14" s="15" t="n">
        <v>3000</v>
      </c>
      <c r="J14" s="15" t="s">
        <v>166</v>
      </c>
      <c r="K14" s="15" t="s">
        <v>120</v>
      </c>
      <c r="L14" s="17"/>
      <c r="M14" s="15" t="s">
        <v>205</v>
      </c>
      <c r="N14" s="15" t="s">
        <v>206</v>
      </c>
    </row>
    <row r="15" customFormat="false" ht="15" hidden="false" customHeight="false" outlineLevel="0" collapsed="false">
      <c r="A15" s="15" t="s">
        <v>207</v>
      </c>
      <c r="B15" s="17" t="s">
        <v>142</v>
      </c>
      <c r="C15" s="15" t="n">
        <v>1</v>
      </c>
      <c r="D15" s="15" t="s">
        <v>164</v>
      </c>
      <c r="E15" s="17" t="s">
        <v>208</v>
      </c>
      <c r="F15" s="15" t="n">
        <v>2009</v>
      </c>
      <c r="G15" s="15" t="n">
        <v>2010</v>
      </c>
      <c r="H15" s="15" t="n">
        <v>2</v>
      </c>
      <c r="I15" s="15" t="n">
        <v>500</v>
      </c>
      <c r="J15" s="15" t="s">
        <v>166</v>
      </c>
      <c r="K15" s="15" t="s">
        <v>120</v>
      </c>
      <c r="L15" s="17"/>
      <c r="M15" s="15" t="s">
        <v>209</v>
      </c>
      <c r="N15" s="15" t="s">
        <v>210</v>
      </c>
    </row>
    <row r="16" customFormat="false" ht="28.35" hidden="false" customHeight="false" outlineLevel="0" collapsed="false">
      <c r="A16" s="15" t="s">
        <v>211</v>
      </c>
      <c r="B16" s="17" t="s">
        <v>212</v>
      </c>
      <c r="C16" s="15" t="n">
        <v>2</v>
      </c>
      <c r="D16" s="15" t="s">
        <v>170</v>
      </c>
      <c r="E16" s="17" t="s">
        <v>213</v>
      </c>
      <c r="F16" s="15" t="n">
        <v>2010</v>
      </c>
      <c r="G16" s="15" t="n">
        <v>2018</v>
      </c>
      <c r="H16" s="15" t="n">
        <v>7</v>
      </c>
      <c r="I16" s="15" t="n">
        <v>1000</v>
      </c>
      <c r="J16" s="15" t="s">
        <v>201</v>
      </c>
      <c r="K16" s="15" t="s">
        <v>120</v>
      </c>
      <c r="L16" s="17"/>
      <c r="M16" s="15" t="s">
        <v>214</v>
      </c>
      <c r="N16" s="15" t="s">
        <v>215</v>
      </c>
    </row>
    <row r="17" customFormat="false" ht="41.75" hidden="false" customHeight="false" outlineLevel="0" collapsed="false">
      <c r="A17" s="15" t="s">
        <v>216</v>
      </c>
      <c r="B17" s="17" t="s">
        <v>194</v>
      </c>
      <c r="C17" s="15" t="n">
        <v>3</v>
      </c>
      <c r="D17" s="15" t="s">
        <v>170</v>
      </c>
      <c r="E17" s="17" t="s">
        <v>217</v>
      </c>
      <c r="F17" s="15" t="n">
        <v>2010</v>
      </c>
      <c r="G17" s="15" t="n">
        <v>2026</v>
      </c>
      <c r="H17" s="15" t="n">
        <v>7</v>
      </c>
      <c r="I17" s="15" t="n">
        <v>37000</v>
      </c>
      <c r="J17" s="15" t="s">
        <v>166</v>
      </c>
      <c r="K17" s="15" t="s">
        <v>120</v>
      </c>
      <c r="L17" s="17"/>
      <c r="M17" s="15" t="s">
        <v>218</v>
      </c>
      <c r="N17" s="15" t="s">
        <v>219</v>
      </c>
    </row>
    <row r="18" customFormat="false" ht="15" hidden="false" customHeight="false" outlineLevel="0" collapsed="false">
      <c r="A18" s="15" t="s">
        <v>220</v>
      </c>
      <c r="B18" s="17" t="s">
        <v>143</v>
      </c>
      <c r="C18" s="15" t="n">
        <v>1</v>
      </c>
      <c r="D18" s="15" t="s">
        <v>164</v>
      </c>
      <c r="E18" s="17" t="s">
        <v>200</v>
      </c>
      <c r="F18" s="15" t="n">
        <v>2010</v>
      </c>
      <c r="G18" s="15" t="n">
        <v>2026</v>
      </c>
      <c r="H18" s="15" t="n">
        <v>2</v>
      </c>
      <c r="I18" s="15" t="n">
        <v>11000</v>
      </c>
      <c r="J18" s="15" t="s">
        <v>166</v>
      </c>
      <c r="K18" s="15" t="s">
        <v>120</v>
      </c>
      <c r="L18" s="17"/>
      <c r="M18" s="15" t="s">
        <v>221</v>
      </c>
      <c r="N18" s="15" t="s">
        <v>222</v>
      </c>
    </row>
    <row r="19" customFormat="false" ht="15" hidden="false" customHeight="false" outlineLevel="0" collapsed="false">
      <c r="A19" s="15" t="s">
        <v>223</v>
      </c>
      <c r="B19" s="17" t="s">
        <v>143</v>
      </c>
      <c r="C19" s="15" t="n">
        <v>1</v>
      </c>
      <c r="D19" s="15" t="s">
        <v>164</v>
      </c>
      <c r="E19" s="17" t="s">
        <v>224</v>
      </c>
      <c r="F19" s="15" t="n">
        <v>2010</v>
      </c>
      <c r="G19" s="15" t="n">
        <v>2010</v>
      </c>
      <c r="H19" s="15" t="n">
        <v>1</v>
      </c>
      <c r="I19" s="15" t="n">
        <v>500</v>
      </c>
      <c r="J19" s="15" t="s">
        <v>225</v>
      </c>
      <c r="K19" s="15" t="s">
        <v>120</v>
      </c>
      <c r="L19" s="17"/>
      <c r="M19" s="15" t="s">
        <v>226</v>
      </c>
      <c r="N19" s="15" t="s">
        <v>227</v>
      </c>
    </row>
    <row r="20" customFormat="false" ht="28.35" hidden="false" customHeight="false" outlineLevel="0" collapsed="false">
      <c r="A20" s="15" t="s">
        <v>228</v>
      </c>
      <c r="B20" s="17" t="s">
        <v>143</v>
      </c>
      <c r="C20" s="15" t="n">
        <v>1</v>
      </c>
      <c r="D20" s="15" t="s">
        <v>170</v>
      </c>
      <c r="E20" s="17" t="s">
        <v>229</v>
      </c>
      <c r="F20" s="15" t="n">
        <v>2010</v>
      </c>
      <c r="G20" s="15" t="n">
        <v>2018</v>
      </c>
      <c r="H20" s="15" t="n">
        <v>2</v>
      </c>
      <c r="I20" s="15" t="n">
        <v>500</v>
      </c>
      <c r="J20" s="15" t="s">
        <v>166</v>
      </c>
      <c r="K20" s="15" t="s">
        <v>120</v>
      </c>
      <c r="L20" s="17"/>
      <c r="M20" s="15" t="s">
        <v>230</v>
      </c>
      <c r="N20" s="15" t="s">
        <v>231</v>
      </c>
    </row>
    <row r="21" customFormat="false" ht="41.75" hidden="false" customHeight="false" outlineLevel="0" collapsed="false">
      <c r="A21" s="15" t="s">
        <v>232</v>
      </c>
      <c r="B21" s="17" t="s">
        <v>233</v>
      </c>
      <c r="C21" s="15" t="n">
        <v>2</v>
      </c>
      <c r="D21" s="15" t="s">
        <v>170</v>
      </c>
      <c r="E21" s="17" t="s">
        <v>234</v>
      </c>
      <c r="F21" s="15" t="n">
        <v>2010</v>
      </c>
      <c r="G21" s="15" t="n">
        <v>2024</v>
      </c>
      <c r="H21" s="15" t="n">
        <v>14</v>
      </c>
      <c r="I21" s="15" t="n">
        <v>66000</v>
      </c>
      <c r="J21" s="15" t="s">
        <v>201</v>
      </c>
      <c r="K21" s="15" t="s">
        <v>120</v>
      </c>
      <c r="L21" s="17"/>
      <c r="M21" s="15" t="s">
        <v>235</v>
      </c>
      <c r="N21" s="15" t="s">
        <v>236</v>
      </c>
    </row>
    <row r="22" customFormat="false" ht="28.35" hidden="false" customHeight="false" outlineLevel="0" collapsed="false">
      <c r="A22" s="15" t="s">
        <v>237</v>
      </c>
      <c r="B22" s="17" t="s">
        <v>238</v>
      </c>
      <c r="C22" s="15" t="n">
        <v>2</v>
      </c>
      <c r="D22" s="15" t="s">
        <v>164</v>
      </c>
      <c r="E22" s="17" t="s">
        <v>208</v>
      </c>
      <c r="F22" s="15" t="n">
        <v>2010</v>
      </c>
      <c r="G22" s="15" t="n">
        <v>2010</v>
      </c>
      <c r="H22" s="15" t="n">
        <v>2</v>
      </c>
      <c r="I22" s="15" t="n">
        <v>1000</v>
      </c>
      <c r="J22" s="15" t="s">
        <v>195</v>
      </c>
      <c r="K22" s="15" t="s">
        <v>122</v>
      </c>
      <c r="L22" s="17" t="s">
        <v>239</v>
      </c>
      <c r="M22" s="15" t="s">
        <v>240</v>
      </c>
      <c r="N22" s="15" t="s">
        <v>241</v>
      </c>
    </row>
    <row r="23" customFormat="false" ht="68.65" hidden="false" customHeight="false" outlineLevel="0" collapsed="false">
      <c r="A23" s="15" t="s">
        <v>242</v>
      </c>
      <c r="B23" s="17" t="s">
        <v>137</v>
      </c>
      <c r="C23" s="15" t="n">
        <v>1</v>
      </c>
      <c r="D23" s="15" t="s">
        <v>170</v>
      </c>
      <c r="E23" s="17" t="s">
        <v>243</v>
      </c>
      <c r="F23" s="15" t="n">
        <v>2010</v>
      </c>
      <c r="G23" s="15" t="n">
        <v>2026</v>
      </c>
      <c r="H23" s="15" t="n">
        <v>19</v>
      </c>
      <c r="I23" s="15" t="n">
        <v>16000</v>
      </c>
      <c r="J23" s="15" t="s">
        <v>166</v>
      </c>
      <c r="K23" s="15" t="s">
        <v>120</v>
      </c>
      <c r="L23" s="17"/>
      <c r="M23" s="15" t="s">
        <v>244</v>
      </c>
      <c r="N23" s="15" t="s">
        <v>245</v>
      </c>
    </row>
    <row r="24" customFormat="false" ht="15" hidden="false" customHeight="false" outlineLevel="0" collapsed="false">
      <c r="A24" s="15" t="s">
        <v>246</v>
      </c>
      <c r="B24" s="17" t="s">
        <v>137</v>
      </c>
      <c r="C24" s="15" t="n">
        <v>1</v>
      </c>
      <c r="D24" s="15" t="s">
        <v>164</v>
      </c>
      <c r="E24" s="17" t="s">
        <v>247</v>
      </c>
      <c r="F24" s="15" t="n">
        <v>2010</v>
      </c>
      <c r="G24" s="15" t="n">
        <v>2018</v>
      </c>
      <c r="H24" s="15" t="n">
        <v>5</v>
      </c>
      <c r="I24" s="15" t="n">
        <v>27000</v>
      </c>
      <c r="J24" s="15" t="s">
        <v>201</v>
      </c>
      <c r="K24" s="15" t="s">
        <v>120</v>
      </c>
      <c r="L24" s="17"/>
      <c r="M24" s="15" t="s">
        <v>248</v>
      </c>
      <c r="N24" s="15" t="s">
        <v>249</v>
      </c>
    </row>
    <row r="25" customFormat="false" ht="28.35" hidden="false" customHeight="false" outlineLevel="0" collapsed="false">
      <c r="A25" s="15" t="s">
        <v>250</v>
      </c>
      <c r="B25" s="17" t="s">
        <v>251</v>
      </c>
      <c r="C25" s="15" t="n">
        <v>4</v>
      </c>
      <c r="D25" s="15" t="s">
        <v>164</v>
      </c>
      <c r="E25" s="17" t="s">
        <v>247</v>
      </c>
      <c r="F25" s="15" t="n">
        <v>2010</v>
      </c>
      <c r="G25" s="15" t="n">
        <v>2018</v>
      </c>
      <c r="H25" s="15" t="n">
        <v>5</v>
      </c>
      <c r="I25" s="15" t="n">
        <v>2000</v>
      </c>
      <c r="J25" s="15" t="s">
        <v>166</v>
      </c>
      <c r="K25" s="15" t="s">
        <v>120</v>
      </c>
      <c r="L25" s="17"/>
      <c r="M25" s="15" t="s">
        <v>252</v>
      </c>
      <c r="N25" s="15" t="s">
        <v>253</v>
      </c>
    </row>
    <row r="26" customFormat="false" ht="41.75" hidden="false" customHeight="false" outlineLevel="0" collapsed="false">
      <c r="A26" s="15" t="s">
        <v>254</v>
      </c>
      <c r="B26" s="17" t="s">
        <v>255</v>
      </c>
      <c r="C26" s="15" t="n">
        <v>5</v>
      </c>
      <c r="D26" s="15" t="s">
        <v>164</v>
      </c>
      <c r="E26" s="17" t="s">
        <v>208</v>
      </c>
      <c r="F26" s="15" t="n">
        <v>2010</v>
      </c>
      <c r="G26" s="15" t="n">
        <v>2010</v>
      </c>
      <c r="H26" s="15" t="n">
        <v>1</v>
      </c>
      <c r="I26" s="15" t="n">
        <v>1000</v>
      </c>
      <c r="J26" s="15" t="s">
        <v>195</v>
      </c>
      <c r="K26" s="15" t="s">
        <v>122</v>
      </c>
      <c r="L26" s="17" t="s">
        <v>256</v>
      </c>
      <c r="M26" s="15" t="s">
        <v>257</v>
      </c>
      <c r="N26" s="15" t="s">
        <v>258</v>
      </c>
    </row>
    <row r="27" customFormat="false" ht="41.75" hidden="false" customHeight="false" outlineLevel="0" collapsed="false">
      <c r="A27" s="15" t="s">
        <v>259</v>
      </c>
      <c r="B27" s="17" t="s">
        <v>255</v>
      </c>
      <c r="C27" s="15" t="n">
        <v>5</v>
      </c>
      <c r="D27" s="15" t="s">
        <v>164</v>
      </c>
      <c r="E27" s="17" t="s">
        <v>260</v>
      </c>
      <c r="F27" s="15" t="n">
        <v>2010</v>
      </c>
      <c r="G27" s="15" t="n">
        <v>2010</v>
      </c>
      <c r="H27" s="15" t="n">
        <v>1</v>
      </c>
      <c r="I27" s="15" t="n">
        <v>250</v>
      </c>
      <c r="J27" s="15" t="s">
        <v>225</v>
      </c>
      <c r="K27" s="15" t="s">
        <v>120</v>
      </c>
      <c r="L27" s="17"/>
      <c r="M27" s="15" t="s">
        <v>261</v>
      </c>
      <c r="N27" s="15" t="s">
        <v>262</v>
      </c>
    </row>
    <row r="28" customFormat="false" ht="55.2" hidden="false" customHeight="false" outlineLevel="0" collapsed="false">
      <c r="A28" s="15" t="s">
        <v>263</v>
      </c>
      <c r="B28" s="17" t="s">
        <v>251</v>
      </c>
      <c r="C28" s="15" t="n">
        <v>4</v>
      </c>
      <c r="D28" s="15" t="s">
        <v>170</v>
      </c>
      <c r="E28" s="17" t="s">
        <v>264</v>
      </c>
      <c r="F28" s="15" t="n">
        <v>2011</v>
      </c>
      <c r="G28" s="15" t="n">
        <v>2026</v>
      </c>
      <c r="H28" s="15" t="n">
        <v>7</v>
      </c>
      <c r="I28" s="15" t="n">
        <v>5000</v>
      </c>
      <c r="J28" s="15" t="s">
        <v>166</v>
      </c>
      <c r="K28" s="15" t="s">
        <v>120</v>
      </c>
      <c r="L28" s="17"/>
      <c r="M28" s="15" t="s">
        <v>265</v>
      </c>
      <c r="N28" s="15" t="s">
        <v>266</v>
      </c>
    </row>
    <row r="29" customFormat="false" ht="28.35" hidden="false" customHeight="false" outlineLevel="0" collapsed="false">
      <c r="A29" s="15" t="s">
        <v>267</v>
      </c>
      <c r="B29" s="17" t="s">
        <v>268</v>
      </c>
      <c r="C29" s="15" t="n">
        <v>4</v>
      </c>
      <c r="D29" s="15" t="s">
        <v>164</v>
      </c>
      <c r="E29" s="17" t="s">
        <v>269</v>
      </c>
      <c r="F29" s="15" t="n">
        <v>2012</v>
      </c>
      <c r="G29" s="15" t="n">
        <v>2024</v>
      </c>
      <c r="H29" s="15" t="n">
        <v>7</v>
      </c>
      <c r="I29" s="15" t="n">
        <v>23000</v>
      </c>
      <c r="J29" s="15" t="s">
        <v>166</v>
      </c>
      <c r="K29" s="15" t="s">
        <v>120</v>
      </c>
      <c r="L29" s="17"/>
      <c r="M29" s="15" t="s">
        <v>270</v>
      </c>
      <c r="N29" s="15" t="s">
        <v>271</v>
      </c>
    </row>
    <row r="30" customFormat="false" ht="41.75" hidden="false" customHeight="false" outlineLevel="0" collapsed="false">
      <c r="A30" s="15" t="s">
        <v>272</v>
      </c>
      <c r="B30" s="17" t="s">
        <v>273</v>
      </c>
      <c r="C30" s="15" t="n">
        <v>4</v>
      </c>
      <c r="D30" s="15" t="s">
        <v>164</v>
      </c>
      <c r="E30" s="17" t="s">
        <v>274</v>
      </c>
      <c r="F30" s="15" t="n">
        <v>2012</v>
      </c>
      <c r="G30" s="15" t="n">
        <v>2024</v>
      </c>
      <c r="H30" s="15" t="n">
        <v>9</v>
      </c>
      <c r="I30" s="15" t="n">
        <v>4000</v>
      </c>
      <c r="J30" s="15" t="s">
        <v>166</v>
      </c>
      <c r="K30" s="15" t="s">
        <v>120</v>
      </c>
      <c r="L30" s="17"/>
      <c r="M30" s="15" t="s">
        <v>275</v>
      </c>
      <c r="N30" s="15" t="s">
        <v>276</v>
      </c>
    </row>
    <row r="31" customFormat="false" ht="28.35" hidden="false" customHeight="false" outlineLevel="0" collapsed="false">
      <c r="A31" s="15" t="s">
        <v>277</v>
      </c>
      <c r="B31" s="17" t="s">
        <v>278</v>
      </c>
      <c r="C31" s="15" t="n">
        <v>3</v>
      </c>
      <c r="D31" s="15" t="s">
        <v>164</v>
      </c>
      <c r="E31" s="17" t="s">
        <v>279</v>
      </c>
      <c r="F31" s="15" t="n">
        <v>2012</v>
      </c>
      <c r="G31" s="15" t="n">
        <v>2018</v>
      </c>
      <c r="H31" s="15" t="n">
        <v>6</v>
      </c>
      <c r="I31" s="15" t="n">
        <v>7000</v>
      </c>
      <c r="J31" s="15" t="s">
        <v>166</v>
      </c>
      <c r="K31" s="15" t="s">
        <v>120</v>
      </c>
      <c r="L31" s="17"/>
      <c r="M31" s="15" t="s">
        <v>280</v>
      </c>
      <c r="N31" s="15" t="s">
        <v>281</v>
      </c>
    </row>
    <row r="32" customFormat="false" ht="41.75" hidden="false" customHeight="false" outlineLevel="0" collapsed="false">
      <c r="A32" s="15" t="s">
        <v>282</v>
      </c>
      <c r="B32" s="17" t="s">
        <v>143</v>
      </c>
      <c r="C32" s="15" t="n">
        <v>1</v>
      </c>
      <c r="D32" s="15" t="s">
        <v>170</v>
      </c>
      <c r="E32" s="17" t="s">
        <v>283</v>
      </c>
      <c r="F32" s="15" t="n">
        <v>2012</v>
      </c>
      <c r="G32" s="15" t="n">
        <v>2024</v>
      </c>
      <c r="H32" s="15" t="n">
        <v>11</v>
      </c>
      <c r="I32" s="15" t="n">
        <v>23000</v>
      </c>
      <c r="J32" s="15" t="s">
        <v>166</v>
      </c>
      <c r="K32" s="15" t="s">
        <v>120</v>
      </c>
      <c r="L32" s="17"/>
      <c r="M32" s="15" t="s">
        <v>284</v>
      </c>
      <c r="N32" s="15" t="s">
        <v>285</v>
      </c>
    </row>
    <row r="33" customFormat="false" ht="55.2" hidden="false" customHeight="false" outlineLevel="0" collapsed="false">
      <c r="A33" s="15" t="s">
        <v>286</v>
      </c>
      <c r="B33" s="17" t="s">
        <v>255</v>
      </c>
      <c r="C33" s="15" t="n">
        <v>5</v>
      </c>
      <c r="D33" s="15" t="s">
        <v>170</v>
      </c>
      <c r="E33" s="17" t="s">
        <v>287</v>
      </c>
      <c r="F33" s="15" t="n">
        <v>2012</v>
      </c>
      <c r="G33" s="15" t="n">
        <v>2025</v>
      </c>
      <c r="H33" s="15" t="n">
        <v>10</v>
      </c>
      <c r="I33" s="15" t="n">
        <v>4000</v>
      </c>
      <c r="J33" s="15" t="s">
        <v>166</v>
      </c>
      <c r="K33" s="15" t="s">
        <v>120</v>
      </c>
      <c r="L33" s="17"/>
      <c r="M33" s="15" t="s">
        <v>288</v>
      </c>
      <c r="N33" s="15" t="s">
        <v>289</v>
      </c>
    </row>
    <row r="34" customFormat="false" ht="28.35" hidden="false" customHeight="false" outlineLevel="0" collapsed="false">
      <c r="A34" s="15" t="s">
        <v>290</v>
      </c>
      <c r="B34" s="17" t="s">
        <v>142</v>
      </c>
      <c r="C34" s="15" t="n">
        <v>1</v>
      </c>
      <c r="D34" s="15" t="s">
        <v>170</v>
      </c>
      <c r="E34" s="17" t="s">
        <v>291</v>
      </c>
      <c r="F34" s="15" t="n">
        <v>2012</v>
      </c>
      <c r="G34" s="15" t="n">
        <v>2022</v>
      </c>
      <c r="H34" s="15" t="n">
        <v>8</v>
      </c>
      <c r="I34" s="15" t="n">
        <v>1000</v>
      </c>
      <c r="J34" s="15" t="s">
        <v>166</v>
      </c>
      <c r="K34" s="15" t="s">
        <v>120</v>
      </c>
      <c r="L34" s="17"/>
      <c r="M34" s="15" t="s">
        <v>292</v>
      </c>
      <c r="N34" s="15" t="s">
        <v>293</v>
      </c>
    </row>
    <row r="35" customFormat="false" ht="28.35" hidden="false" customHeight="false" outlineLevel="0" collapsed="false">
      <c r="A35" s="15" t="s">
        <v>294</v>
      </c>
      <c r="B35" s="17" t="s">
        <v>295</v>
      </c>
      <c r="C35" s="15" t="n">
        <v>2</v>
      </c>
      <c r="D35" s="15" t="s">
        <v>164</v>
      </c>
      <c r="E35" s="17" t="s">
        <v>296</v>
      </c>
      <c r="F35" s="15" t="n">
        <v>2012</v>
      </c>
      <c r="G35" s="15" t="n">
        <v>2018</v>
      </c>
      <c r="H35" s="15" t="n">
        <v>11</v>
      </c>
      <c r="I35" s="15" t="n">
        <v>6000</v>
      </c>
      <c r="J35" s="15" t="s">
        <v>166</v>
      </c>
      <c r="K35" s="15" t="s">
        <v>120</v>
      </c>
      <c r="L35" s="17"/>
      <c r="M35" s="15" t="s">
        <v>297</v>
      </c>
      <c r="N35" s="15" t="s">
        <v>298</v>
      </c>
    </row>
    <row r="36" customFormat="false" ht="41.75" hidden="false" customHeight="false" outlineLevel="0" collapsed="false">
      <c r="A36" s="15" t="s">
        <v>299</v>
      </c>
      <c r="B36" s="17" t="s">
        <v>142</v>
      </c>
      <c r="C36" s="15" t="n">
        <v>1</v>
      </c>
      <c r="D36" s="15" t="s">
        <v>170</v>
      </c>
      <c r="E36" s="17" t="s">
        <v>300</v>
      </c>
      <c r="F36" s="15" t="n">
        <v>2012</v>
      </c>
      <c r="G36" s="15" t="n">
        <v>2026</v>
      </c>
      <c r="H36" s="15" t="n">
        <v>5</v>
      </c>
      <c r="I36" s="15" t="n">
        <v>1000</v>
      </c>
      <c r="J36" s="15" t="s">
        <v>166</v>
      </c>
      <c r="K36" s="15" t="s">
        <v>120</v>
      </c>
      <c r="L36" s="17"/>
      <c r="M36" s="15" t="s">
        <v>301</v>
      </c>
      <c r="N36" s="15" t="s">
        <v>302</v>
      </c>
    </row>
    <row r="37" customFormat="false" ht="41.75" hidden="false" customHeight="false" outlineLevel="0" collapsed="false">
      <c r="A37" s="15" t="s">
        <v>303</v>
      </c>
      <c r="B37" s="17" t="s">
        <v>304</v>
      </c>
      <c r="C37" s="15" t="n">
        <v>5</v>
      </c>
      <c r="D37" s="15" t="s">
        <v>164</v>
      </c>
      <c r="E37" s="17" t="s">
        <v>305</v>
      </c>
      <c r="F37" s="15" t="n">
        <v>2012</v>
      </c>
      <c r="G37" s="15" t="n">
        <v>2026</v>
      </c>
      <c r="H37" s="15" t="n">
        <v>2</v>
      </c>
      <c r="I37" s="15" t="n">
        <v>250</v>
      </c>
      <c r="J37" s="15" t="s">
        <v>166</v>
      </c>
      <c r="K37" s="15" t="s">
        <v>120</v>
      </c>
      <c r="L37" s="17"/>
      <c r="M37" s="15" t="s">
        <v>306</v>
      </c>
      <c r="N37" s="15" t="s">
        <v>307</v>
      </c>
    </row>
    <row r="38" customFormat="false" ht="15" hidden="false" customHeight="false" outlineLevel="0" collapsed="false">
      <c r="A38" s="15" t="s">
        <v>308</v>
      </c>
      <c r="B38" s="17" t="s">
        <v>143</v>
      </c>
      <c r="C38" s="15" t="n">
        <v>1</v>
      </c>
      <c r="D38" s="15" t="s">
        <v>164</v>
      </c>
      <c r="E38" s="17" t="s">
        <v>279</v>
      </c>
      <c r="F38" s="15" t="n">
        <v>2012</v>
      </c>
      <c r="G38" s="15" t="n">
        <v>2012</v>
      </c>
      <c r="H38" s="15" t="n">
        <v>1</v>
      </c>
      <c r="I38" s="15" t="n">
        <v>500</v>
      </c>
      <c r="J38" s="15" t="s">
        <v>225</v>
      </c>
      <c r="K38" s="15" t="s">
        <v>120</v>
      </c>
      <c r="L38" s="17"/>
      <c r="M38" s="15" t="s">
        <v>309</v>
      </c>
      <c r="N38" s="15" t="s">
        <v>310</v>
      </c>
    </row>
    <row r="39" customFormat="false" ht="41.75" hidden="false" customHeight="false" outlineLevel="0" collapsed="false">
      <c r="A39" s="15" t="s">
        <v>311</v>
      </c>
      <c r="B39" s="17" t="s">
        <v>312</v>
      </c>
      <c r="C39" s="15" t="n">
        <v>6</v>
      </c>
      <c r="D39" s="15" t="s">
        <v>164</v>
      </c>
      <c r="E39" s="17" t="s">
        <v>260</v>
      </c>
      <c r="F39" s="15" t="n">
        <v>2014</v>
      </c>
      <c r="G39" s="15" t="n">
        <v>2014</v>
      </c>
      <c r="H39" s="15" t="n">
        <v>1</v>
      </c>
      <c r="I39" s="15" t="n">
        <v>250</v>
      </c>
      <c r="J39" s="15" t="s">
        <v>195</v>
      </c>
      <c r="K39" s="15" t="s">
        <v>122</v>
      </c>
      <c r="L39" s="17" t="s">
        <v>313</v>
      </c>
      <c r="M39" s="15" t="s">
        <v>314</v>
      </c>
      <c r="N39" s="15" t="s">
        <v>315</v>
      </c>
    </row>
    <row r="40" customFormat="false" ht="28.35" hidden="false" customHeight="false" outlineLevel="0" collapsed="false">
      <c r="A40" s="15" t="s">
        <v>316</v>
      </c>
      <c r="B40" s="17" t="s">
        <v>317</v>
      </c>
      <c r="C40" s="15" t="n">
        <v>2</v>
      </c>
      <c r="D40" s="15" t="s">
        <v>170</v>
      </c>
      <c r="E40" s="17" t="s">
        <v>318</v>
      </c>
      <c r="F40" s="15" t="n">
        <v>2014</v>
      </c>
      <c r="G40" s="15" t="n">
        <v>2024</v>
      </c>
      <c r="H40" s="15" t="n">
        <v>8</v>
      </c>
      <c r="I40" s="15" t="n">
        <v>5000</v>
      </c>
      <c r="J40" s="15" t="s">
        <v>166</v>
      </c>
      <c r="K40" s="15" t="s">
        <v>120</v>
      </c>
      <c r="L40" s="17"/>
      <c r="M40" s="15" t="s">
        <v>319</v>
      </c>
      <c r="N40" s="15" t="s">
        <v>320</v>
      </c>
    </row>
    <row r="41" customFormat="false" ht="15" hidden="false" customHeight="false" outlineLevel="0" collapsed="false">
      <c r="A41" s="15" t="s">
        <v>321</v>
      </c>
      <c r="B41" s="17" t="s">
        <v>143</v>
      </c>
      <c r="C41" s="15" t="n">
        <v>1</v>
      </c>
      <c r="D41" s="15" t="s">
        <v>164</v>
      </c>
      <c r="E41" s="17" t="s">
        <v>260</v>
      </c>
      <c r="F41" s="15" t="n">
        <v>2014</v>
      </c>
      <c r="G41" s="15" t="n">
        <v>2014</v>
      </c>
      <c r="H41" s="15" t="n">
        <v>1</v>
      </c>
      <c r="I41" s="15" t="n">
        <v>1000</v>
      </c>
      <c r="J41" s="15" t="s">
        <v>166</v>
      </c>
      <c r="K41" s="15" t="s">
        <v>120</v>
      </c>
      <c r="L41" s="17"/>
      <c r="M41" s="15" t="s">
        <v>322</v>
      </c>
      <c r="N41" s="15" t="s">
        <v>323</v>
      </c>
    </row>
    <row r="42" customFormat="false" ht="41.75" hidden="false" customHeight="false" outlineLevel="0" collapsed="false">
      <c r="A42" s="15" t="s">
        <v>324</v>
      </c>
      <c r="B42" s="17" t="s">
        <v>325</v>
      </c>
      <c r="C42" s="15" t="n">
        <v>5</v>
      </c>
      <c r="D42" s="15" t="s">
        <v>164</v>
      </c>
      <c r="E42" s="17" t="s">
        <v>260</v>
      </c>
      <c r="F42" s="15" t="n">
        <v>2014</v>
      </c>
      <c r="G42" s="15" t="n">
        <v>2014</v>
      </c>
      <c r="H42" s="15" t="n">
        <v>1</v>
      </c>
      <c r="I42" s="15" t="n">
        <v>250</v>
      </c>
      <c r="J42" s="15" t="s">
        <v>166</v>
      </c>
      <c r="K42" s="15" t="s">
        <v>120</v>
      </c>
      <c r="L42" s="17"/>
      <c r="M42" s="15" t="s">
        <v>326</v>
      </c>
      <c r="N42" s="15" t="s">
        <v>327</v>
      </c>
    </row>
    <row r="43" customFormat="false" ht="15" hidden="false" customHeight="false" outlineLevel="0" collapsed="false">
      <c r="A43" s="15" t="s">
        <v>328</v>
      </c>
      <c r="B43" s="17" t="s">
        <v>139</v>
      </c>
      <c r="C43" s="15" t="n">
        <v>1</v>
      </c>
      <c r="D43" s="15" t="s">
        <v>164</v>
      </c>
      <c r="E43" s="17" t="s">
        <v>329</v>
      </c>
      <c r="F43" s="15" t="n">
        <v>2014</v>
      </c>
      <c r="G43" s="15" t="n">
        <v>2014</v>
      </c>
      <c r="H43" s="15" t="n">
        <v>1</v>
      </c>
      <c r="I43" s="15" t="n">
        <v>250</v>
      </c>
      <c r="J43" s="15" t="s">
        <v>166</v>
      </c>
      <c r="K43" s="15" t="s">
        <v>120</v>
      </c>
      <c r="L43" s="17"/>
      <c r="M43" s="15" t="s">
        <v>330</v>
      </c>
      <c r="N43" s="15" t="s">
        <v>331</v>
      </c>
    </row>
    <row r="44" customFormat="false" ht="28.35" hidden="false" customHeight="false" outlineLevel="0" collapsed="false">
      <c r="A44" s="15" t="s">
        <v>332</v>
      </c>
      <c r="B44" s="17" t="s">
        <v>333</v>
      </c>
      <c r="C44" s="15" t="n">
        <v>3</v>
      </c>
      <c r="D44" s="15" t="s">
        <v>164</v>
      </c>
      <c r="E44" s="17" t="s">
        <v>334</v>
      </c>
      <c r="F44" s="15" t="n">
        <v>2014</v>
      </c>
      <c r="G44" s="15" t="n">
        <v>2018</v>
      </c>
      <c r="H44" s="15" t="n">
        <v>5</v>
      </c>
      <c r="I44" s="15" t="n">
        <v>8000</v>
      </c>
      <c r="J44" s="15" t="s">
        <v>166</v>
      </c>
      <c r="K44" s="15" t="s">
        <v>120</v>
      </c>
      <c r="L44" s="17"/>
      <c r="M44" s="15" t="s">
        <v>335</v>
      </c>
      <c r="N44" s="15" t="s">
        <v>336</v>
      </c>
    </row>
    <row r="45" customFormat="false" ht="15" hidden="false" customHeight="false" outlineLevel="0" collapsed="false">
      <c r="A45" s="15" t="s">
        <v>337</v>
      </c>
      <c r="B45" s="17" t="s">
        <v>140</v>
      </c>
      <c r="C45" s="15" t="n">
        <v>1</v>
      </c>
      <c r="D45" s="15" t="s">
        <v>164</v>
      </c>
      <c r="E45" s="17" t="s">
        <v>260</v>
      </c>
      <c r="F45" s="15" t="n">
        <v>2014</v>
      </c>
      <c r="G45" s="15" t="n">
        <v>2014</v>
      </c>
      <c r="H45" s="15" t="n">
        <v>1</v>
      </c>
      <c r="I45" s="15" t="n">
        <v>250</v>
      </c>
      <c r="J45" s="15" t="s">
        <v>166</v>
      </c>
      <c r="K45" s="15" t="s">
        <v>120</v>
      </c>
      <c r="L45" s="17"/>
      <c r="M45" s="15" t="s">
        <v>338</v>
      </c>
      <c r="N45" s="15" t="s">
        <v>339</v>
      </c>
    </row>
    <row r="46" customFormat="false" ht="15" hidden="false" customHeight="false" outlineLevel="0" collapsed="false">
      <c r="A46" s="15" t="s">
        <v>340</v>
      </c>
      <c r="B46" s="17" t="s">
        <v>140</v>
      </c>
      <c r="C46" s="15" t="n">
        <v>1</v>
      </c>
      <c r="D46" s="15" t="s">
        <v>164</v>
      </c>
      <c r="E46" s="17" t="s">
        <v>224</v>
      </c>
      <c r="F46" s="15" t="n">
        <v>2014</v>
      </c>
      <c r="G46" s="15" t="n">
        <v>2015</v>
      </c>
      <c r="H46" s="15" t="n">
        <v>2</v>
      </c>
      <c r="I46" s="15" t="n">
        <v>750</v>
      </c>
      <c r="J46" s="15" t="s">
        <v>166</v>
      </c>
      <c r="K46" s="15" t="s">
        <v>120</v>
      </c>
      <c r="L46" s="17"/>
      <c r="M46" s="15" t="s">
        <v>341</v>
      </c>
      <c r="N46" s="15" t="s">
        <v>342</v>
      </c>
    </row>
    <row r="47" customFormat="false" ht="15" hidden="false" customHeight="false" outlineLevel="0" collapsed="false">
      <c r="A47" s="15" t="s">
        <v>343</v>
      </c>
      <c r="B47" s="17" t="s">
        <v>139</v>
      </c>
      <c r="C47" s="15" t="n">
        <v>1</v>
      </c>
      <c r="D47" s="15" t="s">
        <v>164</v>
      </c>
      <c r="E47" s="17" t="s">
        <v>279</v>
      </c>
      <c r="F47" s="15" t="n">
        <v>2015</v>
      </c>
      <c r="G47" s="15" t="n">
        <v>2017</v>
      </c>
      <c r="H47" s="15" t="n">
        <v>9</v>
      </c>
      <c r="I47" s="15" t="n">
        <v>2000</v>
      </c>
      <c r="J47" s="15" t="s">
        <v>166</v>
      </c>
      <c r="K47" s="15" t="s">
        <v>120</v>
      </c>
      <c r="L47" s="17"/>
      <c r="M47" s="15" t="s">
        <v>344</v>
      </c>
      <c r="N47" s="15" t="s">
        <v>345</v>
      </c>
    </row>
    <row r="48" customFormat="false" ht="28.35" hidden="false" customHeight="false" outlineLevel="0" collapsed="false">
      <c r="A48" s="15" t="s">
        <v>346</v>
      </c>
      <c r="B48" s="17" t="s">
        <v>347</v>
      </c>
      <c r="C48" s="15" t="n">
        <v>4</v>
      </c>
      <c r="D48" s="15" t="s">
        <v>164</v>
      </c>
      <c r="E48" s="17" t="s">
        <v>348</v>
      </c>
      <c r="F48" s="15" t="n">
        <v>2015</v>
      </c>
      <c r="G48" s="15" t="n">
        <v>2020</v>
      </c>
      <c r="H48" s="15" t="n">
        <v>3</v>
      </c>
      <c r="I48" s="15" t="n">
        <v>2000</v>
      </c>
      <c r="J48" s="15" t="s">
        <v>166</v>
      </c>
      <c r="K48" s="15" t="s">
        <v>120</v>
      </c>
      <c r="L48" s="17"/>
      <c r="M48" s="15" t="s">
        <v>349</v>
      </c>
      <c r="N48" s="15" t="s">
        <v>350</v>
      </c>
    </row>
    <row r="49" customFormat="false" ht="15" hidden="false" customHeight="false" outlineLevel="0" collapsed="false">
      <c r="A49" s="15" t="s">
        <v>351</v>
      </c>
      <c r="B49" s="17" t="s">
        <v>143</v>
      </c>
      <c r="C49" s="15" t="n">
        <v>1</v>
      </c>
      <c r="D49" s="15" t="s">
        <v>164</v>
      </c>
      <c r="E49" s="17" t="s">
        <v>165</v>
      </c>
      <c r="F49" s="15" t="n">
        <v>2016</v>
      </c>
      <c r="G49" s="15" t="n">
        <v>2016</v>
      </c>
      <c r="H49" s="15" t="n">
        <v>1</v>
      </c>
      <c r="I49" s="15" t="n">
        <v>250</v>
      </c>
      <c r="J49" s="15" t="s">
        <v>166</v>
      </c>
      <c r="K49" s="15" t="s">
        <v>120</v>
      </c>
      <c r="L49" s="17"/>
      <c r="M49" s="15" t="s">
        <v>352</v>
      </c>
      <c r="N49" s="15" t="s">
        <v>353</v>
      </c>
    </row>
    <row r="50" customFormat="false" ht="28.35" hidden="false" customHeight="false" outlineLevel="0" collapsed="false">
      <c r="A50" s="15" t="s">
        <v>354</v>
      </c>
      <c r="B50" s="17" t="s">
        <v>143</v>
      </c>
      <c r="C50" s="15" t="n">
        <v>1</v>
      </c>
      <c r="D50" s="15" t="s">
        <v>164</v>
      </c>
      <c r="E50" s="17" t="s">
        <v>355</v>
      </c>
      <c r="F50" s="15" t="n">
        <v>2016</v>
      </c>
      <c r="G50" s="15" t="n">
        <v>2018</v>
      </c>
      <c r="H50" s="15" t="n">
        <v>5</v>
      </c>
      <c r="I50" s="15" t="n">
        <v>5000</v>
      </c>
      <c r="J50" s="15" t="s">
        <v>166</v>
      </c>
      <c r="K50" s="15" t="s">
        <v>120</v>
      </c>
      <c r="L50" s="17"/>
      <c r="M50" s="15" t="s">
        <v>356</v>
      </c>
      <c r="N50" s="15" t="s">
        <v>357</v>
      </c>
    </row>
    <row r="51" customFormat="false" ht="41.75" hidden="false" customHeight="false" outlineLevel="0" collapsed="false">
      <c r="A51" s="15" t="s">
        <v>358</v>
      </c>
      <c r="B51" s="17" t="s">
        <v>325</v>
      </c>
      <c r="C51" s="15" t="n">
        <v>5</v>
      </c>
      <c r="D51" s="15" t="s">
        <v>164</v>
      </c>
      <c r="E51" s="17" t="s">
        <v>359</v>
      </c>
      <c r="F51" s="15" t="n">
        <v>2016</v>
      </c>
      <c r="G51" s="15" t="n">
        <v>2024</v>
      </c>
      <c r="H51" s="15" t="n">
        <v>2</v>
      </c>
      <c r="I51" s="15" t="n">
        <v>2000</v>
      </c>
      <c r="J51" s="15" t="s">
        <v>166</v>
      </c>
      <c r="K51" s="15" t="s">
        <v>120</v>
      </c>
      <c r="L51" s="17"/>
      <c r="M51" s="15" t="s">
        <v>360</v>
      </c>
      <c r="N51" s="15" t="s">
        <v>361</v>
      </c>
    </row>
    <row r="52" customFormat="false" ht="28.35" hidden="false" customHeight="false" outlineLevel="0" collapsed="false">
      <c r="A52" s="15" t="s">
        <v>362</v>
      </c>
      <c r="B52" s="17" t="s">
        <v>139</v>
      </c>
      <c r="C52" s="15" t="n">
        <v>1</v>
      </c>
      <c r="D52" s="15" t="s">
        <v>164</v>
      </c>
      <c r="E52" s="17" t="s">
        <v>296</v>
      </c>
      <c r="F52" s="15" t="n">
        <v>2016</v>
      </c>
      <c r="G52" s="15" t="n">
        <v>2018</v>
      </c>
      <c r="H52" s="15" t="n">
        <v>4</v>
      </c>
      <c r="I52" s="15" t="n">
        <v>1000</v>
      </c>
      <c r="J52" s="15" t="s">
        <v>166</v>
      </c>
      <c r="K52" s="15" t="s">
        <v>120</v>
      </c>
      <c r="L52" s="17"/>
      <c r="M52" s="15" t="s">
        <v>363</v>
      </c>
      <c r="N52" s="15" t="s">
        <v>364</v>
      </c>
    </row>
    <row r="53" customFormat="false" ht="15" hidden="false" customHeight="false" outlineLevel="0" collapsed="false">
      <c r="A53" s="15" t="s">
        <v>365</v>
      </c>
      <c r="B53" s="17" t="s">
        <v>140</v>
      </c>
      <c r="C53" s="15" t="n">
        <v>1</v>
      </c>
      <c r="D53" s="15" t="s">
        <v>164</v>
      </c>
      <c r="E53" s="17" t="s">
        <v>366</v>
      </c>
      <c r="F53" s="15" t="n">
        <v>2016</v>
      </c>
      <c r="G53" s="15" t="n">
        <v>2016</v>
      </c>
      <c r="H53" s="15" t="n">
        <v>1</v>
      </c>
      <c r="I53" s="15" t="n">
        <v>250</v>
      </c>
      <c r="J53" s="15" t="s">
        <v>166</v>
      </c>
      <c r="K53" s="15" t="s">
        <v>120</v>
      </c>
      <c r="L53" s="17"/>
      <c r="M53" s="15" t="s">
        <v>367</v>
      </c>
      <c r="N53" s="15" t="s">
        <v>368</v>
      </c>
    </row>
    <row r="54" customFormat="false" ht="15" hidden="false" customHeight="false" outlineLevel="0" collapsed="false">
      <c r="A54" s="15" t="s">
        <v>369</v>
      </c>
      <c r="B54" s="17" t="s">
        <v>141</v>
      </c>
      <c r="C54" s="15" t="n">
        <v>1</v>
      </c>
      <c r="D54" s="15" t="s">
        <v>164</v>
      </c>
      <c r="E54" s="17" t="s">
        <v>279</v>
      </c>
      <c r="F54" s="15" t="n">
        <v>2016</v>
      </c>
      <c r="G54" s="15" t="n">
        <v>2016</v>
      </c>
      <c r="H54" s="15" t="n">
        <v>5</v>
      </c>
      <c r="I54" s="15" t="n">
        <v>250</v>
      </c>
      <c r="J54" s="15" t="s">
        <v>166</v>
      </c>
      <c r="K54" s="15" t="s">
        <v>120</v>
      </c>
      <c r="L54" s="17"/>
      <c r="M54" s="15" t="s">
        <v>370</v>
      </c>
      <c r="N54" s="15" t="s">
        <v>371</v>
      </c>
    </row>
    <row r="55" customFormat="false" ht="15" hidden="false" customHeight="false" outlineLevel="0" collapsed="false">
      <c r="A55" s="15" t="s">
        <v>372</v>
      </c>
      <c r="B55" s="17" t="s">
        <v>140</v>
      </c>
      <c r="C55" s="15" t="n">
        <v>1</v>
      </c>
      <c r="D55" s="15" t="s">
        <v>164</v>
      </c>
      <c r="E55" s="17" t="s">
        <v>366</v>
      </c>
      <c r="F55" s="15" t="n">
        <v>2016</v>
      </c>
      <c r="G55" s="15" t="n">
        <v>2016</v>
      </c>
      <c r="H55" s="15" t="n">
        <v>1</v>
      </c>
      <c r="I55" s="15" t="n">
        <v>250</v>
      </c>
      <c r="J55" s="15" t="s">
        <v>166</v>
      </c>
      <c r="K55" s="15" t="s">
        <v>120</v>
      </c>
      <c r="L55" s="17"/>
      <c r="M55" s="15" t="s">
        <v>373</v>
      </c>
      <c r="N55" s="15" t="s">
        <v>374</v>
      </c>
    </row>
    <row r="56" customFormat="false" ht="15" hidden="false" customHeight="false" outlineLevel="0" collapsed="false">
      <c r="A56" s="15" t="s">
        <v>375</v>
      </c>
      <c r="B56" s="17" t="s">
        <v>143</v>
      </c>
      <c r="C56" s="15" t="n">
        <v>1</v>
      </c>
      <c r="D56" s="15" t="s">
        <v>164</v>
      </c>
      <c r="E56" s="17" t="s">
        <v>279</v>
      </c>
      <c r="F56" s="15" t="n">
        <v>2016</v>
      </c>
      <c r="G56" s="15" t="n">
        <v>2018</v>
      </c>
      <c r="H56" s="15" t="n">
        <v>4</v>
      </c>
      <c r="I56" s="15" t="n">
        <v>12000</v>
      </c>
      <c r="J56" s="15" t="s">
        <v>166</v>
      </c>
      <c r="K56" s="15" t="s">
        <v>120</v>
      </c>
      <c r="L56" s="17"/>
      <c r="M56" s="15" t="s">
        <v>376</v>
      </c>
      <c r="N56" s="15" t="s">
        <v>377</v>
      </c>
    </row>
    <row r="57" customFormat="false" ht="28.35" hidden="false" customHeight="false" outlineLevel="0" collapsed="false">
      <c r="A57" s="15" t="s">
        <v>378</v>
      </c>
      <c r="B57" s="17" t="s">
        <v>142</v>
      </c>
      <c r="C57" s="15" t="n">
        <v>1</v>
      </c>
      <c r="D57" s="15" t="s">
        <v>164</v>
      </c>
      <c r="E57" s="17" t="s">
        <v>379</v>
      </c>
      <c r="F57" s="15" t="n">
        <v>2016</v>
      </c>
      <c r="G57" s="15" t="n">
        <v>2017</v>
      </c>
      <c r="H57" s="15" t="n">
        <v>2</v>
      </c>
      <c r="I57" s="15" t="n">
        <v>2000</v>
      </c>
      <c r="J57" s="15" t="s">
        <v>166</v>
      </c>
      <c r="K57" s="15" t="s">
        <v>120</v>
      </c>
      <c r="L57" s="17"/>
      <c r="M57" s="15" t="s">
        <v>380</v>
      </c>
      <c r="N57" s="15" t="s">
        <v>381</v>
      </c>
    </row>
    <row r="58" customFormat="false" ht="28.35" hidden="false" customHeight="false" outlineLevel="0" collapsed="false">
      <c r="A58" s="15" t="s">
        <v>382</v>
      </c>
      <c r="B58" s="17" t="s">
        <v>194</v>
      </c>
      <c r="C58" s="15" t="n">
        <v>3</v>
      </c>
      <c r="D58" s="15" t="s">
        <v>164</v>
      </c>
      <c r="E58" s="17" t="s">
        <v>379</v>
      </c>
      <c r="F58" s="15" t="n">
        <v>2016</v>
      </c>
      <c r="G58" s="15" t="n">
        <v>2018</v>
      </c>
      <c r="H58" s="15" t="n">
        <v>4</v>
      </c>
      <c r="I58" s="15" t="n">
        <v>3000</v>
      </c>
      <c r="J58" s="15" t="s">
        <v>166</v>
      </c>
      <c r="K58" s="15" t="s">
        <v>120</v>
      </c>
      <c r="L58" s="17"/>
      <c r="M58" s="15" t="s">
        <v>383</v>
      </c>
      <c r="N58" s="15" t="s">
        <v>384</v>
      </c>
    </row>
    <row r="59" customFormat="false" ht="15" hidden="false" customHeight="false" outlineLevel="0" collapsed="false">
      <c r="A59" s="15" t="s">
        <v>385</v>
      </c>
      <c r="B59" s="17" t="s">
        <v>143</v>
      </c>
      <c r="C59" s="15" t="n">
        <v>1</v>
      </c>
      <c r="D59" s="15" t="s">
        <v>164</v>
      </c>
      <c r="E59" s="17" t="s">
        <v>386</v>
      </c>
      <c r="F59" s="15" t="n">
        <v>2016</v>
      </c>
      <c r="G59" s="15" t="n">
        <v>2016</v>
      </c>
      <c r="H59" s="15" t="n">
        <v>2</v>
      </c>
      <c r="I59" s="15" t="n">
        <v>1000</v>
      </c>
      <c r="J59" s="15" t="s">
        <v>166</v>
      </c>
      <c r="K59" s="15" t="s">
        <v>120</v>
      </c>
      <c r="L59" s="17"/>
      <c r="M59" s="15" t="s">
        <v>387</v>
      </c>
      <c r="N59" s="15" t="s">
        <v>388</v>
      </c>
    </row>
    <row r="60" customFormat="false" ht="15" hidden="false" customHeight="false" outlineLevel="0" collapsed="false">
      <c r="A60" s="15" t="s">
        <v>389</v>
      </c>
      <c r="B60" s="17" t="s">
        <v>143</v>
      </c>
      <c r="C60" s="15" t="n">
        <v>1</v>
      </c>
      <c r="D60" s="15" t="s">
        <v>164</v>
      </c>
      <c r="E60" s="17" t="s">
        <v>390</v>
      </c>
      <c r="F60" s="15" t="n">
        <v>2016</v>
      </c>
      <c r="G60" s="15" t="n">
        <v>2024</v>
      </c>
      <c r="H60" s="15" t="n">
        <v>3</v>
      </c>
      <c r="I60" s="15" t="n">
        <v>250</v>
      </c>
      <c r="J60" s="15" t="s">
        <v>166</v>
      </c>
      <c r="K60" s="15" t="s">
        <v>120</v>
      </c>
      <c r="L60" s="17"/>
      <c r="M60" s="15" t="s">
        <v>391</v>
      </c>
      <c r="N60" s="15" t="s">
        <v>392</v>
      </c>
    </row>
    <row r="61" customFormat="false" ht="28.35" hidden="false" customHeight="false" outlineLevel="0" collapsed="false">
      <c r="A61" s="15" t="s">
        <v>393</v>
      </c>
      <c r="B61" s="17" t="s">
        <v>175</v>
      </c>
      <c r="C61" s="15" t="n">
        <v>3</v>
      </c>
      <c r="D61" s="15" t="s">
        <v>164</v>
      </c>
      <c r="E61" s="17" t="s">
        <v>279</v>
      </c>
      <c r="F61" s="15" t="n">
        <v>2017</v>
      </c>
      <c r="G61" s="15" t="n">
        <v>2018</v>
      </c>
      <c r="H61" s="15" t="n">
        <v>4</v>
      </c>
      <c r="I61" s="15" t="n">
        <v>1000</v>
      </c>
      <c r="J61" s="15" t="s">
        <v>166</v>
      </c>
      <c r="K61" s="15" t="s">
        <v>120</v>
      </c>
      <c r="L61" s="17"/>
      <c r="M61" s="15" t="s">
        <v>394</v>
      </c>
      <c r="N61" s="15" t="s">
        <v>395</v>
      </c>
    </row>
    <row r="62" customFormat="false" ht="15" hidden="false" customHeight="false" outlineLevel="0" collapsed="false">
      <c r="A62" s="15" t="s">
        <v>396</v>
      </c>
      <c r="B62" s="17" t="s">
        <v>140</v>
      </c>
      <c r="C62" s="15" t="n">
        <v>1</v>
      </c>
      <c r="D62" s="15" t="s">
        <v>164</v>
      </c>
      <c r="E62" s="17" t="s">
        <v>279</v>
      </c>
      <c r="F62" s="15" t="n">
        <v>2017</v>
      </c>
      <c r="G62" s="15" t="n">
        <v>2017</v>
      </c>
      <c r="H62" s="15" t="n">
        <v>2</v>
      </c>
      <c r="I62" s="15" t="n">
        <v>250</v>
      </c>
      <c r="J62" s="15" t="s">
        <v>166</v>
      </c>
      <c r="K62" s="15" t="s">
        <v>120</v>
      </c>
      <c r="L62" s="17"/>
      <c r="M62" s="15" t="s">
        <v>397</v>
      </c>
      <c r="N62" s="15" t="s">
        <v>398</v>
      </c>
    </row>
    <row r="63" customFormat="false" ht="15" hidden="false" customHeight="false" outlineLevel="0" collapsed="false">
      <c r="A63" s="15" t="s">
        <v>399</v>
      </c>
      <c r="B63" s="17" t="s">
        <v>137</v>
      </c>
      <c r="C63" s="15" t="n">
        <v>1</v>
      </c>
      <c r="D63" s="15" t="s">
        <v>164</v>
      </c>
      <c r="E63" s="17" t="s">
        <v>279</v>
      </c>
      <c r="F63" s="15" t="n">
        <v>2017</v>
      </c>
      <c r="G63" s="15" t="n">
        <v>2018</v>
      </c>
      <c r="H63" s="15" t="n">
        <v>2</v>
      </c>
      <c r="I63" s="15" t="n">
        <v>500</v>
      </c>
      <c r="J63" s="15" t="s">
        <v>166</v>
      </c>
      <c r="K63" s="15" t="s">
        <v>120</v>
      </c>
      <c r="L63" s="17"/>
      <c r="M63" s="15" t="s">
        <v>400</v>
      </c>
      <c r="N63" s="15" t="s">
        <v>401</v>
      </c>
    </row>
    <row r="64" customFormat="false" ht="15" hidden="false" customHeight="false" outlineLevel="0" collapsed="false">
      <c r="A64" s="15" t="s">
        <v>402</v>
      </c>
      <c r="B64" s="17" t="s">
        <v>137</v>
      </c>
      <c r="C64" s="15" t="n">
        <v>1</v>
      </c>
      <c r="D64" s="15" t="s">
        <v>164</v>
      </c>
      <c r="E64" s="17" t="s">
        <v>279</v>
      </c>
      <c r="F64" s="15" t="n">
        <v>2017</v>
      </c>
      <c r="G64" s="15" t="n">
        <v>2017</v>
      </c>
      <c r="H64" s="15" t="n">
        <v>1</v>
      </c>
      <c r="I64" s="15" t="n">
        <v>5000</v>
      </c>
      <c r="J64" s="15" t="s">
        <v>166</v>
      </c>
      <c r="K64" s="15" t="s">
        <v>120</v>
      </c>
      <c r="L64" s="17"/>
      <c r="M64" s="15" t="s">
        <v>403</v>
      </c>
      <c r="N64" s="15" t="s">
        <v>404</v>
      </c>
    </row>
    <row r="65" customFormat="false" ht="41.75" hidden="false" customHeight="false" outlineLevel="0" collapsed="false">
      <c r="A65" s="15" t="s">
        <v>405</v>
      </c>
      <c r="B65" s="17" t="s">
        <v>304</v>
      </c>
      <c r="C65" s="15" t="n">
        <v>5</v>
      </c>
      <c r="D65" s="15" t="s">
        <v>164</v>
      </c>
      <c r="E65" s="17" t="s">
        <v>279</v>
      </c>
      <c r="F65" s="15" t="n">
        <v>2017</v>
      </c>
      <c r="G65" s="15" t="n">
        <v>2018</v>
      </c>
      <c r="H65" s="15" t="n">
        <v>4</v>
      </c>
      <c r="I65" s="15" t="n">
        <v>15000</v>
      </c>
      <c r="J65" s="15" t="s">
        <v>166</v>
      </c>
      <c r="K65" s="15" t="s">
        <v>120</v>
      </c>
      <c r="L65" s="17"/>
      <c r="M65" s="15" t="s">
        <v>406</v>
      </c>
      <c r="N65" s="15" t="s">
        <v>407</v>
      </c>
    </row>
    <row r="66" customFormat="false" ht="15" hidden="false" customHeight="false" outlineLevel="0" collapsed="false">
      <c r="A66" s="15" t="s">
        <v>408</v>
      </c>
      <c r="B66" s="17" t="s">
        <v>143</v>
      </c>
      <c r="C66" s="15" t="n">
        <v>1</v>
      </c>
      <c r="D66" s="15" t="s">
        <v>164</v>
      </c>
      <c r="E66" s="17" t="s">
        <v>279</v>
      </c>
      <c r="F66" s="15" t="n">
        <v>2017</v>
      </c>
      <c r="G66" s="15" t="n">
        <v>2018</v>
      </c>
      <c r="H66" s="15" t="n">
        <v>2</v>
      </c>
      <c r="I66" s="15" t="n">
        <v>13000</v>
      </c>
      <c r="J66" s="15" t="s">
        <v>166</v>
      </c>
      <c r="K66" s="15" t="s">
        <v>120</v>
      </c>
      <c r="L66" s="17"/>
      <c r="M66" s="15" t="s">
        <v>409</v>
      </c>
      <c r="N66" s="15" t="s">
        <v>410</v>
      </c>
    </row>
    <row r="67" customFormat="false" ht="15" hidden="false" customHeight="false" outlineLevel="0" collapsed="false">
      <c r="A67" s="15" t="s">
        <v>411</v>
      </c>
      <c r="B67" s="17" t="s">
        <v>143</v>
      </c>
      <c r="C67" s="15" t="n">
        <v>1</v>
      </c>
      <c r="D67" s="15" t="s">
        <v>164</v>
      </c>
      <c r="E67" s="17" t="s">
        <v>279</v>
      </c>
      <c r="F67" s="15" t="n">
        <v>2017</v>
      </c>
      <c r="G67" s="15" t="n">
        <v>2018</v>
      </c>
      <c r="H67" s="15" t="n">
        <v>2</v>
      </c>
      <c r="I67" s="15" t="n">
        <v>250</v>
      </c>
      <c r="J67" s="15" t="s">
        <v>166</v>
      </c>
      <c r="K67" s="15" t="s">
        <v>120</v>
      </c>
      <c r="L67" s="17"/>
      <c r="M67" s="15" t="s">
        <v>412</v>
      </c>
      <c r="N67" s="15" t="s">
        <v>413</v>
      </c>
    </row>
    <row r="68" customFormat="false" ht="15" hidden="false" customHeight="false" outlineLevel="0" collapsed="false">
      <c r="A68" s="15" t="s">
        <v>414</v>
      </c>
      <c r="B68" s="17" t="s">
        <v>137</v>
      </c>
      <c r="C68" s="15" t="n">
        <v>1</v>
      </c>
      <c r="D68" s="15" t="s">
        <v>164</v>
      </c>
      <c r="E68" s="17" t="s">
        <v>279</v>
      </c>
      <c r="F68" s="15" t="n">
        <v>2017</v>
      </c>
      <c r="G68" s="15" t="n">
        <v>2018</v>
      </c>
      <c r="H68" s="15" t="n">
        <v>2</v>
      </c>
      <c r="I68" s="15" t="n">
        <v>500</v>
      </c>
      <c r="J68" s="15" t="s">
        <v>166</v>
      </c>
      <c r="K68" s="15" t="s">
        <v>120</v>
      </c>
      <c r="L68" s="17"/>
      <c r="M68" s="15" t="s">
        <v>415</v>
      </c>
      <c r="N68" s="15" t="s">
        <v>416</v>
      </c>
    </row>
    <row r="69" customFormat="false" ht="28.35" hidden="false" customHeight="false" outlineLevel="0" collapsed="false">
      <c r="A69" s="15" t="s">
        <v>417</v>
      </c>
      <c r="B69" s="17" t="s">
        <v>143</v>
      </c>
      <c r="C69" s="15" t="n">
        <v>1</v>
      </c>
      <c r="D69" s="15" t="s">
        <v>170</v>
      </c>
      <c r="E69" s="17" t="s">
        <v>418</v>
      </c>
      <c r="F69" s="15" t="n">
        <v>2018</v>
      </c>
      <c r="G69" s="15" t="n">
        <v>2020</v>
      </c>
      <c r="H69" s="15" t="n">
        <v>3</v>
      </c>
      <c r="I69" s="15" t="n">
        <v>35000</v>
      </c>
      <c r="J69" s="15" t="s">
        <v>166</v>
      </c>
      <c r="K69" s="15" t="s">
        <v>120</v>
      </c>
      <c r="L69" s="17"/>
      <c r="M69" s="15" t="s">
        <v>419</v>
      </c>
      <c r="N69" s="15" t="s">
        <v>420</v>
      </c>
    </row>
    <row r="70" customFormat="false" ht="28.35" hidden="false" customHeight="false" outlineLevel="0" collapsed="false">
      <c r="A70" s="15" t="s">
        <v>421</v>
      </c>
      <c r="B70" s="17" t="s">
        <v>422</v>
      </c>
      <c r="C70" s="15" t="n">
        <v>2</v>
      </c>
      <c r="D70" s="15" t="s">
        <v>164</v>
      </c>
      <c r="E70" s="17" t="s">
        <v>279</v>
      </c>
      <c r="F70" s="15" t="n">
        <v>2018</v>
      </c>
      <c r="G70" s="15" t="n">
        <v>2018</v>
      </c>
      <c r="H70" s="15" t="n">
        <v>1</v>
      </c>
      <c r="I70" s="15" t="n">
        <v>500</v>
      </c>
      <c r="J70" s="15" t="s">
        <v>166</v>
      </c>
      <c r="K70" s="15" t="s">
        <v>120</v>
      </c>
      <c r="L70" s="17"/>
      <c r="M70" s="15" t="s">
        <v>423</v>
      </c>
      <c r="N70" s="15" t="s">
        <v>424</v>
      </c>
    </row>
    <row r="71" customFormat="false" ht="15" hidden="false" customHeight="false" outlineLevel="0" collapsed="false">
      <c r="A71" s="15" t="s">
        <v>425</v>
      </c>
      <c r="B71" s="17" t="s">
        <v>143</v>
      </c>
      <c r="C71" s="15" t="n">
        <v>1</v>
      </c>
      <c r="D71" s="15" t="s">
        <v>164</v>
      </c>
      <c r="E71" s="17" t="s">
        <v>279</v>
      </c>
      <c r="F71" s="15" t="n">
        <v>2018</v>
      </c>
      <c r="G71" s="15" t="n">
        <v>2018</v>
      </c>
      <c r="H71" s="15" t="n">
        <v>10</v>
      </c>
      <c r="I71" s="15" t="n">
        <v>3000</v>
      </c>
      <c r="J71" s="15" t="s">
        <v>166</v>
      </c>
      <c r="K71" s="15" t="s">
        <v>120</v>
      </c>
      <c r="L71" s="17"/>
      <c r="M71" s="15" t="s">
        <v>426</v>
      </c>
      <c r="N71" s="15" t="s">
        <v>427</v>
      </c>
    </row>
    <row r="72" customFormat="false" ht="15" hidden="false" customHeight="false" outlineLevel="0" collapsed="false">
      <c r="A72" s="15" t="s">
        <v>428</v>
      </c>
      <c r="B72" s="17" t="s">
        <v>139</v>
      </c>
      <c r="C72" s="15" t="n">
        <v>1</v>
      </c>
      <c r="D72" s="15" t="s">
        <v>164</v>
      </c>
      <c r="E72" s="17" t="s">
        <v>279</v>
      </c>
      <c r="F72" s="15" t="n">
        <v>2018</v>
      </c>
      <c r="G72" s="15" t="n">
        <v>2018</v>
      </c>
      <c r="H72" s="15" t="n">
        <v>1</v>
      </c>
      <c r="I72" s="15" t="n">
        <v>1000</v>
      </c>
      <c r="J72" s="15" t="s">
        <v>225</v>
      </c>
      <c r="K72" s="15" t="s">
        <v>120</v>
      </c>
      <c r="L72" s="17"/>
      <c r="M72" s="15" t="s">
        <v>429</v>
      </c>
      <c r="N72" s="15" t="s">
        <v>430</v>
      </c>
    </row>
    <row r="73" customFormat="false" ht="28.35" hidden="false" customHeight="false" outlineLevel="0" collapsed="false">
      <c r="A73" s="15" t="s">
        <v>431</v>
      </c>
      <c r="B73" s="17" t="s">
        <v>295</v>
      </c>
      <c r="C73" s="15" t="n">
        <v>2</v>
      </c>
      <c r="D73" s="15" t="s">
        <v>164</v>
      </c>
      <c r="E73" s="17" t="s">
        <v>432</v>
      </c>
      <c r="F73" s="15" t="n">
        <v>2018</v>
      </c>
      <c r="G73" s="15" t="n">
        <v>2026</v>
      </c>
      <c r="H73" s="15" t="n">
        <v>2</v>
      </c>
      <c r="I73" s="15" t="n">
        <v>3000</v>
      </c>
      <c r="J73" s="15" t="s">
        <v>166</v>
      </c>
      <c r="K73" s="15" t="s">
        <v>120</v>
      </c>
      <c r="L73" s="17"/>
      <c r="M73" s="15" t="s">
        <v>433</v>
      </c>
      <c r="N73" s="15" t="s">
        <v>434</v>
      </c>
    </row>
    <row r="74" customFormat="false" ht="55.2" hidden="false" customHeight="false" outlineLevel="0" collapsed="false">
      <c r="A74" s="15" t="s">
        <v>435</v>
      </c>
      <c r="B74" s="17" t="s">
        <v>436</v>
      </c>
      <c r="C74" s="15" t="n">
        <v>2</v>
      </c>
      <c r="D74" s="15" t="s">
        <v>170</v>
      </c>
      <c r="E74" s="17" t="s">
        <v>437</v>
      </c>
      <c r="F74" s="15" t="n">
        <v>2018</v>
      </c>
      <c r="G74" s="15" t="n">
        <v>2026</v>
      </c>
      <c r="H74" s="15" t="n">
        <v>18</v>
      </c>
      <c r="I74" s="15" t="n">
        <v>10000</v>
      </c>
      <c r="J74" s="15" t="s">
        <v>166</v>
      </c>
      <c r="K74" s="15" t="s">
        <v>120</v>
      </c>
      <c r="L74" s="17"/>
      <c r="M74" s="15" t="s">
        <v>438</v>
      </c>
      <c r="N74" s="15" t="s">
        <v>439</v>
      </c>
    </row>
    <row r="75" customFormat="false" ht="15" hidden="false" customHeight="false" outlineLevel="0" collapsed="false">
      <c r="A75" s="15" t="s">
        <v>440</v>
      </c>
      <c r="B75" s="17" t="s">
        <v>140</v>
      </c>
      <c r="C75" s="15" t="n">
        <v>1</v>
      </c>
      <c r="D75" s="15" t="s">
        <v>164</v>
      </c>
      <c r="E75" s="17" t="s">
        <v>279</v>
      </c>
      <c r="F75" s="15" t="n">
        <v>2018</v>
      </c>
      <c r="G75" s="15" t="n">
        <v>2018</v>
      </c>
      <c r="H75" s="15" t="n">
        <v>2</v>
      </c>
      <c r="I75" s="15" t="n">
        <v>2000</v>
      </c>
      <c r="J75" s="15" t="s">
        <v>166</v>
      </c>
      <c r="K75" s="15" t="s">
        <v>120</v>
      </c>
      <c r="L75" s="17"/>
      <c r="M75" s="15" t="s">
        <v>441</v>
      </c>
      <c r="N75" s="15" t="s">
        <v>442</v>
      </c>
    </row>
    <row r="76" customFormat="false" ht="28.35" hidden="false" customHeight="false" outlineLevel="0" collapsed="false">
      <c r="A76" s="15" t="s">
        <v>443</v>
      </c>
      <c r="B76" s="17" t="s">
        <v>444</v>
      </c>
      <c r="C76" s="15" t="n">
        <v>3</v>
      </c>
      <c r="D76" s="15" t="s">
        <v>170</v>
      </c>
      <c r="E76" s="17" t="s">
        <v>418</v>
      </c>
      <c r="F76" s="15" t="n">
        <v>2018</v>
      </c>
      <c r="G76" s="15" t="n">
        <v>2026</v>
      </c>
      <c r="H76" s="15" t="n">
        <v>5</v>
      </c>
      <c r="I76" s="15" t="n">
        <v>500</v>
      </c>
      <c r="J76" s="15" t="s">
        <v>166</v>
      </c>
      <c r="K76" s="15" t="s">
        <v>120</v>
      </c>
      <c r="L76" s="17"/>
      <c r="M76" s="15" t="s">
        <v>445</v>
      </c>
      <c r="N76" s="15" t="s">
        <v>446</v>
      </c>
    </row>
    <row r="77" customFormat="false" ht="28.35" hidden="false" customHeight="false" outlineLevel="0" collapsed="false">
      <c r="A77" s="15" t="s">
        <v>447</v>
      </c>
      <c r="B77" s="17" t="s">
        <v>422</v>
      </c>
      <c r="C77" s="15" t="n">
        <v>2</v>
      </c>
      <c r="D77" s="15" t="s">
        <v>164</v>
      </c>
      <c r="E77" s="17" t="s">
        <v>279</v>
      </c>
      <c r="F77" s="15" t="n">
        <v>2018</v>
      </c>
      <c r="G77" s="15" t="n">
        <v>2018</v>
      </c>
      <c r="H77" s="15" t="n">
        <v>1</v>
      </c>
      <c r="I77" s="15" t="n">
        <v>3000</v>
      </c>
      <c r="J77" s="15" t="s">
        <v>166</v>
      </c>
      <c r="K77" s="15" t="s">
        <v>120</v>
      </c>
      <c r="L77" s="17"/>
      <c r="M77" s="15" t="s">
        <v>448</v>
      </c>
      <c r="N77" s="15" t="s">
        <v>449</v>
      </c>
    </row>
    <row r="78" customFormat="false" ht="15" hidden="false" customHeight="false" outlineLevel="0" collapsed="false">
      <c r="A78" s="15" t="s">
        <v>450</v>
      </c>
      <c r="B78" s="17" t="s">
        <v>436</v>
      </c>
      <c r="C78" s="15" t="n">
        <v>2</v>
      </c>
      <c r="D78" s="15" t="s">
        <v>164</v>
      </c>
      <c r="E78" s="17" t="s">
        <v>279</v>
      </c>
      <c r="F78" s="15" t="n">
        <v>2018</v>
      </c>
      <c r="G78" s="15" t="n">
        <v>2018</v>
      </c>
      <c r="H78" s="15" t="n">
        <v>2</v>
      </c>
      <c r="I78" s="15" t="n">
        <v>250</v>
      </c>
      <c r="J78" s="15" t="s">
        <v>166</v>
      </c>
      <c r="K78" s="15" t="s">
        <v>120</v>
      </c>
      <c r="L78" s="17"/>
      <c r="M78" s="15" t="s">
        <v>451</v>
      </c>
      <c r="N78" s="15" t="s">
        <v>452</v>
      </c>
    </row>
    <row r="79" customFormat="false" ht="15" hidden="false" customHeight="false" outlineLevel="0" collapsed="false">
      <c r="A79" s="15" t="s">
        <v>453</v>
      </c>
      <c r="B79" s="17" t="s">
        <v>317</v>
      </c>
      <c r="C79" s="15" t="n">
        <v>2</v>
      </c>
      <c r="D79" s="15" t="s">
        <v>164</v>
      </c>
      <c r="E79" s="17" t="s">
        <v>279</v>
      </c>
      <c r="F79" s="15" t="n">
        <v>2018</v>
      </c>
      <c r="G79" s="15" t="n">
        <v>2018</v>
      </c>
      <c r="H79" s="15" t="n">
        <v>2</v>
      </c>
      <c r="I79" s="15" t="n">
        <v>2000</v>
      </c>
      <c r="J79" s="15" t="s">
        <v>166</v>
      </c>
      <c r="K79" s="15" t="s">
        <v>120</v>
      </c>
      <c r="L79" s="17"/>
      <c r="M79" s="15" t="s">
        <v>454</v>
      </c>
      <c r="N79" s="15" t="s">
        <v>455</v>
      </c>
    </row>
    <row r="80" customFormat="false" ht="28.35" hidden="false" customHeight="false" outlineLevel="0" collapsed="false">
      <c r="A80" s="15" t="s">
        <v>456</v>
      </c>
      <c r="B80" s="17" t="s">
        <v>251</v>
      </c>
      <c r="C80" s="15" t="n">
        <v>4</v>
      </c>
      <c r="D80" s="15" t="s">
        <v>164</v>
      </c>
      <c r="E80" s="17" t="s">
        <v>279</v>
      </c>
      <c r="F80" s="15" t="n">
        <v>2018</v>
      </c>
      <c r="G80" s="15" t="n">
        <v>2018</v>
      </c>
      <c r="H80" s="15" t="n">
        <v>1</v>
      </c>
      <c r="I80" s="15" t="n">
        <v>250</v>
      </c>
      <c r="J80" s="15" t="s">
        <v>166</v>
      </c>
      <c r="K80" s="15" t="s">
        <v>120</v>
      </c>
      <c r="L80" s="17"/>
      <c r="M80" s="15" t="s">
        <v>457</v>
      </c>
      <c r="N80" s="15" t="s">
        <v>458</v>
      </c>
    </row>
    <row r="81" customFormat="false" ht="28.35" hidden="false" customHeight="false" outlineLevel="0" collapsed="false">
      <c r="A81" s="15" t="s">
        <v>459</v>
      </c>
      <c r="B81" s="17" t="s">
        <v>460</v>
      </c>
      <c r="C81" s="15" t="n">
        <v>4</v>
      </c>
      <c r="D81" s="15" t="s">
        <v>170</v>
      </c>
      <c r="E81" s="17" t="s">
        <v>418</v>
      </c>
      <c r="F81" s="15" t="n">
        <v>2018</v>
      </c>
      <c r="G81" s="15" t="n">
        <v>2024</v>
      </c>
      <c r="H81" s="15" t="n">
        <v>3</v>
      </c>
      <c r="I81" s="15" t="n">
        <v>4000</v>
      </c>
      <c r="J81" s="15" t="s">
        <v>166</v>
      </c>
      <c r="K81" s="15" t="s">
        <v>120</v>
      </c>
      <c r="L81" s="17"/>
      <c r="M81" s="15" t="s">
        <v>461</v>
      </c>
      <c r="N81" s="15" t="s">
        <v>462</v>
      </c>
    </row>
    <row r="82" customFormat="false" ht="41.75" hidden="false" customHeight="false" outlineLevel="0" collapsed="false">
      <c r="A82" s="15" t="s">
        <v>463</v>
      </c>
      <c r="B82" s="17" t="s">
        <v>143</v>
      </c>
      <c r="C82" s="15" t="n">
        <v>1</v>
      </c>
      <c r="D82" s="15" t="s">
        <v>170</v>
      </c>
      <c r="E82" s="17" t="s">
        <v>464</v>
      </c>
      <c r="F82" s="15" t="n">
        <v>2018</v>
      </c>
      <c r="G82" s="15" t="n">
        <v>2026</v>
      </c>
      <c r="H82" s="15" t="n">
        <v>16</v>
      </c>
      <c r="I82" s="15" t="n">
        <v>3000</v>
      </c>
      <c r="J82" s="15" t="s">
        <v>166</v>
      </c>
      <c r="K82" s="15" t="s">
        <v>120</v>
      </c>
      <c r="L82" s="17"/>
      <c r="M82" s="15" t="s">
        <v>465</v>
      </c>
      <c r="N82" s="15" t="s">
        <v>466</v>
      </c>
    </row>
    <row r="83" customFormat="false" ht="15" hidden="false" customHeight="false" outlineLevel="0" collapsed="false">
      <c r="A83" s="15" t="s">
        <v>467</v>
      </c>
      <c r="B83" s="17" t="s">
        <v>143</v>
      </c>
      <c r="C83" s="15" t="n">
        <v>1</v>
      </c>
      <c r="D83" s="15" t="s">
        <v>164</v>
      </c>
      <c r="E83" s="17" t="s">
        <v>279</v>
      </c>
      <c r="F83" s="15" t="n">
        <v>2018</v>
      </c>
      <c r="G83" s="15" t="n">
        <v>2018</v>
      </c>
      <c r="H83" s="15" t="n">
        <v>1</v>
      </c>
      <c r="I83" s="15" t="n">
        <v>1000</v>
      </c>
      <c r="J83" s="15" t="s">
        <v>166</v>
      </c>
      <c r="K83" s="15" t="s">
        <v>120</v>
      </c>
      <c r="L83" s="17"/>
      <c r="M83" s="15" t="s">
        <v>468</v>
      </c>
      <c r="N83" s="15" t="s">
        <v>469</v>
      </c>
    </row>
    <row r="84" customFormat="false" ht="15" hidden="false" customHeight="false" outlineLevel="0" collapsed="false">
      <c r="A84" s="15" t="s">
        <v>470</v>
      </c>
      <c r="B84" s="17" t="s">
        <v>212</v>
      </c>
      <c r="C84" s="15" t="n">
        <v>2</v>
      </c>
      <c r="D84" s="15" t="s">
        <v>164</v>
      </c>
      <c r="E84" s="17" t="s">
        <v>279</v>
      </c>
      <c r="F84" s="15" t="n">
        <v>2018</v>
      </c>
      <c r="G84" s="15" t="n">
        <v>2018</v>
      </c>
      <c r="H84" s="15" t="n">
        <v>1</v>
      </c>
      <c r="I84" s="15" t="n">
        <v>500</v>
      </c>
      <c r="J84" s="15" t="s">
        <v>166</v>
      </c>
      <c r="K84" s="15" t="s">
        <v>120</v>
      </c>
      <c r="L84" s="17"/>
      <c r="M84" s="15" t="s">
        <v>471</v>
      </c>
      <c r="N84" s="15" t="s">
        <v>472</v>
      </c>
    </row>
    <row r="85" customFormat="false" ht="28.35" hidden="false" customHeight="false" outlineLevel="0" collapsed="false">
      <c r="A85" s="15" t="s">
        <v>473</v>
      </c>
      <c r="B85" s="17" t="s">
        <v>474</v>
      </c>
      <c r="C85" s="15" t="n">
        <v>2</v>
      </c>
      <c r="D85" s="15" t="s">
        <v>170</v>
      </c>
      <c r="E85" s="17" t="s">
        <v>475</v>
      </c>
      <c r="F85" s="15" t="n">
        <v>2018</v>
      </c>
      <c r="G85" s="15" t="n">
        <v>2018</v>
      </c>
      <c r="H85" s="15" t="n">
        <v>1</v>
      </c>
      <c r="I85" s="15" t="n">
        <v>250</v>
      </c>
      <c r="J85" s="15" t="s">
        <v>166</v>
      </c>
      <c r="K85" s="15" t="s">
        <v>120</v>
      </c>
      <c r="L85" s="17"/>
      <c r="M85" s="15" t="s">
        <v>476</v>
      </c>
      <c r="N85" s="15" t="s">
        <v>477</v>
      </c>
    </row>
    <row r="86" customFormat="false" ht="41.75" hidden="false" customHeight="false" outlineLevel="0" collapsed="false">
      <c r="A86" s="15" t="s">
        <v>478</v>
      </c>
      <c r="B86" s="17" t="s">
        <v>255</v>
      </c>
      <c r="C86" s="15" t="n">
        <v>5</v>
      </c>
      <c r="D86" s="15" t="s">
        <v>164</v>
      </c>
      <c r="E86" s="17" t="s">
        <v>279</v>
      </c>
      <c r="F86" s="15" t="n">
        <v>2018</v>
      </c>
      <c r="G86" s="15" t="n">
        <v>2018</v>
      </c>
      <c r="H86" s="15" t="n">
        <v>1</v>
      </c>
      <c r="I86" s="15" t="n">
        <v>1000</v>
      </c>
      <c r="J86" s="15" t="s">
        <v>195</v>
      </c>
      <c r="K86" s="15" t="s">
        <v>122</v>
      </c>
      <c r="L86" s="17" t="s">
        <v>479</v>
      </c>
      <c r="M86" s="15" t="s">
        <v>480</v>
      </c>
      <c r="N86" s="15" t="s">
        <v>481</v>
      </c>
    </row>
    <row r="87" customFormat="false" ht="15" hidden="false" customHeight="false" outlineLevel="0" collapsed="false">
      <c r="A87" s="15" t="s">
        <v>482</v>
      </c>
      <c r="B87" s="17" t="s">
        <v>483</v>
      </c>
      <c r="C87" s="15" t="n">
        <v>2</v>
      </c>
      <c r="D87" s="15" t="s">
        <v>164</v>
      </c>
      <c r="E87" s="17" t="s">
        <v>279</v>
      </c>
      <c r="F87" s="15" t="n">
        <v>2018</v>
      </c>
      <c r="G87" s="15" t="n">
        <v>2018</v>
      </c>
      <c r="H87" s="15" t="n">
        <v>1</v>
      </c>
      <c r="I87" s="15" t="n">
        <v>1000</v>
      </c>
      <c r="J87" s="15" t="s">
        <v>166</v>
      </c>
      <c r="K87" s="15" t="s">
        <v>120</v>
      </c>
      <c r="L87" s="17"/>
      <c r="M87" s="15" t="s">
        <v>484</v>
      </c>
      <c r="N87" s="15" t="s">
        <v>485</v>
      </c>
    </row>
    <row r="88" customFormat="false" ht="15" hidden="false" customHeight="false" outlineLevel="0" collapsed="false">
      <c r="A88" s="15" t="s">
        <v>486</v>
      </c>
      <c r="B88" s="17" t="s">
        <v>143</v>
      </c>
      <c r="C88" s="15" t="n">
        <v>1</v>
      </c>
      <c r="D88" s="15" t="s">
        <v>164</v>
      </c>
      <c r="E88" s="17" t="s">
        <v>279</v>
      </c>
      <c r="F88" s="15" t="n">
        <v>2018</v>
      </c>
      <c r="G88" s="15" t="n">
        <v>2018</v>
      </c>
      <c r="H88" s="15" t="n">
        <v>2</v>
      </c>
      <c r="I88" s="15" t="n">
        <v>500</v>
      </c>
      <c r="J88" s="15" t="s">
        <v>166</v>
      </c>
      <c r="K88" s="15" t="s">
        <v>120</v>
      </c>
      <c r="L88" s="17"/>
      <c r="M88" s="15" t="s">
        <v>487</v>
      </c>
      <c r="N88" s="15" t="s">
        <v>488</v>
      </c>
    </row>
    <row r="89" customFormat="false" ht="15" hidden="false" customHeight="false" outlineLevel="0" collapsed="false">
      <c r="A89" s="15" t="s">
        <v>489</v>
      </c>
      <c r="B89" s="17" t="s">
        <v>141</v>
      </c>
      <c r="C89" s="15" t="n">
        <v>1</v>
      </c>
      <c r="D89" s="15" t="s">
        <v>164</v>
      </c>
      <c r="E89" s="17" t="s">
        <v>279</v>
      </c>
      <c r="F89" s="15" t="n">
        <v>2018</v>
      </c>
      <c r="G89" s="15" t="n">
        <v>2018</v>
      </c>
      <c r="H89" s="15" t="n">
        <v>4</v>
      </c>
      <c r="I89" s="15" t="n">
        <v>250</v>
      </c>
      <c r="J89" s="15" t="s">
        <v>166</v>
      </c>
      <c r="K89" s="15" t="s">
        <v>120</v>
      </c>
      <c r="L89" s="17"/>
      <c r="M89" s="15" t="s">
        <v>490</v>
      </c>
      <c r="N89" s="15" t="s">
        <v>491</v>
      </c>
    </row>
    <row r="90" customFormat="false" ht="15" hidden="false" customHeight="false" outlineLevel="0" collapsed="false">
      <c r="A90" s="15" t="s">
        <v>492</v>
      </c>
      <c r="B90" s="17" t="s">
        <v>212</v>
      </c>
      <c r="C90" s="15" t="n">
        <v>2</v>
      </c>
      <c r="D90" s="15" t="s">
        <v>164</v>
      </c>
      <c r="E90" s="17" t="s">
        <v>279</v>
      </c>
      <c r="F90" s="15" t="n">
        <v>2018</v>
      </c>
      <c r="G90" s="15" t="n">
        <v>2018</v>
      </c>
      <c r="H90" s="15" t="n">
        <v>1</v>
      </c>
      <c r="I90" s="15" t="n">
        <v>25000</v>
      </c>
      <c r="J90" s="15" t="s">
        <v>166</v>
      </c>
      <c r="K90" s="15" t="s">
        <v>120</v>
      </c>
      <c r="L90" s="17"/>
      <c r="M90" s="15" t="s">
        <v>493</v>
      </c>
      <c r="N90" s="15" t="s">
        <v>494</v>
      </c>
    </row>
    <row r="91" customFormat="false" ht="41.75" hidden="false" customHeight="false" outlineLevel="0" collapsed="false">
      <c r="A91" s="15" t="s">
        <v>495</v>
      </c>
      <c r="B91" s="17" t="s">
        <v>312</v>
      </c>
      <c r="C91" s="15" t="n">
        <v>6</v>
      </c>
      <c r="D91" s="15" t="s">
        <v>164</v>
      </c>
      <c r="E91" s="17" t="s">
        <v>279</v>
      </c>
      <c r="F91" s="15" t="n">
        <v>2018</v>
      </c>
      <c r="G91" s="15" t="n">
        <v>2018</v>
      </c>
      <c r="H91" s="15" t="n">
        <v>1</v>
      </c>
      <c r="I91" s="15" t="n">
        <v>3000</v>
      </c>
      <c r="J91" s="15" t="s">
        <v>166</v>
      </c>
      <c r="K91" s="15" t="s">
        <v>120</v>
      </c>
      <c r="L91" s="17"/>
      <c r="M91" s="15" t="s">
        <v>496</v>
      </c>
      <c r="N91" s="15" t="s">
        <v>497</v>
      </c>
    </row>
    <row r="92" customFormat="false" ht="15" hidden="false" customHeight="false" outlineLevel="0" collapsed="false">
      <c r="A92" s="15" t="s">
        <v>498</v>
      </c>
      <c r="B92" s="17" t="s">
        <v>142</v>
      </c>
      <c r="C92" s="15" t="n">
        <v>1</v>
      </c>
      <c r="D92" s="15" t="s">
        <v>164</v>
      </c>
      <c r="E92" s="17" t="s">
        <v>279</v>
      </c>
      <c r="F92" s="15" t="n">
        <v>2018</v>
      </c>
      <c r="G92" s="15" t="n">
        <v>2018</v>
      </c>
      <c r="H92" s="15" t="n">
        <v>1</v>
      </c>
      <c r="I92" s="15" t="n">
        <v>250</v>
      </c>
      <c r="J92" s="15" t="s">
        <v>166</v>
      </c>
      <c r="K92" s="15" t="s">
        <v>120</v>
      </c>
      <c r="L92" s="17"/>
      <c r="M92" s="15" t="s">
        <v>499</v>
      </c>
      <c r="N92" s="15" t="s">
        <v>500</v>
      </c>
    </row>
    <row r="93" customFormat="false" ht="28.35" hidden="false" customHeight="false" outlineLevel="0" collapsed="false">
      <c r="A93" s="15" t="s">
        <v>501</v>
      </c>
      <c r="B93" s="17" t="s">
        <v>268</v>
      </c>
      <c r="C93" s="15" t="n">
        <v>4</v>
      </c>
      <c r="D93" s="15" t="s">
        <v>164</v>
      </c>
      <c r="E93" s="17" t="s">
        <v>279</v>
      </c>
      <c r="F93" s="15" t="n">
        <v>2018</v>
      </c>
      <c r="G93" s="15" t="n">
        <v>2018</v>
      </c>
      <c r="H93" s="15" t="n">
        <v>1</v>
      </c>
      <c r="I93" s="15" t="n">
        <v>1000</v>
      </c>
      <c r="J93" s="15" t="s">
        <v>166</v>
      </c>
      <c r="K93" s="15" t="s">
        <v>120</v>
      </c>
      <c r="L93" s="17"/>
      <c r="M93" s="15" t="s">
        <v>502</v>
      </c>
      <c r="N93" s="15" t="s">
        <v>503</v>
      </c>
    </row>
    <row r="94" customFormat="false" ht="28.35" hidden="false" customHeight="false" outlineLevel="0" collapsed="false">
      <c r="A94" s="15" t="s">
        <v>504</v>
      </c>
      <c r="B94" s="17" t="s">
        <v>142</v>
      </c>
      <c r="C94" s="15" t="n">
        <v>1</v>
      </c>
      <c r="D94" s="15" t="s">
        <v>170</v>
      </c>
      <c r="E94" s="17" t="s">
        <v>418</v>
      </c>
      <c r="F94" s="15" t="n">
        <v>2018</v>
      </c>
      <c r="G94" s="15" t="n">
        <v>2022</v>
      </c>
      <c r="H94" s="15" t="n">
        <v>2</v>
      </c>
      <c r="I94" s="15" t="n">
        <v>1000</v>
      </c>
      <c r="J94" s="15" t="s">
        <v>166</v>
      </c>
      <c r="K94" s="15" t="s">
        <v>120</v>
      </c>
      <c r="L94" s="17"/>
      <c r="M94" s="15" t="s">
        <v>505</v>
      </c>
      <c r="N94" s="15" t="s">
        <v>506</v>
      </c>
    </row>
    <row r="95" customFormat="false" ht="28.35" hidden="false" customHeight="false" outlineLevel="0" collapsed="false">
      <c r="A95" s="15" t="s">
        <v>507</v>
      </c>
      <c r="B95" s="17" t="s">
        <v>474</v>
      </c>
      <c r="C95" s="15" t="n">
        <v>2</v>
      </c>
      <c r="D95" s="15" t="s">
        <v>170</v>
      </c>
      <c r="E95" s="17" t="s">
        <v>418</v>
      </c>
      <c r="F95" s="15" t="n">
        <v>2018</v>
      </c>
      <c r="G95" s="15" t="n">
        <v>2022</v>
      </c>
      <c r="H95" s="15" t="n">
        <v>2</v>
      </c>
      <c r="I95" s="15" t="n">
        <v>15000</v>
      </c>
      <c r="J95" s="15" t="s">
        <v>508</v>
      </c>
      <c r="K95" s="15" t="s">
        <v>120</v>
      </c>
      <c r="L95" s="17"/>
      <c r="M95" s="15" t="s">
        <v>509</v>
      </c>
      <c r="N95" s="15" t="s">
        <v>510</v>
      </c>
    </row>
    <row r="96" customFormat="false" ht="28.35" hidden="false" customHeight="false" outlineLevel="0" collapsed="false">
      <c r="A96" s="15" t="s">
        <v>511</v>
      </c>
      <c r="B96" s="17" t="s">
        <v>143</v>
      </c>
      <c r="C96" s="15" t="n">
        <v>1</v>
      </c>
      <c r="D96" s="15" t="s">
        <v>170</v>
      </c>
      <c r="E96" s="17" t="s">
        <v>512</v>
      </c>
      <c r="F96" s="15" t="n">
        <v>2020</v>
      </c>
      <c r="G96" s="15" t="n">
        <v>2026</v>
      </c>
      <c r="H96" s="15" t="n">
        <v>3</v>
      </c>
      <c r="I96" s="15" t="n">
        <v>16000</v>
      </c>
      <c r="J96" s="15" t="s">
        <v>166</v>
      </c>
      <c r="K96" s="15" t="s">
        <v>120</v>
      </c>
      <c r="L96" s="17"/>
      <c r="M96" s="15" t="s">
        <v>513</v>
      </c>
      <c r="N96" s="15" t="s">
        <v>514</v>
      </c>
    </row>
    <row r="97" customFormat="false" ht="28.35" hidden="false" customHeight="false" outlineLevel="0" collapsed="false">
      <c r="A97" s="15" t="s">
        <v>515</v>
      </c>
      <c r="B97" s="17" t="s">
        <v>516</v>
      </c>
      <c r="C97" s="15" t="n">
        <v>3</v>
      </c>
      <c r="D97" s="15" t="s">
        <v>170</v>
      </c>
      <c r="E97" s="17" t="s">
        <v>517</v>
      </c>
      <c r="F97" s="15" t="n">
        <v>2020</v>
      </c>
      <c r="G97" s="15" t="n">
        <v>2026</v>
      </c>
      <c r="H97" s="15" t="n">
        <v>3</v>
      </c>
      <c r="I97" s="15" t="n">
        <v>2000</v>
      </c>
      <c r="J97" s="15" t="s">
        <v>201</v>
      </c>
      <c r="K97" s="15" t="s">
        <v>120</v>
      </c>
      <c r="L97" s="17"/>
      <c r="M97" s="15" t="s">
        <v>518</v>
      </c>
      <c r="N97" s="15" t="s">
        <v>519</v>
      </c>
    </row>
    <row r="98" customFormat="false" ht="28.35" hidden="false" customHeight="false" outlineLevel="0" collapsed="false">
      <c r="A98" s="15" t="s">
        <v>520</v>
      </c>
      <c r="B98" s="17" t="s">
        <v>140</v>
      </c>
      <c r="C98" s="15" t="n">
        <v>1</v>
      </c>
      <c r="D98" s="15" t="s">
        <v>170</v>
      </c>
      <c r="E98" s="17" t="s">
        <v>512</v>
      </c>
      <c r="F98" s="15" t="n">
        <v>2020</v>
      </c>
      <c r="G98" s="15" t="n">
        <v>2026</v>
      </c>
      <c r="H98" s="15" t="n">
        <v>2</v>
      </c>
      <c r="I98" s="15" t="n">
        <v>3000</v>
      </c>
      <c r="J98" s="15" t="s">
        <v>166</v>
      </c>
      <c r="K98" s="15" t="s">
        <v>120</v>
      </c>
      <c r="L98" s="17"/>
      <c r="M98" s="15" t="s">
        <v>521</v>
      </c>
      <c r="N98" s="15" t="s">
        <v>522</v>
      </c>
    </row>
    <row r="99" customFormat="false" ht="15" hidden="false" customHeight="false" outlineLevel="0" collapsed="false">
      <c r="A99" s="15" t="s">
        <v>523</v>
      </c>
      <c r="B99" s="17" t="s">
        <v>143</v>
      </c>
      <c r="C99" s="15" t="n">
        <v>1</v>
      </c>
      <c r="D99" s="15" t="s">
        <v>170</v>
      </c>
      <c r="E99" s="17" t="s">
        <v>475</v>
      </c>
      <c r="F99" s="15" t="n">
        <v>2022</v>
      </c>
      <c r="G99" s="15" t="n">
        <v>2022</v>
      </c>
      <c r="H99" s="15" t="n">
        <v>1</v>
      </c>
      <c r="I99" s="15" t="n">
        <v>250</v>
      </c>
      <c r="J99" s="15" t="s">
        <v>166</v>
      </c>
      <c r="K99" s="15" t="s">
        <v>120</v>
      </c>
      <c r="L99" s="17"/>
      <c r="M99" s="15" t="s">
        <v>524</v>
      </c>
      <c r="N99" s="15" t="s">
        <v>525</v>
      </c>
    </row>
    <row r="100" customFormat="false" ht="15" hidden="false" customHeight="false" outlineLevel="0" collapsed="false">
      <c r="A100" s="15" t="s">
        <v>526</v>
      </c>
      <c r="B100" s="17" t="s">
        <v>483</v>
      </c>
      <c r="C100" s="15" t="n">
        <v>2</v>
      </c>
      <c r="D100" s="15" t="s">
        <v>170</v>
      </c>
      <c r="E100" s="17" t="s">
        <v>475</v>
      </c>
      <c r="F100" s="15" t="n">
        <v>2022</v>
      </c>
      <c r="G100" s="15" t="n">
        <v>2022</v>
      </c>
      <c r="H100" s="15" t="n">
        <v>2</v>
      </c>
      <c r="I100" s="15" t="n">
        <v>500</v>
      </c>
      <c r="J100" s="15" t="s">
        <v>166</v>
      </c>
      <c r="K100" s="15" t="s">
        <v>120</v>
      </c>
      <c r="L100" s="17"/>
      <c r="M100" s="15" t="s">
        <v>527</v>
      </c>
      <c r="N100" s="15" t="s">
        <v>528</v>
      </c>
    </row>
    <row r="101" customFormat="false" ht="15" hidden="false" customHeight="false" outlineLevel="0" collapsed="false">
      <c r="A101" s="15" t="s">
        <v>529</v>
      </c>
      <c r="B101" s="17" t="s">
        <v>143</v>
      </c>
      <c r="C101" s="15" t="n">
        <v>1</v>
      </c>
      <c r="D101" s="15" t="s">
        <v>170</v>
      </c>
      <c r="E101" s="17" t="s">
        <v>475</v>
      </c>
      <c r="F101" s="15" t="n">
        <v>2022</v>
      </c>
      <c r="G101" s="15" t="n">
        <v>2026</v>
      </c>
      <c r="H101" s="15" t="n">
        <v>12</v>
      </c>
      <c r="I101" s="15" t="n">
        <v>5000</v>
      </c>
      <c r="J101" s="15" t="s">
        <v>166</v>
      </c>
      <c r="K101" s="15" t="s">
        <v>120</v>
      </c>
      <c r="L101" s="17"/>
      <c r="M101" s="15" t="s">
        <v>530</v>
      </c>
      <c r="N101" s="15" t="s">
        <v>531</v>
      </c>
    </row>
    <row r="102" customFormat="false" ht="15" hidden="false" customHeight="false" outlineLevel="0" collapsed="false">
      <c r="A102" s="15" t="s">
        <v>532</v>
      </c>
      <c r="B102" s="17" t="s">
        <v>139</v>
      </c>
      <c r="C102" s="15" t="n">
        <v>1</v>
      </c>
      <c r="D102" s="15" t="s">
        <v>170</v>
      </c>
      <c r="E102" s="17" t="s">
        <v>475</v>
      </c>
      <c r="F102" s="15" t="n">
        <v>2022</v>
      </c>
      <c r="G102" s="15" t="n">
        <v>2022</v>
      </c>
      <c r="H102" s="15" t="n">
        <v>1</v>
      </c>
      <c r="I102" s="15" t="n">
        <v>250</v>
      </c>
      <c r="J102" s="15" t="s">
        <v>166</v>
      </c>
      <c r="K102" s="15" t="s">
        <v>120</v>
      </c>
      <c r="L102" s="17"/>
      <c r="M102" s="15" t="s">
        <v>533</v>
      </c>
      <c r="N102" s="15" t="s">
        <v>534</v>
      </c>
    </row>
    <row r="103" customFormat="false" ht="15" hidden="false" customHeight="false" outlineLevel="0" collapsed="false">
      <c r="A103" s="15" t="s">
        <v>535</v>
      </c>
      <c r="B103" s="17" t="s">
        <v>143</v>
      </c>
      <c r="C103" s="15" t="n">
        <v>1</v>
      </c>
      <c r="D103" s="15" t="s">
        <v>170</v>
      </c>
      <c r="E103" s="17" t="s">
        <v>475</v>
      </c>
      <c r="F103" s="15" t="n">
        <v>2022</v>
      </c>
      <c r="G103" s="15" t="n">
        <v>2026</v>
      </c>
      <c r="H103" s="15" t="n">
        <v>5</v>
      </c>
      <c r="I103" s="15" t="n">
        <v>1000</v>
      </c>
      <c r="J103" s="15" t="s">
        <v>166</v>
      </c>
      <c r="K103" s="15" t="s">
        <v>120</v>
      </c>
      <c r="L103" s="17"/>
      <c r="M103" s="15" t="s">
        <v>536</v>
      </c>
      <c r="N103" s="15" t="s">
        <v>537</v>
      </c>
    </row>
    <row r="104" customFormat="false" ht="28.35" hidden="false" customHeight="false" outlineLevel="0" collapsed="false">
      <c r="A104" s="15" t="s">
        <v>538</v>
      </c>
      <c r="B104" s="17" t="s">
        <v>175</v>
      </c>
      <c r="C104" s="15" t="n">
        <v>3</v>
      </c>
      <c r="D104" s="15" t="s">
        <v>170</v>
      </c>
      <c r="E104" s="17" t="s">
        <v>539</v>
      </c>
      <c r="F104" s="15" t="n">
        <v>2022</v>
      </c>
      <c r="G104" s="15" t="n">
        <v>2026</v>
      </c>
      <c r="H104" s="15" t="n">
        <v>3</v>
      </c>
      <c r="I104" s="15" t="n">
        <v>6000</v>
      </c>
      <c r="J104" s="15" t="s">
        <v>201</v>
      </c>
      <c r="K104" s="15" t="s">
        <v>120</v>
      </c>
      <c r="L104" s="17"/>
      <c r="M104" s="15" t="s">
        <v>540</v>
      </c>
      <c r="N104" s="15" t="s">
        <v>541</v>
      </c>
    </row>
    <row r="105" customFormat="false" ht="15" hidden="false" customHeight="false" outlineLevel="0" collapsed="false">
      <c r="A105" s="15" t="s">
        <v>542</v>
      </c>
      <c r="B105" s="17" t="s">
        <v>143</v>
      </c>
      <c r="C105" s="15" t="n">
        <v>1</v>
      </c>
      <c r="D105" s="15" t="s">
        <v>170</v>
      </c>
      <c r="E105" s="17" t="s">
        <v>475</v>
      </c>
      <c r="F105" s="15" t="n">
        <v>2022</v>
      </c>
      <c r="G105" s="15" t="n">
        <v>2022</v>
      </c>
      <c r="H105" s="15" t="n">
        <v>1</v>
      </c>
      <c r="I105" s="15" t="n">
        <v>500</v>
      </c>
      <c r="J105" s="15" t="s">
        <v>166</v>
      </c>
      <c r="K105" s="15" t="s">
        <v>120</v>
      </c>
      <c r="L105" s="17"/>
      <c r="M105" s="15" t="s">
        <v>543</v>
      </c>
      <c r="N105" s="15" t="s">
        <v>544</v>
      </c>
    </row>
    <row r="106" customFormat="false" ht="15" hidden="false" customHeight="false" outlineLevel="0" collapsed="false">
      <c r="A106" s="15" t="s">
        <v>545</v>
      </c>
      <c r="B106" s="17" t="s">
        <v>143</v>
      </c>
      <c r="C106" s="15" t="n">
        <v>1</v>
      </c>
      <c r="D106" s="15" t="s">
        <v>170</v>
      </c>
      <c r="E106" s="17" t="s">
        <v>475</v>
      </c>
      <c r="F106" s="15" t="n">
        <v>2022</v>
      </c>
      <c r="G106" s="15" t="n">
        <v>2022</v>
      </c>
      <c r="H106" s="15" t="n">
        <v>1</v>
      </c>
      <c r="I106" s="15" t="n">
        <v>5000</v>
      </c>
      <c r="J106" s="15" t="s">
        <v>166</v>
      </c>
      <c r="K106" s="15" t="s">
        <v>120</v>
      </c>
      <c r="L106" s="17"/>
      <c r="M106" s="15" t="s">
        <v>546</v>
      </c>
      <c r="N106" s="15" t="s">
        <v>547</v>
      </c>
    </row>
    <row r="107" customFormat="false" ht="15" hidden="false" customHeight="false" outlineLevel="0" collapsed="false">
      <c r="A107" s="15" t="s">
        <v>548</v>
      </c>
      <c r="B107" s="17" t="s">
        <v>143</v>
      </c>
      <c r="C107" s="15" t="n">
        <v>1</v>
      </c>
      <c r="D107" s="15" t="s">
        <v>170</v>
      </c>
      <c r="E107" s="17" t="s">
        <v>475</v>
      </c>
      <c r="F107" s="15" t="n">
        <v>2022</v>
      </c>
      <c r="G107" s="15" t="n">
        <v>2022</v>
      </c>
      <c r="H107" s="15" t="n">
        <v>1</v>
      </c>
      <c r="I107" s="15" t="n">
        <v>500</v>
      </c>
      <c r="J107" s="15" t="s">
        <v>225</v>
      </c>
      <c r="K107" s="15" t="s">
        <v>120</v>
      </c>
      <c r="L107" s="17"/>
      <c r="M107" s="15" t="s">
        <v>549</v>
      </c>
      <c r="N107" s="15" t="s">
        <v>550</v>
      </c>
    </row>
    <row r="108" customFormat="false" ht="15" hidden="false" customHeight="false" outlineLevel="0" collapsed="false">
      <c r="A108" s="15" t="s">
        <v>551</v>
      </c>
      <c r="B108" s="17" t="s">
        <v>142</v>
      </c>
      <c r="C108" s="15" t="n">
        <v>1</v>
      </c>
      <c r="D108" s="15" t="s">
        <v>164</v>
      </c>
      <c r="E108" s="17" t="s">
        <v>552</v>
      </c>
      <c r="F108" s="15" t="n">
        <v>2024</v>
      </c>
      <c r="G108" s="15" t="n">
        <v>2024</v>
      </c>
      <c r="H108" s="15" t="n">
        <v>1</v>
      </c>
      <c r="I108" s="15" t="n">
        <v>500</v>
      </c>
      <c r="J108" s="15" t="s">
        <v>166</v>
      </c>
      <c r="K108" s="15" t="s">
        <v>120</v>
      </c>
      <c r="L108" s="17"/>
      <c r="M108" s="15" t="s">
        <v>553</v>
      </c>
      <c r="N108" s="15" t="s">
        <v>554</v>
      </c>
    </row>
    <row r="109" customFormat="false" ht="15" hidden="false" customHeight="false" outlineLevel="0" collapsed="false">
      <c r="A109" s="15" t="s">
        <v>555</v>
      </c>
      <c r="B109" s="17" t="s">
        <v>142</v>
      </c>
      <c r="C109" s="15" t="n">
        <v>1</v>
      </c>
      <c r="D109" s="15" t="s">
        <v>164</v>
      </c>
      <c r="E109" s="17" t="s">
        <v>552</v>
      </c>
      <c r="F109" s="15" t="n">
        <v>2024</v>
      </c>
      <c r="G109" s="15" t="n">
        <v>2024</v>
      </c>
      <c r="H109" s="15" t="n">
        <v>2</v>
      </c>
      <c r="I109" s="15" t="n">
        <v>1000</v>
      </c>
      <c r="J109" s="15" t="s">
        <v>166</v>
      </c>
      <c r="K109" s="15" t="s">
        <v>120</v>
      </c>
      <c r="L109" s="17"/>
      <c r="M109" s="15" t="s">
        <v>556</v>
      </c>
      <c r="N109" s="15" t="s">
        <v>557</v>
      </c>
    </row>
    <row r="110" customFormat="false" ht="15" hidden="false" customHeight="false" outlineLevel="0" collapsed="false">
      <c r="A110" s="15" t="s">
        <v>558</v>
      </c>
      <c r="B110" s="17" t="s">
        <v>137</v>
      </c>
      <c r="C110" s="15" t="n">
        <v>1</v>
      </c>
      <c r="D110" s="15" t="s">
        <v>170</v>
      </c>
      <c r="E110" s="17" t="s">
        <v>475</v>
      </c>
      <c r="F110" s="15" t="n">
        <v>2024</v>
      </c>
      <c r="G110" s="15" t="n">
        <v>2026</v>
      </c>
      <c r="H110" s="15" t="n">
        <v>2</v>
      </c>
      <c r="I110" s="15" t="n">
        <v>10000</v>
      </c>
      <c r="J110" s="15" t="s">
        <v>225</v>
      </c>
      <c r="K110" s="15" t="s">
        <v>120</v>
      </c>
      <c r="L110" s="17"/>
      <c r="M110" s="15" t="s">
        <v>559</v>
      </c>
      <c r="N110" s="15" t="s">
        <v>560</v>
      </c>
    </row>
    <row r="111" customFormat="false" ht="28.35" hidden="false" customHeight="false" outlineLevel="0" collapsed="false">
      <c r="A111" s="15" t="s">
        <v>561</v>
      </c>
      <c r="B111" s="17" t="s">
        <v>333</v>
      </c>
      <c r="C111" s="15" t="n">
        <v>3</v>
      </c>
      <c r="D111" s="15" t="s">
        <v>164</v>
      </c>
      <c r="E111" s="17" t="s">
        <v>562</v>
      </c>
      <c r="F111" s="15" t="n">
        <v>2024</v>
      </c>
      <c r="G111" s="15" t="n">
        <v>2024</v>
      </c>
      <c r="H111" s="15" t="n">
        <v>1</v>
      </c>
      <c r="I111" s="15" t="n">
        <v>250</v>
      </c>
      <c r="J111" s="15" t="s">
        <v>166</v>
      </c>
      <c r="K111" s="15" t="s">
        <v>120</v>
      </c>
      <c r="L111" s="17"/>
      <c r="M111" s="15" t="s">
        <v>563</v>
      </c>
      <c r="N111" s="15" t="s">
        <v>564</v>
      </c>
    </row>
    <row r="112" customFormat="false" ht="15" hidden="false" customHeight="false" outlineLevel="0" collapsed="false">
      <c r="A112" s="15" t="s">
        <v>565</v>
      </c>
      <c r="B112" s="17" t="s">
        <v>143</v>
      </c>
      <c r="C112" s="15" t="n">
        <v>1</v>
      </c>
      <c r="D112" s="15" t="s">
        <v>164</v>
      </c>
      <c r="E112" s="17" t="s">
        <v>552</v>
      </c>
      <c r="F112" s="15" t="n">
        <v>2024</v>
      </c>
      <c r="G112" s="15" t="n">
        <v>2024</v>
      </c>
      <c r="H112" s="15" t="n">
        <v>1</v>
      </c>
      <c r="I112" s="15" t="n">
        <v>250</v>
      </c>
      <c r="J112" s="15" t="s">
        <v>166</v>
      </c>
      <c r="K112" s="15" t="s">
        <v>120</v>
      </c>
      <c r="L112" s="17"/>
      <c r="M112" s="15" t="s">
        <v>566</v>
      </c>
      <c r="N112" s="15" t="s">
        <v>567</v>
      </c>
    </row>
    <row r="113" customFormat="false" ht="28.35" hidden="false" customHeight="false" outlineLevel="0" collapsed="false">
      <c r="A113" s="15" t="s">
        <v>568</v>
      </c>
      <c r="B113" s="17" t="s">
        <v>142</v>
      </c>
      <c r="C113" s="15" t="n">
        <v>1</v>
      </c>
      <c r="D113" s="15" t="s">
        <v>170</v>
      </c>
      <c r="E113" s="17" t="s">
        <v>569</v>
      </c>
      <c r="F113" s="15" t="n">
        <v>2024</v>
      </c>
      <c r="G113" s="15" t="n">
        <v>2026</v>
      </c>
      <c r="H113" s="15" t="n">
        <v>2</v>
      </c>
      <c r="I113" s="15" t="n">
        <v>1000</v>
      </c>
      <c r="J113" s="15" t="s">
        <v>201</v>
      </c>
      <c r="K113" s="15" t="s">
        <v>120</v>
      </c>
      <c r="L113" s="17"/>
      <c r="M113" s="15" t="s">
        <v>570</v>
      </c>
      <c r="N113" s="15" t="s">
        <v>571</v>
      </c>
    </row>
    <row r="114" customFormat="false" ht="41.75" hidden="false" customHeight="false" outlineLevel="0" collapsed="false">
      <c r="A114" s="15" t="s">
        <v>572</v>
      </c>
      <c r="B114" s="17" t="s">
        <v>268</v>
      </c>
      <c r="C114" s="15" t="n">
        <v>4</v>
      </c>
      <c r="D114" s="15" t="s">
        <v>170</v>
      </c>
      <c r="E114" s="17" t="s">
        <v>573</v>
      </c>
      <c r="F114" s="15" t="n">
        <v>2024</v>
      </c>
      <c r="G114" s="15" t="n">
        <v>2026</v>
      </c>
      <c r="H114" s="15" t="n">
        <v>4</v>
      </c>
      <c r="I114" s="15" t="n">
        <v>19000</v>
      </c>
      <c r="J114" s="15" t="s">
        <v>201</v>
      </c>
      <c r="K114" s="15" t="s">
        <v>120</v>
      </c>
      <c r="L114" s="17"/>
      <c r="M114" s="15" t="s">
        <v>574</v>
      </c>
      <c r="N114" s="15" t="s">
        <v>575</v>
      </c>
    </row>
    <row r="115" customFormat="false" ht="28.35" hidden="false" customHeight="false" outlineLevel="0" collapsed="false">
      <c r="A115" s="15" t="s">
        <v>576</v>
      </c>
      <c r="B115" s="17" t="s">
        <v>577</v>
      </c>
      <c r="C115" s="15" t="n">
        <v>2</v>
      </c>
      <c r="D115" s="15" t="s">
        <v>164</v>
      </c>
      <c r="E115" s="17" t="s">
        <v>578</v>
      </c>
      <c r="F115" s="15" t="n">
        <v>2024</v>
      </c>
      <c r="G115" s="15" t="n">
        <v>2024</v>
      </c>
      <c r="H115" s="15" t="n">
        <v>2</v>
      </c>
      <c r="I115" s="15" t="n">
        <v>13000</v>
      </c>
      <c r="J115" s="15" t="s">
        <v>166</v>
      </c>
      <c r="K115" s="15" t="s">
        <v>120</v>
      </c>
      <c r="L115" s="17"/>
      <c r="M115" s="15" t="s">
        <v>579</v>
      </c>
      <c r="N115" s="15" t="s">
        <v>580</v>
      </c>
    </row>
    <row r="116" customFormat="false" ht="41.75" hidden="false" customHeight="false" outlineLevel="0" collapsed="false">
      <c r="A116" s="15" t="s">
        <v>581</v>
      </c>
      <c r="B116" s="17" t="s">
        <v>182</v>
      </c>
      <c r="C116" s="15" t="n">
        <v>3</v>
      </c>
      <c r="D116" s="15" t="s">
        <v>164</v>
      </c>
      <c r="E116" s="17" t="s">
        <v>582</v>
      </c>
      <c r="F116" s="15" t="n">
        <v>2024</v>
      </c>
      <c r="G116" s="15" t="n">
        <v>2026</v>
      </c>
      <c r="H116" s="15" t="n">
        <v>5</v>
      </c>
      <c r="I116" s="15" t="n">
        <v>65000</v>
      </c>
      <c r="J116" s="15" t="s">
        <v>166</v>
      </c>
      <c r="K116" s="15" t="s">
        <v>120</v>
      </c>
      <c r="L116" s="17"/>
      <c r="M116" s="15" t="s">
        <v>583</v>
      </c>
      <c r="N116" s="15" t="s">
        <v>584</v>
      </c>
    </row>
    <row r="117" customFormat="false" ht="15" hidden="false" customHeight="false" outlineLevel="0" collapsed="false">
      <c r="A117" s="15" t="s">
        <v>585</v>
      </c>
      <c r="B117" s="17" t="s">
        <v>142</v>
      </c>
      <c r="C117" s="15" t="n">
        <v>1</v>
      </c>
      <c r="D117" s="15" t="s">
        <v>164</v>
      </c>
      <c r="E117" s="17" t="s">
        <v>552</v>
      </c>
      <c r="F117" s="15" t="n">
        <v>2024</v>
      </c>
      <c r="G117" s="15" t="n">
        <v>2024</v>
      </c>
      <c r="H117" s="15" t="n">
        <v>1</v>
      </c>
      <c r="I117" s="15" t="n">
        <v>500</v>
      </c>
      <c r="J117" s="15" t="s">
        <v>166</v>
      </c>
      <c r="K117" s="15" t="s">
        <v>120</v>
      </c>
      <c r="L117" s="17"/>
      <c r="M117" s="15" t="s">
        <v>586</v>
      </c>
      <c r="N117" s="15" t="s">
        <v>587</v>
      </c>
    </row>
    <row r="118" customFormat="false" ht="15" hidden="false" customHeight="false" outlineLevel="0" collapsed="false">
      <c r="A118" s="15" t="s">
        <v>588</v>
      </c>
      <c r="B118" s="17" t="s">
        <v>142</v>
      </c>
      <c r="C118" s="15" t="n">
        <v>1</v>
      </c>
      <c r="D118" s="15" t="s">
        <v>164</v>
      </c>
      <c r="E118" s="17" t="s">
        <v>589</v>
      </c>
      <c r="F118" s="15" t="n">
        <v>2025</v>
      </c>
      <c r="G118" s="15" t="n">
        <v>2025</v>
      </c>
      <c r="H118" s="15" t="n">
        <v>1</v>
      </c>
      <c r="I118" s="15" t="n">
        <v>250</v>
      </c>
      <c r="J118" s="15" t="s">
        <v>166</v>
      </c>
      <c r="K118" s="15" t="s">
        <v>120</v>
      </c>
      <c r="L118" s="17"/>
      <c r="M118" s="15" t="s">
        <v>590</v>
      </c>
      <c r="N118" s="15" t="s">
        <v>591</v>
      </c>
    </row>
    <row r="119" customFormat="false" ht="15" hidden="false" customHeight="false" outlineLevel="0" collapsed="false">
      <c r="A119" s="15" t="s">
        <v>592</v>
      </c>
      <c r="B119" s="17" t="s">
        <v>143</v>
      </c>
      <c r="C119" s="15" t="n">
        <v>1</v>
      </c>
      <c r="D119" s="15" t="s">
        <v>164</v>
      </c>
      <c r="E119" s="17" t="s">
        <v>593</v>
      </c>
      <c r="F119" s="15" t="n">
        <v>2026</v>
      </c>
      <c r="G119" s="15" t="n">
        <v>2026</v>
      </c>
      <c r="H119" s="15" t="n">
        <v>1</v>
      </c>
      <c r="I119" s="15" t="n">
        <v>10000</v>
      </c>
      <c r="J119" s="15" t="s">
        <v>166</v>
      </c>
      <c r="K119" s="15" t="s">
        <v>120</v>
      </c>
      <c r="L119" s="17"/>
      <c r="M119" s="15" t="s">
        <v>594</v>
      </c>
      <c r="N119" s="15" t="s">
        <v>595</v>
      </c>
    </row>
    <row r="120" customFormat="false" ht="15" hidden="false" customHeight="false" outlineLevel="0" collapsed="false">
      <c r="A120" s="15" t="s">
        <v>596</v>
      </c>
      <c r="B120" s="17" t="s">
        <v>143</v>
      </c>
      <c r="C120" s="15" t="n">
        <v>1</v>
      </c>
      <c r="D120" s="15" t="s">
        <v>164</v>
      </c>
      <c r="E120" s="17" t="s">
        <v>593</v>
      </c>
      <c r="F120" s="15" t="n">
        <v>2026</v>
      </c>
      <c r="G120" s="15" t="n">
        <v>2026</v>
      </c>
      <c r="H120" s="15" t="n">
        <v>2</v>
      </c>
      <c r="I120" s="15" t="n">
        <v>2000</v>
      </c>
      <c r="J120" s="15" t="s">
        <v>166</v>
      </c>
      <c r="K120" s="15" t="s">
        <v>120</v>
      </c>
      <c r="L120" s="17"/>
      <c r="M120" s="15" t="s">
        <v>597</v>
      </c>
      <c r="N120" s="15" t="s">
        <v>598</v>
      </c>
    </row>
    <row r="121" customFormat="false" ht="28.35" hidden="false" customHeight="false" outlineLevel="0" collapsed="false">
      <c r="A121" s="15" t="s">
        <v>599</v>
      </c>
      <c r="B121" s="17" t="s">
        <v>143</v>
      </c>
      <c r="C121" s="15" t="n">
        <v>1</v>
      </c>
      <c r="D121" s="15" t="s">
        <v>170</v>
      </c>
      <c r="E121" s="17" t="s">
        <v>600</v>
      </c>
      <c r="F121" s="15" t="n">
        <v>2026</v>
      </c>
      <c r="G121" s="15" t="n">
        <v>2026</v>
      </c>
      <c r="H121" s="15" t="n">
        <v>3</v>
      </c>
      <c r="I121" s="15" t="n">
        <v>5000</v>
      </c>
      <c r="J121" s="15" t="s">
        <v>166</v>
      </c>
      <c r="K121" s="15" t="s">
        <v>120</v>
      </c>
      <c r="L121" s="17"/>
      <c r="M121" s="15" t="s">
        <v>601</v>
      </c>
      <c r="N121" s="15" t="s">
        <v>602</v>
      </c>
    </row>
    <row r="122" customFormat="false" ht="15" hidden="false" customHeight="false" outlineLevel="0" collapsed="false">
      <c r="A122" s="15" t="s">
        <v>603</v>
      </c>
      <c r="B122" s="17" t="s">
        <v>483</v>
      </c>
      <c r="C122" s="15" t="n">
        <v>2</v>
      </c>
      <c r="D122" s="15" t="s">
        <v>164</v>
      </c>
      <c r="E122" s="17" t="s">
        <v>593</v>
      </c>
      <c r="F122" s="15" t="n">
        <v>2026</v>
      </c>
      <c r="G122" s="15" t="n">
        <v>2026</v>
      </c>
      <c r="H122" s="15" t="n">
        <v>1</v>
      </c>
      <c r="I122" s="15" t="n">
        <v>5000</v>
      </c>
      <c r="J122" s="15" t="s">
        <v>225</v>
      </c>
      <c r="K122" s="15" t="s">
        <v>120</v>
      </c>
      <c r="L122" s="17"/>
      <c r="M122" s="15" t="s">
        <v>604</v>
      </c>
      <c r="N122" s="15" t="s">
        <v>605</v>
      </c>
    </row>
    <row r="123" customFormat="false" ht="28.35" hidden="false" customHeight="false" outlineLevel="0" collapsed="false">
      <c r="A123" s="15" t="s">
        <v>606</v>
      </c>
      <c r="B123" s="17" t="s">
        <v>137</v>
      </c>
      <c r="C123" s="15" t="n">
        <v>1</v>
      </c>
      <c r="D123" s="15" t="s">
        <v>164</v>
      </c>
      <c r="E123" s="17" t="s">
        <v>593</v>
      </c>
      <c r="F123" s="15" t="n">
        <v>2026</v>
      </c>
      <c r="G123" s="15" t="n">
        <v>2026</v>
      </c>
      <c r="H123" s="15" t="n">
        <v>1</v>
      </c>
      <c r="I123" s="15" t="n">
        <v>5000</v>
      </c>
      <c r="J123" s="15" t="s">
        <v>195</v>
      </c>
      <c r="K123" s="15" t="s">
        <v>122</v>
      </c>
      <c r="L123" s="17" t="s">
        <v>607</v>
      </c>
      <c r="M123" s="15" t="s">
        <v>608</v>
      </c>
      <c r="N123" s="15" t="s">
        <v>609</v>
      </c>
    </row>
    <row r="124" customFormat="false" ht="28.35" hidden="false" customHeight="false" outlineLevel="0" collapsed="false">
      <c r="A124" s="15" t="s">
        <v>610</v>
      </c>
      <c r="B124" s="17" t="s">
        <v>611</v>
      </c>
      <c r="C124" s="15" t="n">
        <v>3</v>
      </c>
      <c r="D124" s="15" t="s">
        <v>164</v>
      </c>
      <c r="E124" s="17" t="s">
        <v>612</v>
      </c>
      <c r="F124" s="15" t="n">
        <v>2026</v>
      </c>
      <c r="G124" s="15" t="n">
        <v>2026</v>
      </c>
      <c r="H124" s="15" t="n">
        <v>1</v>
      </c>
      <c r="I124" s="15" t="n">
        <v>3000</v>
      </c>
      <c r="J124" s="15" t="s">
        <v>166</v>
      </c>
      <c r="K124" s="15" t="s">
        <v>120</v>
      </c>
      <c r="L124" s="17"/>
      <c r="M124" s="15" t="s">
        <v>613</v>
      </c>
      <c r="N124" s="15" t="s">
        <v>614</v>
      </c>
    </row>
    <row r="125" customFormat="false" ht="15" hidden="false" customHeight="false" outlineLevel="0" collapsed="false">
      <c r="A125" s="15" t="s">
        <v>615</v>
      </c>
      <c r="B125" s="17" t="s">
        <v>142</v>
      </c>
      <c r="C125" s="15" t="n">
        <v>1</v>
      </c>
      <c r="D125" s="15" t="s">
        <v>170</v>
      </c>
      <c r="E125" s="17" t="s">
        <v>475</v>
      </c>
      <c r="F125" s="15" t="n">
        <v>2026</v>
      </c>
      <c r="G125" s="15" t="n">
        <v>2026</v>
      </c>
      <c r="H125" s="15" t="n">
        <v>3</v>
      </c>
      <c r="I125" s="15" t="n">
        <v>250</v>
      </c>
      <c r="J125" s="15" t="s">
        <v>166</v>
      </c>
      <c r="K125" s="15" t="s">
        <v>120</v>
      </c>
      <c r="L125" s="17"/>
      <c r="M125" s="15" t="s">
        <v>616</v>
      </c>
      <c r="N125" s="15" t="s">
        <v>617</v>
      </c>
    </row>
    <row r="126" customFormat="false" ht="15" hidden="false" customHeight="false" outlineLevel="0" collapsed="false">
      <c r="A126" s="15" t="s">
        <v>618</v>
      </c>
      <c r="B126" s="17" t="s">
        <v>140</v>
      </c>
      <c r="C126" s="15" t="n">
        <v>1</v>
      </c>
      <c r="D126" s="15" t="s">
        <v>170</v>
      </c>
      <c r="E126" s="17" t="s">
        <v>475</v>
      </c>
      <c r="F126" s="15" t="n">
        <v>2026</v>
      </c>
      <c r="G126" s="15" t="n">
        <v>2026</v>
      </c>
      <c r="H126" s="15" t="n">
        <v>1</v>
      </c>
      <c r="I126" s="15" t="n">
        <v>3000</v>
      </c>
      <c r="J126" s="15" t="s">
        <v>166</v>
      </c>
      <c r="K126" s="15" t="s">
        <v>120</v>
      </c>
      <c r="L126" s="17"/>
      <c r="M126" s="15" t="s">
        <v>619</v>
      </c>
      <c r="N126" s="15" t="s">
        <v>620</v>
      </c>
    </row>
    <row r="127" customFormat="false" ht="41.75" hidden="false" customHeight="false" outlineLevel="0" collapsed="false">
      <c r="A127" s="15" t="s">
        <v>621</v>
      </c>
      <c r="B127" s="17" t="s">
        <v>304</v>
      </c>
      <c r="C127" s="15" t="n">
        <v>5</v>
      </c>
      <c r="D127" s="15" t="s">
        <v>170</v>
      </c>
      <c r="E127" s="17" t="s">
        <v>475</v>
      </c>
      <c r="F127" s="15" t="n">
        <v>2026</v>
      </c>
      <c r="G127" s="15" t="n">
        <v>2026</v>
      </c>
      <c r="H127" s="15" t="n">
        <v>2</v>
      </c>
      <c r="I127" s="15" t="n">
        <v>250</v>
      </c>
      <c r="J127" s="15" t="s">
        <v>166</v>
      </c>
      <c r="K127" s="15" t="s">
        <v>120</v>
      </c>
      <c r="L127" s="17"/>
      <c r="M127" s="15" t="s">
        <v>622</v>
      </c>
      <c r="N127" s="15" t="s">
        <v>623</v>
      </c>
    </row>
    <row r="128" customFormat="false" ht="28.35" hidden="false" customHeight="false" outlineLevel="0" collapsed="false">
      <c r="A128" s="15" t="s">
        <v>624</v>
      </c>
      <c r="B128" s="17" t="s">
        <v>444</v>
      </c>
      <c r="C128" s="15" t="n">
        <v>3</v>
      </c>
      <c r="D128" s="15" t="s">
        <v>170</v>
      </c>
      <c r="E128" s="17" t="s">
        <v>475</v>
      </c>
      <c r="F128" s="15" t="n">
        <v>2026</v>
      </c>
      <c r="G128" s="15" t="n">
        <v>2026</v>
      </c>
      <c r="H128" s="15" t="n">
        <v>1</v>
      </c>
      <c r="I128" s="15" t="n">
        <v>250</v>
      </c>
      <c r="J128" s="15" t="s">
        <v>166</v>
      </c>
      <c r="K128" s="15" t="s">
        <v>120</v>
      </c>
      <c r="L128" s="17"/>
      <c r="M128" s="15" t="s">
        <v>625</v>
      </c>
      <c r="N128" s="15" t="s">
        <v>626</v>
      </c>
    </row>
    <row r="129" customFormat="false" ht="15" hidden="false" customHeight="false" outlineLevel="0" collapsed="false">
      <c r="A129" s="15" t="s">
        <v>627</v>
      </c>
      <c r="B129" s="17" t="s">
        <v>142</v>
      </c>
      <c r="C129" s="15" t="n">
        <v>1</v>
      </c>
      <c r="D129" s="15" t="s">
        <v>170</v>
      </c>
      <c r="E129" s="17" t="s">
        <v>475</v>
      </c>
      <c r="F129" s="15" t="n">
        <v>2026</v>
      </c>
      <c r="G129" s="15" t="n">
        <v>2026</v>
      </c>
      <c r="H129" s="15" t="n">
        <v>2</v>
      </c>
      <c r="I129" s="15" t="n">
        <v>250</v>
      </c>
      <c r="J129" s="15" t="s">
        <v>166</v>
      </c>
      <c r="K129" s="15" t="s">
        <v>120</v>
      </c>
      <c r="L129" s="17"/>
      <c r="M129" s="15" t="s">
        <v>628</v>
      </c>
      <c r="N129" s="15" t="s">
        <v>629</v>
      </c>
    </row>
    <row r="130" customFormat="false" ht="28.35" hidden="false" customHeight="false" outlineLevel="0" collapsed="false">
      <c r="A130" s="15" t="s">
        <v>630</v>
      </c>
      <c r="B130" s="17" t="s">
        <v>422</v>
      </c>
      <c r="C130" s="15" t="n">
        <v>2</v>
      </c>
      <c r="D130" s="15" t="s">
        <v>170</v>
      </c>
      <c r="E130" s="17" t="s">
        <v>475</v>
      </c>
      <c r="F130" s="15" t="n">
        <v>2026</v>
      </c>
      <c r="G130" s="15" t="n">
        <v>2026</v>
      </c>
      <c r="H130" s="15" t="n">
        <v>1</v>
      </c>
      <c r="I130" s="15" t="n">
        <v>250</v>
      </c>
      <c r="J130" s="15" t="s">
        <v>166</v>
      </c>
      <c r="K130" s="15" t="s">
        <v>120</v>
      </c>
      <c r="L130" s="17"/>
      <c r="M130" s="15" t="s">
        <v>631</v>
      </c>
      <c r="N130" s="15" t="s">
        <v>632</v>
      </c>
    </row>
    <row r="131" customFormat="false" ht="15" hidden="false" customHeight="false" outlineLevel="0" collapsed="false">
      <c r="A131" s="15" t="s">
        <v>633</v>
      </c>
      <c r="B131" s="17" t="s">
        <v>143</v>
      </c>
      <c r="C131" s="15" t="n">
        <v>1</v>
      </c>
      <c r="D131" s="15" t="s">
        <v>170</v>
      </c>
      <c r="E131" s="17" t="s">
        <v>475</v>
      </c>
      <c r="F131" s="15" t="n">
        <v>2026</v>
      </c>
      <c r="G131" s="15" t="n">
        <v>2026</v>
      </c>
      <c r="H131" s="15" t="n">
        <v>1</v>
      </c>
      <c r="I131" s="15" t="n">
        <v>250</v>
      </c>
      <c r="J131" s="15" t="s">
        <v>166</v>
      </c>
      <c r="K131" s="15" t="s">
        <v>120</v>
      </c>
      <c r="L131" s="17"/>
      <c r="M131" s="15" t="s">
        <v>634</v>
      </c>
      <c r="N131" s="15" t="s">
        <v>635</v>
      </c>
    </row>
    <row r="132" customFormat="false" ht="15" hidden="false" customHeight="false" outlineLevel="0" collapsed="false">
      <c r="A132" s="15" t="s">
        <v>636</v>
      </c>
      <c r="B132" s="17" t="s">
        <v>142</v>
      </c>
      <c r="C132" s="15" t="n">
        <v>1</v>
      </c>
      <c r="D132" s="15" t="s">
        <v>170</v>
      </c>
      <c r="E132" s="17" t="s">
        <v>475</v>
      </c>
      <c r="F132" s="15" t="n">
        <v>2026</v>
      </c>
      <c r="G132" s="15" t="n">
        <v>2026</v>
      </c>
      <c r="H132" s="15" t="n">
        <v>2</v>
      </c>
      <c r="I132" s="15" t="n">
        <v>250</v>
      </c>
      <c r="J132" s="15" t="s">
        <v>166</v>
      </c>
      <c r="K132" s="15" t="s">
        <v>120</v>
      </c>
      <c r="L132" s="17"/>
      <c r="M132" s="15" t="s">
        <v>637</v>
      </c>
      <c r="N132" s="15" t="s">
        <v>638</v>
      </c>
    </row>
    <row r="133" customFormat="false" ht="15" hidden="false" customHeight="false" outlineLevel="0" collapsed="false">
      <c r="A133" s="15" t="s">
        <v>639</v>
      </c>
      <c r="B133" s="17" t="s">
        <v>143</v>
      </c>
      <c r="C133" s="15" t="n">
        <v>1</v>
      </c>
      <c r="D133" s="15" t="s">
        <v>170</v>
      </c>
      <c r="E133" s="17" t="s">
        <v>475</v>
      </c>
      <c r="F133" s="15" t="n">
        <v>2026</v>
      </c>
      <c r="G133" s="15" t="n">
        <v>2026</v>
      </c>
      <c r="H133" s="15" t="n">
        <v>1</v>
      </c>
      <c r="I133" s="15" t="n">
        <v>500</v>
      </c>
      <c r="J133" s="15" t="s">
        <v>166</v>
      </c>
      <c r="K133" s="15" t="s">
        <v>120</v>
      </c>
      <c r="L133" s="17"/>
      <c r="M133" s="15" t="s">
        <v>640</v>
      </c>
      <c r="N133" s="15" t="s">
        <v>641</v>
      </c>
    </row>
    <row r="134" customFormat="false" ht="15" hidden="false" customHeight="false" outlineLevel="0" collapsed="false">
      <c r="A134" s="15" t="s">
        <v>642</v>
      </c>
      <c r="B134" s="17" t="s">
        <v>643</v>
      </c>
      <c r="C134" s="15" t="n">
        <v>2</v>
      </c>
      <c r="D134" s="15" t="s">
        <v>170</v>
      </c>
      <c r="E134" s="17" t="s">
        <v>475</v>
      </c>
      <c r="F134" s="15" t="n">
        <v>2026</v>
      </c>
      <c r="G134" s="15" t="n">
        <v>2026</v>
      </c>
      <c r="H134" s="15" t="n">
        <v>1</v>
      </c>
      <c r="I134" s="15" t="n">
        <v>250</v>
      </c>
      <c r="J134" s="15" t="s">
        <v>166</v>
      </c>
      <c r="K134" s="15" t="s">
        <v>120</v>
      </c>
      <c r="L134" s="17"/>
      <c r="M134" s="15" t="s">
        <v>644</v>
      </c>
      <c r="N134" s="15" t="s">
        <v>645</v>
      </c>
    </row>
    <row r="135" customFormat="false" ht="15" hidden="false" customHeight="false" outlineLevel="0" collapsed="false">
      <c r="A135" s="15" t="s">
        <v>646</v>
      </c>
      <c r="B135" s="17" t="s">
        <v>137</v>
      </c>
      <c r="C135" s="15" t="n">
        <v>1</v>
      </c>
      <c r="D135" s="15" t="s">
        <v>170</v>
      </c>
      <c r="E135" s="17" t="s">
        <v>475</v>
      </c>
      <c r="F135" s="15" t="n">
        <v>2026</v>
      </c>
      <c r="G135" s="15" t="n">
        <v>2026</v>
      </c>
      <c r="H135" s="15" t="n">
        <v>1</v>
      </c>
      <c r="I135" s="15" t="n">
        <v>250</v>
      </c>
      <c r="J135" s="15" t="s">
        <v>166</v>
      </c>
      <c r="K135" s="15" t="s">
        <v>120</v>
      </c>
      <c r="L135" s="17"/>
      <c r="M135" s="15" t="s">
        <v>647</v>
      </c>
      <c r="N135" s="15" t="s">
        <v>648</v>
      </c>
    </row>
    <row r="136" customFormat="false" ht="15" hidden="false" customHeight="false" outlineLevel="0" collapsed="false">
      <c r="A136" s="15" t="s">
        <v>649</v>
      </c>
      <c r="B136" s="17" t="s">
        <v>143</v>
      </c>
      <c r="C136" s="15" t="n">
        <v>1</v>
      </c>
      <c r="D136" s="15" t="s">
        <v>170</v>
      </c>
      <c r="E136" s="17" t="s">
        <v>475</v>
      </c>
      <c r="F136" s="15" t="n">
        <v>2026</v>
      </c>
      <c r="G136" s="15" t="n">
        <v>2026</v>
      </c>
      <c r="H136" s="15" t="n">
        <v>1</v>
      </c>
      <c r="I136" s="15" t="n">
        <v>250</v>
      </c>
      <c r="J136" s="15" t="s">
        <v>166</v>
      </c>
      <c r="K136" s="15" t="s">
        <v>120</v>
      </c>
      <c r="L136" s="17"/>
      <c r="M136" s="15" t="s">
        <v>650</v>
      </c>
      <c r="N136" s="15" t="s">
        <v>651</v>
      </c>
    </row>
  </sheetData>
  <mergeCells count="1">
    <mergeCell ref="A1:H1"/>
  </mergeCells>
  <hyperlinks>
    <hyperlink ref="A2" r:id="rId1" location="'Start%20here'!A1" display="← Back to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8F99"/>
    <pageSetUpPr fitToPage="false"/>
  </sheetPr>
  <dimension ref="A1:D2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10"/>
    <col collapsed="false" customWidth="true" hidden="false" outlineLevel="0" max="4" min="4" style="0" width="60"/>
  </cols>
  <sheetData>
    <row r="1" customFormat="false" ht="42" hidden="false" customHeight="true" outlineLevel="0" collapsed="false">
      <c r="A1" s="12" t="s">
        <v>652</v>
      </c>
      <c r="B1" s="12"/>
      <c r="C1" s="12"/>
      <c r="D1" s="12"/>
    </row>
    <row r="2" customFormat="false" ht="15" hidden="false" customHeight="false" outlineLevel="0" collapsed="false">
      <c r="A2" s="13" t="s">
        <v>129</v>
      </c>
    </row>
    <row r="4" customFormat="false" ht="33.75" hidden="false" customHeight="true" outlineLevel="0" collapsed="false">
      <c r="A4" s="14" t="s">
        <v>110</v>
      </c>
      <c r="B4" s="14" t="s">
        <v>150</v>
      </c>
      <c r="C4" s="14" t="s">
        <v>151</v>
      </c>
      <c r="D4" s="14" t="s">
        <v>653</v>
      </c>
    </row>
    <row r="5" customFormat="false" ht="15" hidden="false" customHeight="false" outlineLevel="0" collapsed="false">
      <c r="A5" s="15" t="s">
        <v>654</v>
      </c>
      <c r="B5" s="17" t="s">
        <v>143</v>
      </c>
      <c r="C5" s="15" t="n">
        <v>1</v>
      </c>
      <c r="D5" s="17" t="s">
        <v>655</v>
      </c>
    </row>
    <row r="6" customFormat="false" ht="28.35" hidden="false" customHeight="false" outlineLevel="0" collapsed="false">
      <c r="A6" s="15" t="s">
        <v>656</v>
      </c>
      <c r="B6" s="17" t="s">
        <v>657</v>
      </c>
      <c r="C6" s="15" t="n">
        <v>3</v>
      </c>
      <c r="D6" s="17" t="s">
        <v>658</v>
      </c>
    </row>
    <row r="7" customFormat="false" ht="28.35" hidden="false" customHeight="false" outlineLevel="0" collapsed="false">
      <c r="A7" s="15" t="s">
        <v>659</v>
      </c>
      <c r="B7" s="17" t="s">
        <v>175</v>
      </c>
      <c r="C7" s="15" t="n">
        <v>3</v>
      </c>
      <c r="D7" s="17" t="s">
        <v>660</v>
      </c>
    </row>
    <row r="8" customFormat="false" ht="28.35" hidden="false" customHeight="false" outlineLevel="0" collapsed="false">
      <c r="A8" s="15" t="s">
        <v>661</v>
      </c>
      <c r="B8" s="17" t="s">
        <v>175</v>
      </c>
      <c r="C8" s="15" t="n">
        <v>3</v>
      </c>
      <c r="D8" s="17" t="s">
        <v>662</v>
      </c>
    </row>
    <row r="9" customFormat="false" ht="15" hidden="false" customHeight="false" outlineLevel="0" collapsed="false">
      <c r="A9" s="15" t="s">
        <v>663</v>
      </c>
      <c r="B9" s="17" t="s">
        <v>143</v>
      </c>
      <c r="C9" s="15" t="n">
        <v>1</v>
      </c>
      <c r="D9" s="17" t="s">
        <v>664</v>
      </c>
    </row>
    <row r="10" customFormat="false" ht="15" hidden="false" customHeight="false" outlineLevel="0" collapsed="false">
      <c r="A10" s="15" t="s">
        <v>665</v>
      </c>
      <c r="B10" s="17" t="s">
        <v>143</v>
      </c>
      <c r="C10" s="15" t="n">
        <v>1</v>
      </c>
      <c r="D10" s="17" t="s">
        <v>664</v>
      </c>
    </row>
    <row r="11" customFormat="false" ht="15" hidden="false" customHeight="false" outlineLevel="0" collapsed="false">
      <c r="A11" s="15" t="s">
        <v>666</v>
      </c>
      <c r="B11" s="17" t="s">
        <v>483</v>
      </c>
      <c r="C11" s="15" t="n">
        <v>2</v>
      </c>
      <c r="D11" s="17" t="s">
        <v>667</v>
      </c>
    </row>
    <row r="12" customFormat="false" ht="15" hidden="false" customHeight="false" outlineLevel="0" collapsed="false">
      <c r="A12" s="15" t="s">
        <v>668</v>
      </c>
      <c r="B12" s="17" t="s">
        <v>143</v>
      </c>
      <c r="C12" s="15" t="n">
        <v>1</v>
      </c>
      <c r="D12" s="17" t="s">
        <v>669</v>
      </c>
    </row>
    <row r="13" customFormat="false" ht="28.35" hidden="false" customHeight="false" outlineLevel="0" collapsed="false">
      <c r="A13" s="15" t="s">
        <v>670</v>
      </c>
      <c r="B13" s="17" t="s">
        <v>143</v>
      </c>
      <c r="C13" s="15" t="n">
        <v>1</v>
      </c>
      <c r="D13" s="17" t="s">
        <v>671</v>
      </c>
    </row>
    <row r="14" customFormat="false" ht="28.35" hidden="false" customHeight="false" outlineLevel="0" collapsed="false">
      <c r="A14" s="15" t="s">
        <v>672</v>
      </c>
      <c r="B14" s="17" t="s">
        <v>673</v>
      </c>
      <c r="C14" s="15" t="n">
        <v>4</v>
      </c>
      <c r="D14" s="17" t="s">
        <v>674</v>
      </c>
    </row>
    <row r="15" customFormat="false" ht="15" hidden="false" customHeight="false" outlineLevel="0" collapsed="false">
      <c r="A15" s="15" t="s">
        <v>675</v>
      </c>
      <c r="B15" s="17" t="s">
        <v>483</v>
      </c>
      <c r="C15" s="15" t="n">
        <v>2</v>
      </c>
      <c r="D15" s="17" t="s">
        <v>676</v>
      </c>
    </row>
    <row r="16" customFormat="false" ht="15" hidden="false" customHeight="false" outlineLevel="0" collapsed="false">
      <c r="A16" s="15" t="s">
        <v>677</v>
      </c>
      <c r="B16" s="17" t="s">
        <v>143</v>
      </c>
      <c r="C16" s="15" t="n">
        <v>1</v>
      </c>
      <c r="D16" s="17" t="s">
        <v>674</v>
      </c>
    </row>
    <row r="17" customFormat="false" ht="28.35" hidden="false" customHeight="false" outlineLevel="0" collapsed="false">
      <c r="A17" s="15" t="s">
        <v>678</v>
      </c>
      <c r="B17" s="17" t="s">
        <v>251</v>
      </c>
      <c r="C17" s="15" t="n">
        <v>4</v>
      </c>
      <c r="D17" s="17" t="s">
        <v>679</v>
      </c>
    </row>
    <row r="18" customFormat="false" ht="15" hidden="false" customHeight="false" outlineLevel="0" collapsed="false">
      <c r="A18" s="15" t="s">
        <v>680</v>
      </c>
      <c r="B18" s="17" t="s">
        <v>143</v>
      </c>
      <c r="C18" s="15" t="n">
        <v>1</v>
      </c>
      <c r="D18" s="17" t="s">
        <v>655</v>
      </c>
    </row>
    <row r="19" customFormat="false" ht="15" hidden="false" customHeight="false" outlineLevel="0" collapsed="false">
      <c r="A19" s="15" t="s">
        <v>681</v>
      </c>
      <c r="B19" s="17" t="s">
        <v>474</v>
      </c>
      <c r="C19" s="15" t="n">
        <v>2</v>
      </c>
      <c r="D19" s="17" t="s">
        <v>658</v>
      </c>
    </row>
    <row r="20" customFormat="false" ht="28.35" hidden="false" customHeight="false" outlineLevel="0" collapsed="false">
      <c r="A20" s="15" t="s">
        <v>682</v>
      </c>
      <c r="B20" s="17" t="s">
        <v>255</v>
      </c>
      <c r="C20" s="15" t="n">
        <v>5</v>
      </c>
      <c r="D20" s="17" t="s">
        <v>674</v>
      </c>
    </row>
    <row r="21" customFormat="false" ht="15" hidden="false" customHeight="false" outlineLevel="0" collapsed="false">
      <c r="A21" s="15" t="s">
        <v>683</v>
      </c>
      <c r="B21" s="17" t="s">
        <v>143</v>
      </c>
      <c r="C21" s="15" t="n">
        <v>1</v>
      </c>
      <c r="D21" s="17" t="s">
        <v>664</v>
      </c>
    </row>
    <row r="22" customFormat="false" ht="15" hidden="false" customHeight="false" outlineLevel="0" collapsed="false">
      <c r="A22" s="15" t="s">
        <v>684</v>
      </c>
      <c r="B22" s="17" t="s">
        <v>295</v>
      </c>
      <c r="C22" s="15" t="n">
        <v>2</v>
      </c>
      <c r="D22" s="17" t="s">
        <v>674</v>
      </c>
    </row>
    <row r="23" customFormat="false" ht="28.35" hidden="false" customHeight="false" outlineLevel="0" collapsed="false">
      <c r="A23" s="15" t="s">
        <v>685</v>
      </c>
      <c r="B23" s="17" t="s">
        <v>251</v>
      </c>
      <c r="C23" s="15" t="n">
        <v>4</v>
      </c>
      <c r="D23" s="17" t="s">
        <v>679</v>
      </c>
    </row>
    <row r="24" customFormat="false" ht="28.35" hidden="false" customHeight="false" outlineLevel="0" collapsed="false">
      <c r="A24" s="15" t="s">
        <v>686</v>
      </c>
      <c r="B24" s="17" t="s">
        <v>143</v>
      </c>
      <c r="C24" s="15" t="n">
        <v>1</v>
      </c>
      <c r="D24" s="17" t="s">
        <v>687</v>
      </c>
    </row>
    <row r="25" customFormat="false" ht="15" hidden="false" customHeight="false" outlineLevel="0" collapsed="false">
      <c r="A25" s="15" t="s">
        <v>688</v>
      </c>
      <c r="B25" s="17" t="s">
        <v>143</v>
      </c>
      <c r="C25" s="15" t="n">
        <v>1</v>
      </c>
      <c r="D25" s="17" t="s">
        <v>689</v>
      </c>
    </row>
    <row r="26" customFormat="false" ht="41.75" hidden="false" customHeight="false" outlineLevel="0" collapsed="false">
      <c r="A26" s="15" t="s">
        <v>690</v>
      </c>
      <c r="B26" s="17" t="s">
        <v>691</v>
      </c>
      <c r="C26" s="15" t="n">
        <v>5</v>
      </c>
      <c r="D26" s="17" t="s">
        <v>660</v>
      </c>
    </row>
    <row r="27" customFormat="false" ht="28.35" hidden="false" customHeight="false" outlineLevel="0" collapsed="false">
      <c r="A27" s="15" t="s">
        <v>692</v>
      </c>
      <c r="B27" s="17" t="s">
        <v>611</v>
      </c>
      <c r="C27" s="15" t="n">
        <v>3</v>
      </c>
      <c r="D27" s="17" t="s">
        <v>693</v>
      </c>
    </row>
    <row r="28" customFormat="false" ht="15" hidden="false" customHeight="false" outlineLevel="0" collapsed="false">
      <c r="A28" s="15" t="s">
        <v>694</v>
      </c>
      <c r="B28" s="17" t="s">
        <v>143</v>
      </c>
      <c r="C28" s="15" t="n">
        <v>1</v>
      </c>
      <c r="D28" s="17" t="s">
        <v>695</v>
      </c>
    </row>
    <row r="29" customFormat="false" ht="15" hidden="false" customHeight="false" outlineLevel="0" collapsed="false">
      <c r="A29" s="15" t="s">
        <v>696</v>
      </c>
      <c r="B29" s="17" t="s">
        <v>143</v>
      </c>
      <c r="C29" s="15" t="n">
        <v>1</v>
      </c>
      <c r="D29" s="17" t="s">
        <v>662</v>
      </c>
    </row>
    <row r="30" customFormat="false" ht="15" hidden="false" customHeight="false" outlineLevel="0" collapsed="false">
      <c r="A30" s="15" t="s">
        <v>697</v>
      </c>
      <c r="B30" s="17" t="s">
        <v>143</v>
      </c>
      <c r="C30" s="15" t="n">
        <v>1</v>
      </c>
      <c r="D30" s="17" t="s">
        <v>664</v>
      </c>
    </row>
    <row r="31" customFormat="false" ht="15" hidden="false" customHeight="false" outlineLevel="0" collapsed="false">
      <c r="A31" s="15" t="s">
        <v>698</v>
      </c>
      <c r="B31" s="17" t="s">
        <v>143</v>
      </c>
      <c r="C31" s="15" t="n">
        <v>1</v>
      </c>
      <c r="D31" s="17" t="s">
        <v>658</v>
      </c>
    </row>
    <row r="32" customFormat="false" ht="15" hidden="false" customHeight="false" outlineLevel="0" collapsed="false">
      <c r="A32" s="15" t="s">
        <v>699</v>
      </c>
      <c r="B32" s="17" t="s">
        <v>143</v>
      </c>
      <c r="C32" s="15" t="n">
        <v>1</v>
      </c>
      <c r="D32" s="17" t="s">
        <v>700</v>
      </c>
    </row>
    <row r="33" customFormat="false" ht="15" hidden="false" customHeight="false" outlineLevel="0" collapsed="false">
      <c r="A33" s="15" t="s">
        <v>701</v>
      </c>
      <c r="B33" s="17" t="s">
        <v>143</v>
      </c>
      <c r="C33" s="15" t="n">
        <v>1</v>
      </c>
      <c r="D33" s="17" t="s">
        <v>695</v>
      </c>
    </row>
    <row r="34" customFormat="false" ht="15" hidden="false" customHeight="false" outlineLevel="0" collapsed="false">
      <c r="A34" s="15" t="s">
        <v>702</v>
      </c>
      <c r="B34" s="17" t="s">
        <v>143</v>
      </c>
      <c r="C34" s="15" t="n">
        <v>1</v>
      </c>
      <c r="D34" s="17" t="s">
        <v>662</v>
      </c>
    </row>
    <row r="35" customFormat="false" ht="15" hidden="false" customHeight="false" outlineLevel="0" collapsed="false">
      <c r="A35" s="15" t="s">
        <v>703</v>
      </c>
      <c r="B35" s="17" t="s">
        <v>143</v>
      </c>
      <c r="C35" s="15" t="n">
        <v>1</v>
      </c>
      <c r="D35" s="17" t="s">
        <v>704</v>
      </c>
    </row>
    <row r="36" customFormat="false" ht="15" hidden="false" customHeight="false" outlineLevel="0" collapsed="false">
      <c r="A36" s="15" t="s">
        <v>705</v>
      </c>
      <c r="B36" s="17" t="s">
        <v>474</v>
      </c>
      <c r="C36" s="15" t="n">
        <v>2</v>
      </c>
      <c r="D36" s="17" t="s">
        <v>706</v>
      </c>
    </row>
    <row r="37" customFormat="false" ht="28.35" hidden="false" customHeight="false" outlineLevel="0" collapsed="false">
      <c r="A37" s="15" t="s">
        <v>707</v>
      </c>
      <c r="B37" s="17" t="s">
        <v>175</v>
      </c>
      <c r="C37" s="15" t="n">
        <v>3</v>
      </c>
      <c r="D37" s="17" t="s">
        <v>708</v>
      </c>
    </row>
    <row r="38" customFormat="false" ht="15" hidden="false" customHeight="false" outlineLevel="0" collapsed="false">
      <c r="A38" s="15" t="s">
        <v>709</v>
      </c>
      <c r="B38" s="17" t="s">
        <v>139</v>
      </c>
      <c r="C38" s="15" t="n">
        <v>1</v>
      </c>
      <c r="D38" s="17" t="s">
        <v>695</v>
      </c>
    </row>
    <row r="39" customFormat="false" ht="15" hidden="false" customHeight="false" outlineLevel="0" collapsed="false">
      <c r="A39" s="15" t="s">
        <v>710</v>
      </c>
      <c r="B39" s="17" t="s">
        <v>143</v>
      </c>
      <c r="C39" s="15" t="n">
        <v>1</v>
      </c>
      <c r="D39" s="17" t="s">
        <v>658</v>
      </c>
    </row>
    <row r="40" customFormat="false" ht="15" hidden="false" customHeight="false" outlineLevel="0" collapsed="false">
      <c r="A40" s="15" t="s">
        <v>711</v>
      </c>
      <c r="B40" s="17" t="s">
        <v>474</v>
      </c>
      <c r="C40" s="15" t="n">
        <v>2</v>
      </c>
      <c r="D40" s="17" t="s">
        <v>658</v>
      </c>
    </row>
    <row r="41" customFormat="false" ht="28.35" hidden="false" customHeight="false" outlineLevel="0" collapsed="false">
      <c r="A41" s="15" t="s">
        <v>712</v>
      </c>
      <c r="B41" s="17" t="s">
        <v>278</v>
      </c>
      <c r="C41" s="15" t="n">
        <v>3</v>
      </c>
      <c r="D41" s="17" t="s">
        <v>706</v>
      </c>
    </row>
    <row r="42" customFormat="false" ht="15" hidden="false" customHeight="false" outlineLevel="0" collapsed="false">
      <c r="A42" s="15" t="s">
        <v>713</v>
      </c>
      <c r="B42" s="17" t="s">
        <v>143</v>
      </c>
      <c r="C42" s="15" t="n">
        <v>1</v>
      </c>
      <c r="D42" s="17" t="s">
        <v>658</v>
      </c>
    </row>
    <row r="43" customFormat="false" ht="15" hidden="false" customHeight="false" outlineLevel="0" collapsed="false">
      <c r="A43" s="15" t="s">
        <v>714</v>
      </c>
      <c r="B43" s="17" t="s">
        <v>295</v>
      </c>
      <c r="C43" s="15" t="n">
        <v>2</v>
      </c>
      <c r="D43" s="17" t="s">
        <v>658</v>
      </c>
    </row>
    <row r="44" customFormat="false" ht="15" hidden="false" customHeight="false" outlineLevel="0" collapsed="false">
      <c r="A44" s="15" t="s">
        <v>715</v>
      </c>
      <c r="B44" s="17" t="s">
        <v>474</v>
      </c>
      <c r="C44" s="15" t="n">
        <v>2</v>
      </c>
      <c r="D44" s="17" t="s">
        <v>716</v>
      </c>
    </row>
    <row r="45" customFormat="false" ht="28.35" hidden="false" customHeight="false" outlineLevel="0" collapsed="false">
      <c r="A45" s="15" t="s">
        <v>717</v>
      </c>
      <c r="B45" s="17" t="s">
        <v>251</v>
      </c>
      <c r="C45" s="15" t="n">
        <v>4</v>
      </c>
      <c r="D45" s="17" t="s">
        <v>718</v>
      </c>
    </row>
    <row r="46" customFormat="false" ht="15" hidden="false" customHeight="false" outlineLevel="0" collapsed="false">
      <c r="A46" s="15" t="s">
        <v>719</v>
      </c>
      <c r="B46" s="17" t="s">
        <v>143</v>
      </c>
      <c r="C46" s="15" t="n">
        <v>1</v>
      </c>
      <c r="D46" s="17" t="s">
        <v>700</v>
      </c>
    </row>
    <row r="47" customFormat="false" ht="15" hidden="false" customHeight="false" outlineLevel="0" collapsed="false">
      <c r="A47" s="15" t="s">
        <v>720</v>
      </c>
      <c r="B47" s="17" t="s">
        <v>143</v>
      </c>
      <c r="C47" s="15" t="n">
        <v>1</v>
      </c>
      <c r="D47" s="17" t="s">
        <v>658</v>
      </c>
    </row>
    <row r="48" customFormat="false" ht="15" hidden="false" customHeight="false" outlineLevel="0" collapsed="false">
      <c r="A48" s="15" t="s">
        <v>721</v>
      </c>
      <c r="B48" s="17" t="s">
        <v>143</v>
      </c>
      <c r="C48" s="15" t="n">
        <v>1</v>
      </c>
      <c r="D48" s="17" t="s">
        <v>658</v>
      </c>
    </row>
    <row r="49" customFormat="false" ht="15" hidden="false" customHeight="false" outlineLevel="0" collapsed="false">
      <c r="A49" s="15" t="s">
        <v>722</v>
      </c>
      <c r="B49" s="17" t="s">
        <v>143</v>
      </c>
      <c r="C49" s="15" t="n">
        <v>1</v>
      </c>
      <c r="D49" s="17" t="s">
        <v>695</v>
      </c>
    </row>
    <row r="50" customFormat="false" ht="28.35" hidden="false" customHeight="false" outlineLevel="0" collapsed="false">
      <c r="A50" s="15" t="s">
        <v>723</v>
      </c>
      <c r="B50" s="17" t="s">
        <v>295</v>
      </c>
      <c r="C50" s="15" t="n">
        <v>2</v>
      </c>
      <c r="D50" s="17" t="s">
        <v>724</v>
      </c>
    </row>
    <row r="51" customFormat="false" ht="15" hidden="false" customHeight="false" outlineLevel="0" collapsed="false">
      <c r="A51" s="15" t="s">
        <v>725</v>
      </c>
      <c r="B51" s="17" t="s">
        <v>143</v>
      </c>
      <c r="C51" s="15" t="n">
        <v>1</v>
      </c>
      <c r="D51" s="17" t="s">
        <v>674</v>
      </c>
    </row>
    <row r="52" customFormat="false" ht="15" hidden="false" customHeight="false" outlineLevel="0" collapsed="false">
      <c r="A52" s="15" t="s">
        <v>726</v>
      </c>
      <c r="B52" s="17" t="s">
        <v>295</v>
      </c>
      <c r="C52" s="15" t="n">
        <v>2</v>
      </c>
      <c r="D52" s="17" t="s">
        <v>674</v>
      </c>
    </row>
    <row r="53" customFormat="false" ht="15" hidden="false" customHeight="false" outlineLevel="0" collapsed="false">
      <c r="A53" s="15" t="s">
        <v>727</v>
      </c>
      <c r="B53" s="17" t="s">
        <v>143</v>
      </c>
      <c r="C53" s="15" t="n">
        <v>1</v>
      </c>
      <c r="D53" s="17" t="s">
        <v>693</v>
      </c>
    </row>
    <row r="54" customFormat="false" ht="28.35" hidden="false" customHeight="false" outlineLevel="0" collapsed="false">
      <c r="A54" s="15" t="s">
        <v>728</v>
      </c>
      <c r="B54" s="17" t="s">
        <v>255</v>
      </c>
      <c r="C54" s="15" t="n">
        <v>5</v>
      </c>
      <c r="D54" s="17" t="s">
        <v>662</v>
      </c>
    </row>
    <row r="55" customFormat="false" ht="41.75" hidden="false" customHeight="false" outlineLevel="0" collapsed="false">
      <c r="A55" s="15" t="s">
        <v>729</v>
      </c>
      <c r="B55" s="17" t="s">
        <v>325</v>
      </c>
      <c r="C55" s="15" t="n">
        <v>5</v>
      </c>
      <c r="D55" s="17" t="s">
        <v>655</v>
      </c>
    </row>
    <row r="56" customFormat="false" ht="15" hidden="false" customHeight="false" outlineLevel="0" collapsed="false">
      <c r="A56" s="15" t="s">
        <v>730</v>
      </c>
      <c r="B56" s="17" t="s">
        <v>238</v>
      </c>
      <c r="C56" s="15" t="n">
        <v>2</v>
      </c>
      <c r="D56" s="17" t="s">
        <v>718</v>
      </c>
    </row>
    <row r="57" customFormat="false" ht="15" hidden="false" customHeight="false" outlineLevel="0" collapsed="false">
      <c r="A57" s="15" t="s">
        <v>731</v>
      </c>
      <c r="B57" s="17" t="s">
        <v>143</v>
      </c>
      <c r="C57" s="15" t="n">
        <v>1</v>
      </c>
      <c r="D57" s="17" t="s">
        <v>732</v>
      </c>
    </row>
    <row r="58" customFormat="false" ht="15" hidden="false" customHeight="false" outlineLevel="0" collapsed="false">
      <c r="A58" s="15" t="s">
        <v>733</v>
      </c>
      <c r="B58" s="17" t="s">
        <v>143</v>
      </c>
      <c r="C58" s="15" t="n">
        <v>1</v>
      </c>
      <c r="D58" s="17" t="s">
        <v>695</v>
      </c>
    </row>
    <row r="59" customFormat="false" ht="15" hidden="false" customHeight="false" outlineLevel="0" collapsed="false">
      <c r="A59" s="15" t="s">
        <v>734</v>
      </c>
      <c r="B59" s="17" t="s">
        <v>143</v>
      </c>
      <c r="C59" s="15" t="n">
        <v>1</v>
      </c>
      <c r="D59" s="17" t="s">
        <v>700</v>
      </c>
    </row>
    <row r="60" customFormat="false" ht="41.75" hidden="false" customHeight="false" outlineLevel="0" collapsed="false">
      <c r="A60" s="15" t="s">
        <v>735</v>
      </c>
      <c r="B60" s="17" t="s">
        <v>304</v>
      </c>
      <c r="C60" s="15" t="n">
        <v>5</v>
      </c>
      <c r="D60" s="17" t="s">
        <v>687</v>
      </c>
    </row>
    <row r="61" customFormat="false" ht="15" hidden="false" customHeight="false" outlineLevel="0" collapsed="false">
      <c r="A61" s="15" t="s">
        <v>736</v>
      </c>
      <c r="B61" s="17" t="s">
        <v>143</v>
      </c>
      <c r="C61" s="15" t="n">
        <v>1</v>
      </c>
      <c r="D61" s="17" t="s">
        <v>737</v>
      </c>
    </row>
    <row r="62" customFormat="false" ht="28.35" hidden="false" customHeight="false" outlineLevel="0" collapsed="false">
      <c r="A62" s="15" t="s">
        <v>738</v>
      </c>
      <c r="B62" s="17" t="s">
        <v>295</v>
      </c>
      <c r="C62" s="15" t="n">
        <v>2</v>
      </c>
      <c r="D62" s="17" t="s">
        <v>687</v>
      </c>
    </row>
    <row r="63" customFormat="false" ht="15" hidden="false" customHeight="false" outlineLevel="0" collapsed="false">
      <c r="A63" s="15" t="s">
        <v>739</v>
      </c>
      <c r="B63" s="17" t="s">
        <v>143</v>
      </c>
      <c r="C63" s="15" t="n">
        <v>1</v>
      </c>
      <c r="D63" s="17" t="s">
        <v>658</v>
      </c>
    </row>
    <row r="64" customFormat="false" ht="15" hidden="false" customHeight="false" outlineLevel="0" collapsed="false">
      <c r="A64" s="15" t="s">
        <v>740</v>
      </c>
      <c r="B64" s="17" t="s">
        <v>143</v>
      </c>
      <c r="C64" s="15" t="n">
        <v>1</v>
      </c>
      <c r="D64" s="17" t="s">
        <v>700</v>
      </c>
    </row>
    <row r="65" customFormat="false" ht="15" hidden="false" customHeight="false" outlineLevel="0" collapsed="false">
      <c r="A65" s="15" t="s">
        <v>741</v>
      </c>
      <c r="B65" s="17" t="s">
        <v>141</v>
      </c>
      <c r="C65" s="15" t="n">
        <v>1</v>
      </c>
      <c r="D65" s="17" t="s">
        <v>706</v>
      </c>
    </row>
    <row r="66" customFormat="false" ht="15" hidden="false" customHeight="false" outlineLevel="0" collapsed="false">
      <c r="A66" s="15" t="s">
        <v>742</v>
      </c>
      <c r="B66" s="17" t="s">
        <v>743</v>
      </c>
      <c r="C66" s="15" t="n">
        <v>2</v>
      </c>
      <c r="D66" s="17" t="s">
        <v>676</v>
      </c>
    </row>
    <row r="67" customFormat="false" ht="15" hidden="false" customHeight="false" outlineLevel="0" collapsed="false">
      <c r="A67" s="15" t="s">
        <v>744</v>
      </c>
      <c r="B67" s="17" t="s">
        <v>140</v>
      </c>
      <c r="C67" s="15" t="n">
        <v>1</v>
      </c>
      <c r="D67" s="17" t="s">
        <v>658</v>
      </c>
    </row>
    <row r="68" customFormat="false" ht="15" hidden="false" customHeight="false" outlineLevel="0" collapsed="false">
      <c r="A68" s="15" t="s">
        <v>745</v>
      </c>
      <c r="B68" s="17" t="s">
        <v>140</v>
      </c>
      <c r="C68" s="15" t="n">
        <v>1</v>
      </c>
      <c r="D68" s="17" t="s">
        <v>689</v>
      </c>
    </row>
    <row r="69" customFormat="false" ht="15" hidden="false" customHeight="false" outlineLevel="0" collapsed="false">
      <c r="A69" s="15" t="s">
        <v>746</v>
      </c>
      <c r="B69" s="17" t="s">
        <v>743</v>
      </c>
      <c r="C69" s="15" t="n">
        <v>2</v>
      </c>
      <c r="D69" s="17" t="s">
        <v>664</v>
      </c>
    </row>
    <row r="70" customFormat="false" ht="15" hidden="false" customHeight="false" outlineLevel="0" collapsed="false">
      <c r="A70" s="15" t="s">
        <v>747</v>
      </c>
      <c r="B70" s="17" t="s">
        <v>140</v>
      </c>
      <c r="C70" s="15" t="n">
        <v>1</v>
      </c>
      <c r="D70" s="17" t="s">
        <v>664</v>
      </c>
    </row>
    <row r="71" customFormat="false" ht="15" hidden="false" customHeight="false" outlineLevel="0" collapsed="false">
      <c r="A71" s="15" t="s">
        <v>748</v>
      </c>
      <c r="B71" s="17" t="s">
        <v>140</v>
      </c>
      <c r="C71" s="15" t="n">
        <v>1</v>
      </c>
      <c r="D71" s="17" t="s">
        <v>749</v>
      </c>
    </row>
    <row r="72" customFormat="false" ht="15" hidden="false" customHeight="false" outlineLevel="0" collapsed="false">
      <c r="A72" s="15" t="s">
        <v>750</v>
      </c>
      <c r="B72" s="17" t="s">
        <v>139</v>
      </c>
      <c r="C72" s="15" t="n">
        <v>1</v>
      </c>
      <c r="D72" s="17" t="s">
        <v>658</v>
      </c>
    </row>
    <row r="73" customFormat="false" ht="15" hidden="false" customHeight="false" outlineLevel="0" collapsed="false">
      <c r="A73" s="15" t="s">
        <v>751</v>
      </c>
      <c r="B73" s="17" t="s">
        <v>140</v>
      </c>
      <c r="C73" s="15" t="n">
        <v>1</v>
      </c>
      <c r="D73" s="17" t="s">
        <v>664</v>
      </c>
    </row>
    <row r="74" customFormat="false" ht="15" hidden="false" customHeight="false" outlineLevel="0" collapsed="false">
      <c r="A74" s="15" t="s">
        <v>752</v>
      </c>
      <c r="B74" s="17" t="s">
        <v>743</v>
      </c>
      <c r="C74" s="15" t="n">
        <v>2</v>
      </c>
      <c r="D74" s="17" t="s">
        <v>695</v>
      </c>
    </row>
    <row r="75" customFormat="false" ht="28.35" hidden="false" customHeight="false" outlineLevel="0" collapsed="false">
      <c r="A75" s="15" t="s">
        <v>753</v>
      </c>
      <c r="B75" s="17" t="s">
        <v>754</v>
      </c>
      <c r="C75" s="15" t="n">
        <v>4</v>
      </c>
      <c r="D75" s="17" t="s">
        <v>732</v>
      </c>
    </row>
    <row r="76" customFormat="false" ht="15" hidden="false" customHeight="false" outlineLevel="0" collapsed="false">
      <c r="A76" s="15" t="s">
        <v>755</v>
      </c>
      <c r="B76" s="17" t="s">
        <v>139</v>
      </c>
      <c r="C76" s="15" t="n">
        <v>1</v>
      </c>
      <c r="D76" s="17" t="s">
        <v>732</v>
      </c>
    </row>
    <row r="77" customFormat="false" ht="15" hidden="false" customHeight="false" outlineLevel="0" collapsed="false">
      <c r="A77" s="15" t="s">
        <v>756</v>
      </c>
      <c r="B77" s="17" t="s">
        <v>142</v>
      </c>
      <c r="C77" s="15" t="n">
        <v>1</v>
      </c>
      <c r="D77" s="17" t="s">
        <v>695</v>
      </c>
    </row>
    <row r="78" customFormat="false" ht="15" hidden="false" customHeight="false" outlineLevel="0" collapsed="false">
      <c r="A78" s="15" t="s">
        <v>757</v>
      </c>
      <c r="B78" s="17" t="s">
        <v>142</v>
      </c>
      <c r="C78" s="15" t="n">
        <v>1</v>
      </c>
      <c r="D78" s="17" t="s">
        <v>700</v>
      </c>
    </row>
    <row r="79" customFormat="false" ht="15" hidden="false" customHeight="false" outlineLevel="0" collapsed="false">
      <c r="A79" s="15" t="s">
        <v>758</v>
      </c>
      <c r="B79" s="17" t="s">
        <v>743</v>
      </c>
      <c r="C79" s="15" t="n">
        <v>2</v>
      </c>
      <c r="D79" s="17" t="s">
        <v>662</v>
      </c>
    </row>
    <row r="80" customFormat="false" ht="15" hidden="false" customHeight="false" outlineLevel="0" collapsed="false">
      <c r="A80" s="15" t="s">
        <v>759</v>
      </c>
      <c r="B80" s="17" t="s">
        <v>238</v>
      </c>
      <c r="C80" s="15" t="n">
        <v>2</v>
      </c>
      <c r="D80" s="17" t="s">
        <v>760</v>
      </c>
    </row>
    <row r="81" customFormat="false" ht="15" hidden="false" customHeight="false" outlineLevel="0" collapsed="false">
      <c r="A81" s="15" t="s">
        <v>761</v>
      </c>
      <c r="B81" s="17" t="s">
        <v>483</v>
      </c>
      <c r="C81" s="15" t="n">
        <v>2</v>
      </c>
      <c r="D81" s="17" t="s">
        <v>762</v>
      </c>
    </row>
    <row r="82" customFormat="false" ht="15" hidden="false" customHeight="false" outlineLevel="0" collapsed="false">
      <c r="A82" s="15" t="s">
        <v>763</v>
      </c>
      <c r="B82" s="17" t="s">
        <v>142</v>
      </c>
      <c r="C82" s="15" t="n">
        <v>1</v>
      </c>
      <c r="D82" s="17" t="s">
        <v>662</v>
      </c>
    </row>
    <row r="83" customFormat="false" ht="15" hidden="false" customHeight="false" outlineLevel="0" collapsed="false">
      <c r="A83" s="15" t="s">
        <v>764</v>
      </c>
      <c r="B83" s="17" t="s">
        <v>142</v>
      </c>
      <c r="C83" s="15" t="n">
        <v>1</v>
      </c>
      <c r="D83" s="17" t="s">
        <v>765</v>
      </c>
    </row>
    <row r="84" customFormat="false" ht="15" hidden="false" customHeight="false" outlineLevel="0" collapsed="false">
      <c r="A84" s="15" t="s">
        <v>766</v>
      </c>
      <c r="B84" s="17" t="s">
        <v>233</v>
      </c>
      <c r="C84" s="15" t="n">
        <v>2</v>
      </c>
      <c r="D84" s="17" t="s">
        <v>662</v>
      </c>
    </row>
    <row r="85" customFormat="false" ht="41.75" hidden="false" customHeight="false" outlineLevel="0" collapsed="false">
      <c r="A85" s="15" t="s">
        <v>767</v>
      </c>
      <c r="B85" s="17" t="s">
        <v>304</v>
      </c>
      <c r="C85" s="15" t="n">
        <v>5</v>
      </c>
      <c r="D85" s="17" t="s">
        <v>674</v>
      </c>
    </row>
    <row r="86" customFormat="false" ht="15" hidden="false" customHeight="false" outlineLevel="0" collapsed="false">
      <c r="A86" s="15" t="s">
        <v>768</v>
      </c>
      <c r="B86" s="17" t="s">
        <v>140</v>
      </c>
      <c r="C86" s="15" t="n">
        <v>1</v>
      </c>
      <c r="D86" s="17" t="s">
        <v>732</v>
      </c>
    </row>
    <row r="87" customFormat="false" ht="15" hidden="false" customHeight="false" outlineLevel="0" collapsed="false">
      <c r="A87" s="15" t="s">
        <v>769</v>
      </c>
      <c r="B87" s="17" t="s">
        <v>743</v>
      </c>
      <c r="C87" s="15" t="n">
        <v>2</v>
      </c>
      <c r="D87" s="17" t="s">
        <v>655</v>
      </c>
    </row>
    <row r="88" customFormat="false" ht="15" hidden="false" customHeight="false" outlineLevel="0" collapsed="false">
      <c r="A88" s="15" t="s">
        <v>770</v>
      </c>
      <c r="B88" s="17" t="s">
        <v>436</v>
      </c>
      <c r="C88" s="15" t="n">
        <v>2</v>
      </c>
      <c r="D88" s="17" t="s">
        <v>765</v>
      </c>
    </row>
    <row r="89" customFormat="false" ht="15" hidden="false" customHeight="false" outlineLevel="0" collapsed="false">
      <c r="A89" s="15" t="s">
        <v>771</v>
      </c>
      <c r="B89" s="17" t="s">
        <v>142</v>
      </c>
      <c r="C89" s="15" t="n">
        <v>1</v>
      </c>
      <c r="D89" s="17" t="s">
        <v>695</v>
      </c>
    </row>
    <row r="90" customFormat="false" ht="15" hidden="false" customHeight="false" outlineLevel="0" collapsed="false">
      <c r="A90" s="15" t="s">
        <v>772</v>
      </c>
      <c r="B90" s="17" t="s">
        <v>143</v>
      </c>
      <c r="C90" s="15" t="n">
        <v>1</v>
      </c>
      <c r="D90" s="17" t="s">
        <v>658</v>
      </c>
    </row>
    <row r="91" customFormat="false" ht="28.35" hidden="false" customHeight="false" outlineLevel="0" collapsed="false">
      <c r="A91" s="15" t="s">
        <v>773</v>
      </c>
      <c r="B91" s="17" t="s">
        <v>611</v>
      </c>
      <c r="C91" s="15" t="n">
        <v>3</v>
      </c>
      <c r="D91" s="17" t="s">
        <v>667</v>
      </c>
    </row>
    <row r="92" customFormat="false" ht="15" hidden="false" customHeight="false" outlineLevel="0" collapsed="false">
      <c r="A92" s="15" t="s">
        <v>774</v>
      </c>
      <c r="B92" s="17" t="s">
        <v>143</v>
      </c>
      <c r="C92" s="15" t="n">
        <v>1</v>
      </c>
      <c r="D92" s="17" t="s">
        <v>765</v>
      </c>
    </row>
    <row r="93" customFormat="false" ht="15" hidden="false" customHeight="false" outlineLevel="0" collapsed="false">
      <c r="A93" s="15" t="s">
        <v>775</v>
      </c>
      <c r="B93" s="17" t="s">
        <v>139</v>
      </c>
      <c r="C93" s="15" t="n">
        <v>1</v>
      </c>
      <c r="D93" s="17" t="s">
        <v>658</v>
      </c>
    </row>
    <row r="94" customFormat="false" ht="15" hidden="false" customHeight="false" outlineLevel="0" collapsed="false">
      <c r="A94" s="15" t="s">
        <v>776</v>
      </c>
      <c r="B94" s="17" t="s">
        <v>143</v>
      </c>
      <c r="C94" s="15" t="n">
        <v>1</v>
      </c>
      <c r="D94" s="17" t="s">
        <v>655</v>
      </c>
    </row>
    <row r="95" customFormat="false" ht="15" hidden="false" customHeight="false" outlineLevel="0" collapsed="false">
      <c r="A95" s="15" t="s">
        <v>777</v>
      </c>
      <c r="B95" s="17" t="s">
        <v>143</v>
      </c>
      <c r="C95" s="15" t="n">
        <v>1</v>
      </c>
      <c r="D95" s="17" t="s">
        <v>662</v>
      </c>
    </row>
    <row r="96" customFormat="false" ht="15" hidden="false" customHeight="false" outlineLevel="0" collapsed="false">
      <c r="A96" s="15" t="s">
        <v>778</v>
      </c>
      <c r="B96" s="17" t="s">
        <v>143</v>
      </c>
      <c r="C96" s="15" t="n">
        <v>1</v>
      </c>
      <c r="D96" s="17" t="s">
        <v>658</v>
      </c>
    </row>
    <row r="97" customFormat="false" ht="15" hidden="false" customHeight="false" outlineLevel="0" collapsed="false">
      <c r="A97" s="15" t="s">
        <v>779</v>
      </c>
      <c r="B97" s="17" t="s">
        <v>143</v>
      </c>
      <c r="C97" s="15" t="n">
        <v>1</v>
      </c>
      <c r="D97" s="17" t="s">
        <v>762</v>
      </c>
    </row>
    <row r="98" customFormat="false" ht="41.75" hidden="false" customHeight="false" outlineLevel="0" collapsed="false">
      <c r="A98" s="15" t="s">
        <v>780</v>
      </c>
      <c r="B98" s="17" t="s">
        <v>312</v>
      </c>
      <c r="C98" s="15" t="n">
        <v>6</v>
      </c>
      <c r="D98" s="17" t="s">
        <v>655</v>
      </c>
    </row>
    <row r="99" customFormat="false" ht="15" hidden="false" customHeight="false" outlineLevel="0" collapsed="false">
      <c r="A99" s="15" t="s">
        <v>781</v>
      </c>
      <c r="B99" s="17" t="s">
        <v>140</v>
      </c>
      <c r="C99" s="15" t="n">
        <v>1</v>
      </c>
      <c r="D99" s="17" t="s">
        <v>662</v>
      </c>
    </row>
    <row r="100" customFormat="false" ht="28.35" hidden="false" customHeight="false" outlineLevel="0" collapsed="false">
      <c r="A100" s="15" t="s">
        <v>782</v>
      </c>
      <c r="B100" s="17" t="s">
        <v>175</v>
      </c>
      <c r="C100" s="15" t="n">
        <v>3</v>
      </c>
      <c r="D100" s="17" t="s">
        <v>664</v>
      </c>
    </row>
    <row r="101" customFormat="false" ht="28.35" hidden="false" customHeight="false" outlineLevel="0" collapsed="false">
      <c r="A101" s="15" t="s">
        <v>783</v>
      </c>
      <c r="B101" s="17" t="s">
        <v>175</v>
      </c>
      <c r="C101" s="15" t="n">
        <v>3</v>
      </c>
      <c r="D101" s="17" t="s">
        <v>784</v>
      </c>
    </row>
    <row r="102" customFormat="false" ht="15" hidden="false" customHeight="false" outlineLevel="0" collapsed="false">
      <c r="A102" s="15" t="s">
        <v>785</v>
      </c>
      <c r="B102" s="17" t="s">
        <v>143</v>
      </c>
      <c r="C102" s="15" t="n">
        <v>1</v>
      </c>
      <c r="D102" s="17" t="s">
        <v>658</v>
      </c>
    </row>
    <row r="103" customFormat="false" ht="15" hidden="false" customHeight="false" outlineLevel="0" collapsed="false">
      <c r="A103" s="15" t="s">
        <v>786</v>
      </c>
      <c r="B103" s="17" t="s">
        <v>143</v>
      </c>
      <c r="C103" s="15" t="n">
        <v>1</v>
      </c>
      <c r="D103" s="17" t="s">
        <v>762</v>
      </c>
    </row>
    <row r="104" customFormat="false" ht="15" hidden="false" customHeight="false" outlineLevel="0" collapsed="false">
      <c r="A104" s="15" t="s">
        <v>787</v>
      </c>
      <c r="B104" s="17" t="s">
        <v>141</v>
      </c>
      <c r="C104" s="15" t="n">
        <v>1</v>
      </c>
      <c r="D104" s="17" t="s">
        <v>732</v>
      </c>
    </row>
    <row r="105" customFormat="false" ht="15" hidden="false" customHeight="false" outlineLevel="0" collapsed="false">
      <c r="A105" s="15" t="s">
        <v>788</v>
      </c>
      <c r="B105" s="17" t="s">
        <v>143</v>
      </c>
      <c r="C105" s="15" t="n">
        <v>1</v>
      </c>
      <c r="D105" s="17" t="s">
        <v>706</v>
      </c>
    </row>
    <row r="106" customFormat="false" ht="28.35" hidden="false" customHeight="false" outlineLevel="0" collapsed="false">
      <c r="A106" s="15" t="s">
        <v>789</v>
      </c>
      <c r="B106" s="17" t="s">
        <v>278</v>
      </c>
      <c r="C106" s="15" t="n">
        <v>3</v>
      </c>
      <c r="D106" s="17" t="s">
        <v>658</v>
      </c>
    </row>
    <row r="107" customFormat="false" ht="15" hidden="false" customHeight="false" outlineLevel="0" collapsed="false">
      <c r="A107" s="15" t="s">
        <v>790</v>
      </c>
      <c r="B107" s="17" t="s">
        <v>142</v>
      </c>
      <c r="C107" s="15" t="n">
        <v>1</v>
      </c>
      <c r="D107" s="17" t="s">
        <v>655</v>
      </c>
    </row>
    <row r="108" customFormat="false" ht="28.35" hidden="false" customHeight="false" outlineLevel="0" collapsed="false">
      <c r="A108" s="15" t="s">
        <v>791</v>
      </c>
      <c r="B108" s="17" t="s">
        <v>460</v>
      </c>
      <c r="C108" s="15" t="n">
        <v>4</v>
      </c>
      <c r="D108" s="17" t="s">
        <v>667</v>
      </c>
    </row>
    <row r="109" customFormat="false" ht="15" hidden="false" customHeight="false" outlineLevel="0" collapsed="false">
      <c r="A109" s="15" t="s">
        <v>792</v>
      </c>
      <c r="B109" s="17" t="s">
        <v>141</v>
      </c>
      <c r="C109" s="15" t="n">
        <v>1</v>
      </c>
      <c r="D109" s="17" t="s">
        <v>695</v>
      </c>
    </row>
    <row r="110" customFormat="false" ht="15" hidden="false" customHeight="false" outlineLevel="0" collapsed="false">
      <c r="A110" s="15" t="s">
        <v>793</v>
      </c>
      <c r="B110" s="17" t="s">
        <v>474</v>
      </c>
      <c r="C110" s="15" t="n">
        <v>2</v>
      </c>
      <c r="D110" s="17" t="s">
        <v>664</v>
      </c>
    </row>
    <row r="111" customFormat="false" ht="15" hidden="false" customHeight="false" outlineLevel="0" collapsed="false">
      <c r="A111" s="15" t="s">
        <v>794</v>
      </c>
      <c r="B111" s="17" t="s">
        <v>140</v>
      </c>
      <c r="C111" s="15" t="n">
        <v>1</v>
      </c>
      <c r="D111" s="17" t="s">
        <v>664</v>
      </c>
    </row>
    <row r="112" customFormat="false" ht="15" hidden="false" customHeight="false" outlineLevel="0" collapsed="false">
      <c r="A112" s="15" t="s">
        <v>795</v>
      </c>
      <c r="B112" s="17" t="s">
        <v>143</v>
      </c>
      <c r="C112" s="15" t="n">
        <v>1</v>
      </c>
      <c r="D112" s="17" t="s">
        <v>762</v>
      </c>
    </row>
    <row r="113" customFormat="false" ht="15" hidden="false" customHeight="false" outlineLevel="0" collapsed="false">
      <c r="A113" s="15" t="s">
        <v>796</v>
      </c>
      <c r="B113" s="17" t="s">
        <v>483</v>
      </c>
      <c r="C113" s="15" t="n">
        <v>2</v>
      </c>
      <c r="D113" s="17" t="s">
        <v>695</v>
      </c>
    </row>
    <row r="114" customFormat="false" ht="15" hidden="false" customHeight="false" outlineLevel="0" collapsed="false">
      <c r="A114" s="15" t="s">
        <v>797</v>
      </c>
      <c r="B114" s="17" t="s">
        <v>142</v>
      </c>
      <c r="C114" s="15" t="n">
        <v>1</v>
      </c>
      <c r="D114" s="17" t="s">
        <v>695</v>
      </c>
    </row>
    <row r="115" customFormat="false" ht="15" hidden="false" customHeight="false" outlineLevel="0" collapsed="false">
      <c r="A115" s="15" t="s">
        <v>798</v>
      </c>
      <c r="B115" s="17" t="s">
        <v>139</v>
      </c>
      <c r="C115" s="15" t="n">
        <v>1</v>
      </c>
      <c r="D115" s="17" t="s">
        <v>695</v>
      </c>
    </row>
    <row r="116" customFormat="false" ht="15" hidden="false" customHeight="false" outlineLevel="0" collapsed="false">
      <c r="A116" s="15" t="s">
        <v>799</v>
      </c>
      <c r="B116" s="17" t="s">
        <v>643</v>
      </c>
      <c r="C116" s="15" t="n">
        <v>2</v>
      </c>
      <c r="D116" s="17" t="s">
        <v>662</v>
      </c>
    </row>
    <row r="117" customFormat="false" ht="15" hidden="false" customHeight="false" outlineLevel="0" collapsed="false">
      <c r="A117" s="15" t="s">
        <v>800</v>
      </c>
      <c r="B117" s="17" t="s">
        <v>142</v>
      </c>
      <c r="C117" s="15" t="n">
        <v>1</v>
      </c>
      <c r="D117" s="17" t="s">
        <v>695</v>
      </c>
    </row>
    <row r="118" customFormat="false" ht="15" hidden="false" customHeight="false" outlineLevel="0" collapsed="false">
      <c r="A118" s="15" t="s">
        <v>801</v>
      </c>
      <c r="B118" s="17" t="s">
        <v>141</v>
      </c>
      <c r="C118" s="15" t="n">
        <v>1</v>
      </c>
      <c r="D118" s="17" t="s">
        <v>695</v>
      </c>
    </row>
    <row r="119" customFormat="false" ht="15" hidden="false" customHeight="false" outlineLevel="0" collapsed="false">
      <c r="A119" s="15" t="s">
        <v>802</v>
      </c>
      <c r="B119" s="17" t="s">
        <v>141</v>
      </c>
      <c r="C119" s="15" t="n">
        <v>1</v>
      </c>
      <c r="D119" s="17" t="s">
        <v>658</v>
      </c>
    </row>
    <row r="120" customFormat="false" ht="15" hidden="false" customHeight="false" outlineLevel="0" collapsed="false">
      <c r="A120" s="15" t="s">
        <v>803</v>
      </c>
      <c r="B120" s="17" t="s">
        <v>141</v>
      </c>
      <c r="C120" s="15" t="n">
        <v>1</v>
      </c>
      <c r="D120" s="17" t="s">
        <v>658</v>
      </c>
    </row>
    <row r="121" customFormat="false" ht="28.35" hidden="false" customHeight="false" outlineLevel="0" collapsed="false">
      <c r="A121" s="15" t="s">
        <v>804</v>
      </c>
      <c r="B121" s="17" t="s">
        <v>140</v>
      </c>
      <c r="C121" s="15" t="n">
        <v>1</v>
      </c>
      <c r="D121" s="17" t="s">
        <v>805</v>
      </c>
    </row>
    <row r="122" customFormat="false" ht="28.35" hidden="false" customHeight="false" outlineLevel="0" collapsed="false">
      <c r="A122" s="15" t="s">
        <v>806</v>
      </c>
      <c r="B122" s="17" t="s">
        <v>278</v>
      </c>
      <c r="C122" s="15" t="n">
        <v>3</v>
      </c>
      <c r="D122" s="17" t="s">
        <v>658</v>
      </c>
    </row>
    <row r="123" customFormat="false" ht="15" hidden="false" customHeight="false" outlineLevel="0" collapsed="false">
      <c r="A123" s="15" t="s">
        <v>807</v>
      </c>
      <c r="B123" s="17" t="s">
        <v>139</v>
      </c>
      <c r="C123" s="15" t="n">
        <v>1</v>
      </c>
      <c r="D123" s="17" t="s">
        <v>669</v>
      </c>
    </row>
    <row r="124" customFormat="false" ht="15" hidden="false" customHeight="false" outlineLevel="0" collapsed="false">
      <c r="A124" s="15" t="s">
        <v>808</v>
      </c>
      <c r="B124" s="17" t="s">
        <v>139</v>
      </c>
      <c r="C124" s="15" t="n">
        <v>1</v>
      </c>
      <c r="D124" s="17" t="s">
        <v>664</v>
      </c>
    </row>
    <row r="125" customFormat="false" ht="15" hidden="false" customHeight="false" outlineLevel="0" collapsed="false">
      <c r="A125" s="15" t="s">
        <v>809</v>
      </c>
      <c r="B125" s="17" t="s">
        <v>436</v>
      </c>
      <c r="C125" s="15" t="n">
        <v>2</v>
      </c>
      <c r="D125" s="17" t="s">
        <v>695</v>
      </c>
    </row>
    <row r="126" customFormat="false" ht="15" hidden="false" customHeight="false" outlineLevel="0" collapsed="false">
      <c r="A126" s="15" t="s">
        <v>810</v>
      </c>
      <c r="B126" s="17" t="s">
        <v>142</v>
      </c>
      <c r="C126" s="15" t="n">
        <v>1</v>
      </c>
      <c r="D126" s="17" t="s">
        <v>700</v>
      </c>
    </row>
    <row r="127" customFormat="false" ht="15" hidden="false" customHeight="false" outlineLevel="0" collapsed="false">
      <c r="A127" s="15" t="s">
        <v>811</v>
      </c>
      <c r="B127" s="17" t="s">
        <v>141</v>
      </c>
      <c r="C127" s="15" t="n">
        <v>1</v>
      </c>
      <c r="D127" s="17" t="s">
        <v>655</v>
      </c>
    </row>
    <row r="128" customFormat="false" ht="15" hidden="false" customHeight="false" outlineLevel="0" collapsed="false">
      <c r="A128" s="15" t="s">
        <v>812</v>
      </c>
      <c r="B128" s="17" t="s">
        <v>141</v>
      </c>
      <c r="C128" s="15" t="n">
        <v>1</v>
      </c>
      <c r="D128" s="17" t="s">
        <v>674</v>
      </c>
    </row>
    <row r="129" customFormat="false" ht="15" hidden="false" customHeight="false" outlineLevel="0" collapsed="false">
      <c r="A129" s="15" t="s">
        <v>813</v>
      </c>
      <c r="B129" s="17" t="s">
        <v>483</v>
      </c>
      <c r="C129" s="15" t="n">
        <v>2</v>
      </c>
      <c r="D129" s="17" t="s">
        <v>737</v>
      </c>
    </row>
    <row r="130" customFormat="false" ht="15" hidden="false" customHeight="false" outlineLevel="0" collapsed="false">
      <c r="A130" s="15" t="s">
        <v>814</v>
      </c>
      <c r="B130" s="17" t="s">
        <v>436</v>
      </c>
      <c r="C130" s="15" t="n">
        <v>2</v>
      </c>
      <c r="D130" s="17" t="s">
        <v>695</v>
      </c>
    </row>
    <row r="131" customFormat="false" ht="15" hidden="false" customHeight="false" outlineLevel="0" collapsed="false">
      <c r="A131" s="15" t="s">
        <v>815</v>
      </c>
      <c r="B131" s="17" t="s">
        <v>140</v>
      </c>
      <c r="C131" s="15" t="n">
        <v>1</v>
      </c>
      <c r="D131" s="17" t="s">
        <v>732</v>
      </c>
    </row>
    <row r="132" customFormat="false" ht="15" hidden="false" customHeight="false" outlineLevel="0" collapsed="false">
      <c r="A132" s="15" t="s">
        <v>816</v>
      </c>
      <c r="B132" s="17" t="s">
        <v>139</v>
      </c>
      <c r="C132" s="15" t="n">
        <v>1</v>
      </c>
      <c r="D132" s="17" t="s">
        <v>658</v>
      </c>
    </row>
    <row r="133" customFormat="false" ht="28.35" hidden="false" customHeight="false" outlineLevel="0" collapsed="false">
      <c r="A133" s="15" t="s">
        <v>817</v>
      </c>
      <c r="B133" s="17" t="s">
        <v>190</v>
      </c>
      <c r="C133" s="15" t="n">
        <v>3</v>
      </c>
      <c r="D133" s="17" t="s">
        <v>760</v>
      </c>
    </row>
    <row r="134" customFormat="false" ht="28.35" hidden="false" customHeight="false" outlineLevel="0" collapsed="false">
      <c r="A134" s="15" t="s">
        <v>818</v>
      </c>
      <c r="B134" s="17" t="s">
        <v>278</v>
      </c>
      <c r="C134" s="15" t="n">
        <v>3</v>
      </c>
      <c r="D134" s="17" t="s">
        <v>718</v>
      </c>
    </row>
    <row r="135" customFormat="false" ht="15" hidden="false" customHeight="false" outlineLevel="0" collapsed="false">
      <c r="A135" s="15" t="s">
        <v>819</v>
      </c>
      <c r="B135" s="17" t="s">
        <v>142</v>
      </c>
      <c r="C135" s="15" t="n">
        <v>1</v>
      </c>
      <c r="D135" s="17" t="s">
        <v>658</v>
      </c>
    </row>
    <row r="136" customFormat="false" ht="15" hidden="false" customHeight="false" outlineLevel="0" collapsed="false">
      <c r="A136" s="15" t="s">
        <v>820</v>
      </c>
      <c r="B136" s="17" t="s">
        <v>474</v>
      </c>
      <c r="C136" s="15" t="n">
        <v>2</v>
      </c>
      <c r="D136" s="17" t="s">
        <v>765</v>
      </c>
    </row>
    <row r="137" customFormat="false" ht="15" hidden="false" customHeight="false" outlineLevel="0" collapsed="false">
      <c r="A137" s="15" t="s">
        <v>821</v>
      </c>
      <c r="B137" s="17" t="s">
        <v>474</v>
      </c>
      <c r="C137" s="15" t="n">
        <v>2</v>
      </c>
      <c r="D137" s="17" t="s">
        <v>700</v>
      </c>
    </row>
    <row r="138" customFormat="false" ht="41.75" hidden="false" customHeight="false" outlineLevel="0" collapsed="false">
      <c r="A138" s="15" t="s">
        <v>822</v>
      </c>
      <c r="B138" s="17" t="s">
        <v>691</v>
      </c>
      <c r="C138" s="15" t="n">
        <v>5</v>
      </c>
      <c r="D138" s="17" t="s">
        <v>823</v>
      </c>
    </row>
    <row r="139" customFormat="false" ht="28.35" hidden="false" customHeight="false" outlineLevel="0" collapsed="false">
      <c r="A139" s="15" t="s">
        <v>824</v>
      </c>
      <c r="B139" s="17" t="s">
        <v>825</v>
      </c>
      <c r="C139" s="15" t="n">
        <v>4</v>
      </c>
      <c r="D139" s="17" t="s">
        <v>662</v>
      </c>
    </row>
    <row r="140" customFormat="false" ht="15" hidden="false" customHeight="false" outlineLevel="0" collapsed="false">
      <c r="A140" s="15" t="s">
        <v>826</v>
      </c>
      <c r="B140" s="17" t="s">
        <v>142</v>
      </c>
      <c r="C140" s="15" t="n">
        <v>1</v>
      </c>
      <c r="D140" s="17" t="s">
        <v>765</v>
      </c>
    </row>
    <row r="141" customFormat="false" ht="28.35" hidden="false" customHeight="false" outlineLevel="0" collapsed="false">
      <c r="A141" s="15" t="s">
        <v>827</v>
      </c>
      <c r="B141" s="17" t="s">
        <v>444</v>
      </c>
      <c r="C141" s="15" t="n">
        <v>3</v>
      </c>
      <c r="D141" s="17" t="s">
        <v>676</v>
      </c>
    </row>
    <row r="142" customFormat="false" ht="15" hidden="false" customHeight="false" outlineLevel="0" collapsed="false">
      <c r="A142" s="15" t="s">
        <v>828</v>
      </c>
      <c r="B142" s="17" t="s">
        <v>238</v>
      </c>
      <c r="C142" s="15" t="n">
        <v>2</v>
      </c>
      <c r="D142" s="17" t="s">
        <v>658</v>
      </c>
    </row>
    <row r="143" customFormat="false" ht="15" hidden="false" customHeight="false" outlineLevel="0" collapsed="false">
      <c r="A143" s="15" t="s">
        <v>829</v>
      </c>
      <c r="B143" s="17" t="s">
        <v>139</v>
      </c>
      <c r="C143" s="15" t="n">
        <v>1</v>
      </c>
      <c r="D143" s="17" t="s">
        <v>658</v>
      </c>
    </row>
    <row r="144" customFormat="false" ht="15" hidden="false" customHeight="false" outlineLevel="0" collapsed="false">
      <c r="A144" s="15" t="s">
        <v>830</v>
      </c>
      <c r="B144" s="17" t="s">
        <v>140</v>
      </c>
      <c r="C144" s="15" t="n">
        <v>1</v>
      </c>
      <c r="D144" s="17" t="s">
        <v>695</v>
      </c>
    </row>
    <row r="145" customFormat="false" ht="15" hidden="false" customHeight="false" outlineLevel="0" collapsed="false">
      <c r="A145" s="15" t="s">
        <v>831</v>
      </c>
      <c r="B145" s="17" t="s">
        <v>142</v>
      </c>
      <c r="C145" s="15" t="n">
        <v>1</v>
      </c>
      <c r="D145" s="17" t="s">
        <v>655</v>
      </c>
    </row>
    <row r="146" customFormat="false" ht="28.35" hidden="false" customHeight="false" outlineLevel="0" collapsed="false">
      <c r="A146" s="15" t="s">
        <v>832</v>
      </c>
      <c r="B146" s="17" t="s">
        <v>833</v>
      </c>
      <c r="C146" s="15" t="n">
        <v>2</v>
      </c>
      <c r="D146" s="17" t="s">
        <v>724</v>
      </c>
    </row>
    <row r="147" customFormat="false" ht="15" hidden="false" customHeight="false" outlineLevel="0" collapsed="false">
      <c r="A147" s="15" t="s">
        <v>834</v>
      </c>
      <c r="B147" s="17" t="s">
        <v>142</v>
      </c>
      <c r="C147" s="15" t="n">
        <v>1</v>
      </c>
      <c r="D147" s="17" t="s">
        <v>704</v>
      </c>
    </row>
    <row r="148" customFormat="false" ht="15" hidden="false" customHeight="false" outlineLevel="0" collapsed="false">
      <c r="A148" s="15" t="s">
        <v>835</v>
      </c>
      <c r="B148" s="17" t="s">
        <v>142</v>
      </c>
      <c r="C148" s="15" t="n">
        <v>1</v>
      </c>
      <c r="D148" s="17" t="s">
        <v>700</v>
      </c>
    </row>
    <row r="149" customFormat="false" ht="15" hidden="false" customHeight="false" outlineLevel="0" collapsed="false">
      <c r="A149" s="15" t="s">
        <v>836</v>
      </c>
      <c r="B149" s="17" t="s">
        <v>139</v>
      </c>
      <c r="C149" s="15" t="n">
        <v>1</v>
      </c>
      <c r="D149" s="17" t="s">
        <v>695</v>
      </c>
    </row>
    <row r="150" customFormat="false" ht="15" hidden="false" customHeight="false" outlineLevel="0" collapsed="false">
      <c r="A150" s="15" t="s">
        <v>837</v>
      </c>
      <c r="B150" s="17" t="s">
        <v>422</v>
      </c>
      <c r="C150" s="15" t="n">
        <v>2</v>
      </c>
      <c r="D150" s="17" t="s">
        <v>704</v>
      </c>
    </row>
    <row r="151" customFormat="false" ht="15" hidden="false" customHeight="false" outlineLevel="0" collapsed="false">
      <c r="A151" s="15" t="s">
        <v>838</v>
      </c>
      <c r="B151" s="17" t="s">
        <v>143</v>
      </c>
      <c r="C151" s="15" t="n">
        <v>1</v>
      </c>
      <c r="D151" s="17" t="s">
        <v>658</v>
      </c>
    </row>
    <row r="152" customFormat="false" ht="15" hidden="false" customHeight="false" outlineLevel="0" collapsed="false">
      <c r="A152" s="15" t="s">
        <v>839</v>
      </c>
      <c r="B152" s="17" t="s">
        <v>143</v>
      </c>
      <c r="C152" s="15" t="n">
        <v>1</v>
      </c>
      <c r="D152" s="17" t="s">
        <v>662</v>
      </c>
    </row>
    <row r="153" customFormat="false" ht="15" hidden="false" customHeight="false" outlineLevel="0" collapsed="false">
      <c r="A153" s="15" t="s">
        <v>840</v>
      </c>
      <c r="B153" s="17" t="s">
        <v>422</v>
      </c>
      <c r="C153" s="15" t="n">
        <v>2</v>
      </c>
      <c r="D153" s="17" t="s">
        <v>655</v>
      </c>
    </row>
    <row r="154" customFormat="false" ht="15" hidden="false" customHeight="false" outlineLevel="0" collapsed="false">
      <c r="A154" s="15" t="s">
        <v>841</v>
      </c>
      <c r="B154" s="17" t="s">
        <v>143</v>
      </c>
      <c r="C154" s="15" t="n">
        <v>1</v>
      </c>
      <c r="D154" s="17" t="s">
        <v>695</v>
      </c>
    </row>
    <row r="155" customFormat="false" ht="15" hidden="false" customHeight="false" outlineLevel="0" collapsed="false">
      <c r="A155" s="15" t="s">
        <v>842</v>
      </c>
      <c r="B155" s="17" t="s">
        <v>143</v>
      </c>
      <c r="C155" s="15" t="n">
        <v>1</v>
      </c>
      <c r="D155" s="17" t="s">
        <v>732</v>
      </c>
    </row>
    <row r="156" customFormat="false" ht="15" hidden="false" customHeight="false" outlineLevel="0" collapsed="false">
      <c r="A156" s="15" t="s">
        <v>843</v>
      </c>
      <c r="B156" s="17" t="s">
        <v>143</v>
      </c>
      <c r="C156" s="15" t="n">
        <v>1</v>
      </c>
      <c r="D156" s="17" t="s">
        <v>658</v>
      </c>
    </row>
    <row r="157" customFormat="false" ht="15" hidden="false" customHeight="false" outlineLevel="0" collapsed="false">
      <c r="A157" s="15" t="s">
        <v>844</v>
      </c>
      <c r="B157" s="17" t="s">
        <v>143</v>
      </c>
      <c r="C157" s="15" t="n">
        <v>1</v>
      </c>
      <c r="D157" s="17" t="s">
        <v>695</v>
      </c>
    </row>
    <row r="158" customFormat="false" ht="15" hidden="false" customHeight="false" outlineLevel="0" collapsed="false">
      <c r="A158" s="15" t="s">
        <v>845</v>
      </c>
      <c r="B158" s="17" t="s">
        <v>474</v>
      </c>
      <c r="C158" s="15" t="n">
        <v>2</v>
      </c>
      <c r="D158" s="17" t="s">
        <v>658</v>
      </c>
    </row>
    <row r="159" customFormat="false" ht="15" hidden="false" customHeight="false" outlineLevel="0" collapsed="false">
      <c r="A159" s="15" t="s">
        <v>846</v>
      </c>
      <c r="B159" s="17" t="s">
        <v>143</v>
      </c>
      <c r="C159" s="15" t="n">
        <v>1</v>
      </c>
      <c r="D159" s="17" t="s">
        <v>667</v>
      </c>
    </row>
    <row r="160" customFormat="false" ht="28.35" hidden="false" customHeight="false" outlineLevel="0" collapsed="false">
      <c r="A160" s="15" t="s">
        <v>847</v>
      </c>
      <c r="B160" s="17" t="s">
        <v>848</v>
      </c>
      <c r="C160" s="15" t="n">
        <v>3</v>
      </c>
      <c r="D160" s="17" t="s">
        <v>765</v>
      </c>
    </row>
    <row r="161" customFormat="false" ht="15" hidden="false" customHeight="false" outlineLevel="0" collapsed="false">
      <c r="A161" s="15" t="s">
        <v>849</v>
      </c>
      <c r="B161" s="17" t="s">
        <v>295</v>
      </c>
      <c r="C161" s="15" t="n">
        <v>2</v>
      </c>
      <c r="D161" s="17" t="s">
        <v>732</v>
      </c>
    </row>
    <row r="162" customFormat="false" ht="15" hidden="false" customHeight="false" outlineLevel="0" collapsed="false">
      <c r="A162" s="15" t="s">
        <v>850</v>
      </c>
      <c r="B162" s="17" t="s">
        <v>212</v>
      </c>
      <c r="C162" s="15" t="n">
        <v>2</v>
      </c>
      <c r="D162" s="17" t="s">
        <v>700</v>
      </c>
    </row>
    <row r="163" customFormat="false" ht="15" hidden="false" customHeight="false" outlineLevel="0" collapsed="false">
      <c r="A163" s="15" t="s">
        <v>851</v>
      </c>
      <c r="B163" s="17" t="s">
        <v>142</v>
      </c>
      <c r="C163" s="15" t="n">
        <v>1</v>
      </c>
      <c r="D163" s="17" t="s">
        <v>695</v>
      </c>
    </row>
    <row r="164" customFormat="false" ht="15" hidden="false" customHeight="false" outlineLevel="0" collapsed="false">
      <c r="A164" s="15" t="s">
        <v>852</v>
      </c>
      <c r="B164" s="17" t="s">
        <v>141</v>
      </c>
      <c r="C164" s="15" t="n">
        <v>1</v>
      </c>
      <c r="D164" s="17" t="s">
        <v>658</v>
      </c>
    </row>
    <row r="165" customFormat="false" ht="15" hidden="false" customHeight="false" outlineLevel="0" collapsed="false">
      <c r="A165" s="15" t="s">
        <v>853</v>
      </c>
      <c r="B165" s="17" t="s">
        <v>137</v>
      </c>
      <c r="C165" s="15" t="n">
        <v>1</v>
      </c>
      <c r="D165" s="17" t="s">
        <v>655</v>
      </c>
    </row>
    <row r="166" customFormat="false" ht="15" hidden="false" customHeight="false" outlineLevel="0" collapsed="false">
      <c r="A166" s="15" t="s">
        <v>854</v>
      </c>
      <c r="B166" s="17" t="s">
        <v>143</v>
      </c>
      <c r="C166" s="15" t="n">
        <v>1</v>
      </c>
      <c r="D166" s="17" t="s">
        <v>662</v>
      </c>
    </row>
    <row r="167" customFormat="false" ht="15" hidden="false" customHeight="false" outlineLevel="0" collapsed="false">
      <c r="A167" s="15" t="s">
        <v>855</v>
      </c>
      <c r="B167" s="17" t="s">
        <v>140</v>
      </c>
      <c r="C167" s="15" t="n">
        <v>1</v>
      </c>
      <c r="D167" s="17" t="s">
        <v>695</v>
      </c>
    </row>
    <row r="168" customFormat="false" ht="15" hidden="false" customHeight="false" outlineLevel="0" collapsed="false">
      <c r="A168" s="15" t="s">
        <v>856</v>
      </c>
      <c r="B168" s="17" t="s">
        <v>857</v>
      </c>
      <c r="C168" s="15" t="n">
        <v>2</v>
      </c>
      <c r="D168" s="17" t="s">
        <v>655</v>
      </c>
    </row>
    <row r="169" customFormat="false" ht="15" hidden="false" customHeight="false" outlineLevel="0" collapsed="false">
      <c r="A169" s="15" t="s">
        <v>858</v>
      </c>
      <c r="B169" s="17" t="s">
        <v>137</v>
      </c>
      <c r="C169" s="15" t="n">
        <v>1</v>
      </c>
      <c r="D169" s="17" t="s">
        <v>655</v>
      </c>
    </row>
    <row r="170" customFormat="false" ht="15" hidden="false" customHeight="false" outlineLevel="0" collapsed="false">
      <c r="A170" s="15" t="s">
        <v>859</v>
      </c>
      <c r="B170" s="17" t="s">
        <v>141</v>
      </c>
      <c r="C170" s="15" t="n">
        <v>1</v>
      </c>
      <c r="D170" s="17" t="s">
        <v>664</v>
      </c>
    </row>
    <row r="171" customFormat="false" ht="15" hidden="false" customHeight="false" outlineLevel="0" collapsed="false">
      <c r="A171" s="15" t="s">
        <v>860</v>
      </c>
      <c r="B171" s="17" t="s">
        <v>143</v>
      </c>
      <c r="C171" s="15" t="n">
        <v>1</v>
      </c>
      <c r="D171" s="17" t="s">
        <v>662</v>
      </c>
    </row>
    <row r="172" customFormat="false" ht="15" hidden="false" customHeight="false" outlineLevel="0" collapsed="false">
      <c r="A172" s="15" t="s">
        <v>861</v>
      </c>
      <c r="B172" s="17" t="s">
        <v>143</v>
      </c>
      <c r="C172" s="15" t="n">
        <v>1</v>
      </c>
      <c r="D172" s="17" t="s">
        <v>765</v>
      </c>
    </row>
    <row r="173" customFormat="false" ht="15" hidden="false" customHeight="false" outlineLevel="0" collapsed="false">
      <c r="A173" s="15" t="s">
        <v>862</v>
      </c>
      <c r="B173" s="17" t="s">
        <v>143</v>
      </c>
      <c r="C173" s="15" t="n">
        <v>1</v>
      </c>
      <c r="D173" s="17" t="s">
        <v>662</v>
      </c>
    </row>
    <row r="174" customFormat="false" ht="15" hidden="false" customHeight="false" outlineLevel="0" collapsed="false">
      <c r="A174" s="15" t="s">
        <v>863</v>
      </c>
      <c r="B174" s="17" t="s">
        <v>143</v>
      </c>
      <c r="C174" s="15" t="n">
        <v>1</v>
      </c>
      <c r="D174" s="17" t="s">
        <v>864</v>
      </c>
    </row>
    <row r="175" customFormat="false" ht="15" hidden="false" customHeight="false" outlineLevel="0" collapsed="false">
      <c r="A175" s="15" t="s">
        <v>865</v>
      </c>
      <c r="B175" s="17" t="s">
        <v>142</v>
      </c>
      <c r="C175" s="15" t="n">
        <v>1</v>
      </c>
      <c r="D175" s="17" t="s">
        <v>760</v>
      </c>
    </row>
    <row r="176" customFormat="false" ht="15" hidden="false" customHeight="false" outlineLevel="0" collapsed="false">
      <c r="A176" s="15" t="s">
        <v>866</v>
      </c>
      <c r="B176" s="17" t="s">
        <v>141</v>
      </c>
      <c r="C176" s="15" t="n">
        <v>1</v>
      </c>
      <c r="D176" s="17" t="s">
        <v>662</v>
      </c>
    </row>
    <row r="177" customFormat="false" ht="15" hidden="false" customHeight="false" outlineLevel="0" collapsed="false">
      <c r="A177" s="15" t="s">
        <v>867</v>
      </c>
      <c r="B177" s="17" t="s">
        <v>141</v>
      </c>
      <c r="C177" s="15" t="n">
        <v>1</v>
      </c>
      <c r="D177" s="17" t="s">
        <v>695</v>
      </c>
    </row>
    <row r="178" customFormat="false" ht="15" hidden="false" customHeight="false" outlineLevel="0" collapsed="false">
      <c r="A178" s="15" t="s">
        <v>868</v>
      </c>
      <c r="B178" s="17" t="s">
        <v>137</v>
      </c>
      <c r="C178" s="15" t="n">
        <v>1</v>
      </c>
      <c r="D178" s="17" t="s">
        <v>869</v>
      </c>
    </row>
    <row r="179" customFormat="false" ht="15" hidden="false" customHeight="false" outlineLevel="0" collapsed="false">
      <c r="A179" s="15" t="s">
        <v>870</v>
      </c>
      <c r="B179" s="17" t="s">
        <v>436</v>
      </c>
      <c r="C179" s="15" t="n">
        <v>2</v>
      </c>
      <c r="D179" s="17" t="s">
        <v>662</v>
      </c>
    </row>
    <row r="180" customFormat="false" ht="15" hidden="false" customHeight="false" outlineLevel="0" collapsed="false">
      <c r="A180" s="15" t="s">
        <v>871</v>
      </c>
      <c r="B180" s="17" t="s">
        <v>833</v>
      </c>
      <c r="C180" s="15" t="n">
        <v>2</v>
      </c>
      <c r="D180" s="17" t="s">
        <v>700</v>
      </c>
    </row>
    <row r="181" customFormat="false" ht="15" hidden="false" customHeight="false" outlineLevel="0" collapsed="false">
      <c r="A181" s="15" t="s">
        <v>872</v>
      </c>
      <c r="B181" s="17" t="s">
        <v>143</v>
      </c>
      <c r="C181" s="15" t="n">
        <v>1</v>
      </c>
      <c r="D181" s="17" t="s">
        <v>658</v>
      </c>
    </row>
    <row r="182" customFormat="false" ht="15" hidden="false" customHeight="false" outlineLevel="0" collapsed="false">
      <c r="A182" s="15" t="s">
        <v>873</v>
      </c>
      <c r="B182" s="17" t="s">
        <v>141</v>
      </c>
      <c r="C182" s="15" t="n">
        <v>1</v>
      </c>
      <c r="D182" s="17" t="s">
        <v>695</v>
      </c>
    </row>
    <row r="183" customFormat="false" ht="15" hidden="false" customHeight="false" outlineLevel="0" collapsed="false">
      <c r="A183" s="15" t="s">
        <v>874</v>
      </c>
      <c r="B183" s="17" t="s">
        <v>143</v>
      </c>
      <c r="C183" s="15" t="n">
        <v>1</v>
      </c>
      <c r="D183" s="17" t="s">
        <v>664</v>
      </c>
    </row>
    <row r="184" customFormat="false" ht="15" hidden="false" customHeight="false" outlineLevel="0" collapsed="false">
      <c r="A184" s="15" t="s">
        <v>875</v>
      </c>
      <c r="B184" s="17" t="s">
        <v>143</v>
      </c>
      <c r="C184" s="15" t="n">
        <v>1</v>
      </c>
      <c r="D184" s="17" t="s">
        <v>732</v>
      </c>
    </row>
    <row r="185" customFormat="false" ht="15" hidden="false" customHeight="false" outlineLevel="0" collapsed="false">
      <c r="A185" s="15" t="s">
        <v>876</v>
      </c>
      <c r="B185" s="17" t="s">
        <v>141</v>
      </c>
      <c r="C185" s="15" t="n">
        <v>1</v>
      </c>
      <c r="D185" s="17" t="s">
        <v>664</v>
      </c>
    </row>
    <row r="186" customFormat="false" ht="28.35" hidden="false" customHeight="false" outlineLevel="0" collapsed="false">
      <c r="A186" s="15" t="s">
        <v>877</v>
      </c>
      <c r="B186" s="17" t="s">
        <v>143</v>
      </c>
      <c r="C186" s="15" t="n">
        <v>1</v>
      </c>
      <c r="D186" s="17" t="s">
        <v>724</v>
      </c>
    </row>
    <row r="187" customFormat="false" ht="15" hidden="false" customHeight="false" outlineLevel="0" collapsed="false">
      <c r="A187" s="15" t="s">
        <v>878</v>
      </c>
      <c r="B187" s="17" t="s">
        <v>643</v>
      </c>
      <c r="C187" s="15" t="n">
        <v>2</v>
      </c>
      <c r="D187" s="17" t="s">
        <v>655</v>
      </c>
    </row>
    <row r="188" customFormat="false" ht="15" hidden="false" customHeight="false" outlineLevel="0" collapsed="false">
      <c r="A188" s="15" t="s">
        <v>879</v>
      </c>
      <c r="B188" s="17" t="s">
        <v>139</v>
      </c>
      <c r="C188" s="15" t="n">
        <v>1</v>
      </c>
      <c r="D188" s="17" t="s">
        <v>662</v>
      </c>
    </row>
    <row r="189" customFormat="false" ht="15" hidden="false" customHeight="false" outlineLevel="0" collapsed="false">
      <c r="A189" s="15" t="s">
        <v>880</v>
      </c>
      <c r="B189" s="17" t="s">
        <v>436</v>
      </c>
      <c r="C189" s="15" t="n">
        <v>2</v>
      </c>
      <c r="D189" s="17" t="s">
        <v>737</v>
      </c>
    </row>
    <row r="190" customFormat="false" ht="15" hidden="false" customHeight="false" outlineLevel="0" collapsed="false">
      <c r="A190" s="15" t="s">
        <v>881</v>
      </c>
      <c r="B190" s="17" t="s">
        <v>139</v>
      </c>
      <c r="C190" s="15" t="n">
        <v>1</v>
      </c>
      <c r="D190" s="17" t="s">
        <v>693</v>
      </c>
    </row>
    <row r="191" customFormat="false" ht="15" hidden="false" customHeight="false" outlineLevel="0" collapsed="false">
      <c r="A191" s="15" t="s">
        <v>882</v>
      </c>
      <c r="B191" s="17" t="s">
        <v>141</v>
      </c>
      <c r="C191" s="15" t="n">
        <v>1</v>
      </c>
      <c r="D191" s="17" t="s">
        <v>695</v>
      </c>
    </row>
    <row r="192" customFormat="false" ht="15" hidden="false" customHeight="false" outlineLevel="0" collapsed="false">
      <c r="A192" s="15" t="s">
        <v>883</v>
      </c>
      <c r="B192" s="17" t="s">
        <v>577</v>
      </c>
      <c r="C192" s="15" t="n">
        <v>2</v>
      </c>
      <c r="D192" s="17" t="s">
        <v>693</v>
      </c>
    </row>
    <row r="193" customFormat="false" ht="15" hidden="false" customHeight="false" outlineLevel="0" collapsed="false">
      <c r="A193" s="15" t="s">
        <v>884</v>
      </c>
      <c r="B193" s="17" t="s">
        <v>139</v>
      </c>
      <c r="C193" s="15" t="n">
        <v>1</v>
      </c>
      <c r="D193" s="17" t="s">
        <v>658</v>
      </c>
    </row>
    <row r="194" customFormat="false" ht="15" hidden="false" customHeight="false" outlineLevel="0" collapsed="false">
      <c r="A194" s="15" t="s">
        <v>885</v>
      </c>
      <c r="B194" s="17" t="s">
        <v>886</v>
      </c>
      <c r="C194" s="15" t="n">
        <v>2</v>
      </c>
      <c r="D194" s="17" t="s">
        <v>737</v>
      </c>
    </row>
    <row r="195" customFormat="false" ht="15" hidden="false" customHeight="false" outlineLevel="0" collapsed="false">
      <c r="A195" s="15" t="s">
        <v>887</v>
      </c>
      <c r="B195" s="17" t="s">
        <v>139</v>
      </c>
      <c r="C195" s="15" t="n">
        <v>1</v>
      </c>
      <c r="D195" s="17" t="s">
        <v>664</v>
      </c>
    </row>
    <row r="196" customFormat="false" ht="15" hidden="false" customHeight="false" outlineLevel="0" collapsed="false">
      <c r="A196" s="15" t="s">
        <v>888</v>
      </c>
      <c r="B196" s="17" t="s">
        <v>142</v>
      </c>
      <c r="C196" s="15" t="n">
        <v>1</v>
      </c>
      <c r="D196" s="17" t="s">
        <v>662</v>
      </c>
    </row>
    <row r="197" customFormat="false" ht="15" hidden="false" customHeight="false" outlineLevel="0" collapsed="false">
      <c r="A197" s="15" t="s">
        <v>889</v>
      </c>
      <c r="B197" s="17" t="s">
        <v>143</v>
      </c>
      <c r="C197" s="15" t="n">
        <v>1</v>
      </c>
      <c r="D197" s="17" t="s">
        <v>662</v>
      </c>
    </row>
    <row r="198" customFormat="false" ht="15" hidden="false" customHeight="false" outlineLevel="0" collapsed="false">
      <c r="A198" s="15" t="s">
        <v>890</v>
      </c>
      <c r="B198" s="17" t="s">
        <v>139</v>
      </c>
      <c r="C198" s="15" t="n">
        <v>1</v>
      </c>
      <c r="D198" s="17" t="s">
        <v>732</v>
      </c>
    </row>
    <row r="199" customFormat="false" ht="28.35" hidden="false" customHeight="false" outlineLevel="0" collapsed="false">
      <c r="A199" s="15" t="s">
        <v>891</v>
      </c>
      <c r="B199" s="17" t="s">
        <v>251</v>
      </c>
      <c r="C199" s="15" t="n">
        <v>4</v>
      </c>
      <c r="D199" s="17" t="s">
        <v>662</v>
      </c>
    </row>
    <row r="200" customFormat="false" ht="15" hidden="false" customHeight="false" outlineLevel="0" collapsed="false">
      <c r="A200" s="15" t="s">
        <v>892</v>
      </c>
      <c r="B200" s="17" t="s">
        <v>143</v>
      </c>
      <c r="C200" s="15" t="n">
        <v>1</v>
      </c>
      <c r="D200" s="17" t="s">
        <v>732</v>
      </c>
    </row>
    <row r="201" customFormat="false" ht="28.35" hidden="false" customHeight="false" outlineLevel="0" collapsed="false">
      <c r="A201" s="15" t="s">
        <v>893</v>
      </c>
      <c r="B201" s="17" t="s">
        <v>251</v>
      </c>
      <c r="C201" s="15" t="n">
        <v>4</v>
      </c>
      <c r="D201" s="17" t="s">
        <v>765</v>
      </c>
    </row>
    <row r="202" customFormat="false" ht="15" hidden="false" customHeight="false" outlineLevel="0" collapsed="false">
      <c r="A202" s="15" t="s">
        <v>894</v>
      </c>
      <c r="B202" s="17" t="s">
        <v>137</v>
      </c>
      <c r="C202" s="15" t="n">
        <v>1</v>
      </c>
      <c r="D202" s="17" t="s">
        <v>695</v>
      </c>
    </row>
    <row r="203" customFormat="false" ht="28.35" hidden="false" customHeight="false" outlineLevel="0" collapsed="false">
      <c r="A203" s="15" t="s">
        <v>895</v>
      </c>
      <c r="B203" s="17" t="s">
        <v>175</v>
      </c>
      <c r="C203" s="15" t="n">
        <v>3</v>
      </c>
      <c r="D203" s="17" t="s">
        <v>695</v>
      </c>
    </row>
    <row r="204" customFormat="false" ht="15" hidden="false" customHeight="false" outlineLevel="0" collapsed="false">
      <c r="A204" s="15" t="s">
        <v>896</v>
      </c>
      <c r="B204" s="17" t="s">
        <v>143</v>
      </c>
      <c r="C204" s="15" t="n">
        <v>1</v>
      </c>
      <c r="D204" s="17" t="s">
        <v>662</v>
      </c>
    </row>
    <row r="205" customFormat="false" ht="15" hidden="false" customHeight="false" outlineLevel="0" collapsed="false">
      <c r="A205" s="15" t="s">
        <v>897</v>
      </c>
      <c r="B205" s="17" t="s">
        <v>142</v>
      </c>
      <c r="C205" s="15" t="n">
        <v>1</v>
      </c>
      <c r="D205" s="17" t="s">
        <v>695</v>
      </c>
    </row>
    <row r="206" customFormat="false" ht="15" hidden="false" customHeight="false" outlineLevel="0" collapsed="false">
      <c r="A206" s="15" t="s">
        <v>898</v>
      </c>
      <c r="B206" s="17" t="s">
        <v>143</v>
      </c>
      <c r="C206" s="15" t="n">
        <v>1</v>
      </c>
      <c r="D206" s="17" t="s">
        <v>732</v>
      </c>
    </row>
    <row r="207" customFormat="false" ht="28.35" hidden="false" customHeight="false" outlineLevel="0" collapsed="false">
      <c r="A207" s="15" t="s">
        <v>899</v>
      </c>
      <c r="B207" s="17" t="s">
        <v>825</v>
      </c>
      <c r="C207" s="15" t="n">
        <v>4</v>
      </c>
      <c r="D207" s="17" t="s">
        <v>704</v>
      </c>
    </row>
    <row r="208" customFormat="false" ht="15" hidden="false" customHeight="false" outlineLevel="0" collapsed="false">
      <c r="A208" s="15" t="s">
        <v>900</v>
      </c>
      <c r="B208" s="17" t="s">
        <v>142</v>
      </c>
      <c r="C208" s="15" t="n">
        <v>1</v>
      </c>
      <c r="D208" s="17" t="s">
        <v>662</v>
      </c>
    </row>
    <row r="209" customFormat="false" ht="15" hidden="false" customHeight="false" outlineLevel="0" collapsed="false">
      <c r="A209" s="15" t="s">
        <v>901</v>
      </c>
      <c r="B209" s="17" t="s">
        <v>142</v>
      </c>
      <c r="C209" s="15" t="n">
        <v>1</v>
      </c>
      <c r="D209" s="17" t="s">
        <v>695</v>
      </c>
    </row>
    <row r="210" customFormat="false" ht="15" hidden="false" customHeight="false" outlineLevel="0" collapsed="false">
      <c r="A210" s="15" t="s">
        <v>902</v>
      </c>
      <c r="B210" s="17" t="s">
        <v>139</v>
      </c>
      <c r="C210" s="15" t="n">
        <v>1</v>
      </c>
      <c r="D210" s="17" t="s">
        <v>658</v>
      </c>
    </row>
    <row r="211" customFormat="false" ht="15" hidden="false" customHeight="false" outlineLevel="0" collapsed="false">
      <c r="A211" s="15" t="s">
        <v>903</v>
      </c>
      <c r="B211" s="17" t="s">
        <v>143</v>
      </c>
      <c r="C211" s="15" t="n">
        <v>1</v>
      </c>
      <c r="D211" s="17" t="s">
        <v>732</v>
      </c>
    </row>
    <row r="212" customFormat="false" ht="15" hidden="false" customHeight="false" outlineLevel="0" collapsed="false">
      <c r="A212" s="15" t="s">
        <v>904</v>
      </c>
      <c r="B212" s="17" t="s">
        <v>317</v>
      </c>
      <c r="C212" s="15" t="n">
        <v>2</v>
      </c>
      <c r="D212" s="17" t="s">
        <v>655</v>
      </c>
    </row>
    <row r="213" customFormat="false" ht="15" hidden="false" customHeight="false" outlineLevel="0" collapsed="false">
      <c r="A213" s="15" t="s">
        <v>905</v>
      </c>
      <c r="B213" s="17" t="s">
        <v>139</v>
      </c>
      <c r="C213" s="15" t="n">
        <v>1</v>
      </c>
      <c r="D213" s="17" t="s">
        <v>658</v>
      </c>
    </row>
    <row r="214" customFormat="false" ht="15" hidden="false" customHeight="false" outlineLevel="0" collapsed="false">
      <c r="A214" s="15" t="s">
        <v>906</v>
      </c>
      <c r="B214" s="17" t="s">
        <v>833</v>
      </c>
      <c r="C214" s="15" t="n">
        <v>2</v>
      </c>
      <c r="D214" s="17" t="s">
        <v>700</v>
      </c>
    </row>
    <row r="215" customFormat="false" ht="15" hidden="false" customHeight="false" outlineLevel="0" collapsed="false">
      <c r="A215" s="15" t="s">
        <v>907</v>
      </c>
      <c r="B215" s="17" t="s">
        <v>139</v>
      </c>
      <c r="C215" s="15" t="n">
        <v>1</v>
      </c>
      <c r="D215" s="17" t="s">
        <v>669</v>
      </c>
    </row>
    <row r="216" customFormat="false" ht="28.35" hidden="false" customHeight="false" outlineLevel="0" collapsed="false">
      <c r="A216" s="15" t="s">
        <v>908</v>
      </c>
      <c r="B216" s="17" t="s">
        <v>347</v>
      </c>
      <c r="C216" s="15" t="n">
        <v>4</v>
      </c>
      <c r="D216" s="17" t="s">
        <v>695</v>
      </c>
    </row>
    <row r="217" customFormat="false" ht="28.35" hidden="false" customHeight="false" outlineLevel="0" collapsed="false">
      <c r="A217" s="15" t="s">
        <v>909</v>
      </c>
      <c r="B217" s="17" t="s">
        <v>910</v>
      </c>
      <c r="C217" s="15" t="n">
        <v>4</v>
      </c>
      <c r="D217" s="17" t="s">
        <v>662</v>
      </c>
    </row>
    <row r="218" customFormat="false" ht="15" hidden="false" customHeight="false" outlineLevel="0" collapsed="false">
      <c r="A218" s="15" t="s">
        <v>911</v>
      </c>
      <c r="B218" s="17" t="s">
        <v>422</v>
      </c>
      <c r="C218" s="15" t="n">
        <v>2</v>
      </c>
      <c r="D218" s="17" t="s">
        <v>695</v>
      </c>
    </row>
    <row r="219" customFormat="false" ht="28.35" hidden="false" customHeight="false" outlineLevel="0" collapsed="false">
      <c r="A219" s="15" t="s">
        <v>912</v>
      </c>
      <c r="B219" s="17" t="s">
        <v>137</v>
      </c>
      <c r="C219" s="15" t="n">
        <v>1</v>
      </c>
      <c r="D219" s="17" t="s">
        <v>724</v>
      </c>
    </row>
    <row r="220" customFormat="false" ht="15" hidden="false" customHeight="false" outlineLevel="0" collapsed="false">
      <c r="A220" s="15" t="s">
        <v>913</v>
      </c>
      <c r="B220" s="17" t="s">
        <v>139</v>
      </c>
      <c r="C220" s="15" t="n">
        <v>1</v>
      </c>
      <c r="D220" s="17" t="s">
        <v>662</v>
      </c>
    </row>
    <row r="221" customFormat="false" ht="15" hidden="false" customHeight="false" outlineLevel="0" collapsed="false">
      <c r="A221" s="15" t="s">
        <v>914</v>
      </c>
      <c r="B221" s="17" t="s">
        <v>238</v>
      </c>
      <c r="C221" s="15" t="n">
        <v>2</v>
      </c>
      <c r="D221" s="17" t="s">
        <v>704</v>
      </c>
    </row>
    <row r="222" customFormat="false" ht="15" hidden="false" customHeight="false" outlineLevel="0" collapsed="false">
      <c r="A222" s="15" t="s">
        <v>915</v>
      </c>
      <c r="B222" s="17" t="s">
        <v>137</v>
      </c>
      <c r="C222" s="15" t="n">
        <v>1</v>
      </c>
      <c r="D222" s="17" t="s">
        <v>695</v>
      </c>
    </row>
    <row r="223" customFormat="false" ht="15" hidden="false" customHeight="false" outlineLevel="0" collapsed="false">
      <c r="A223" s="15" t="s">
        <v>916</v>
      </c>
      <c r="B223" s="17" t="s">
        <v>141</v>
      </c>
      <c r="C223" s="15" t="n">
        <v>1</v>
      </c>
      <c r="D223" s="17" t="s">
        <v>695</v>
      </c>
    </row>
    <row r="224" customFormat="false" ht="28.35" hidden="false" customHeight="false" outlineLevel="0" collapsed="false">
      <c r="A224" s="15" t="s">
        <v>917</v>
      </c>
      <c r="B224" s="17" t="s">
        <v>190</v>
      </c>
      <c r="C224" s="15" t="n">
        <v>3</v>
      </c>
      <c r="D224" s="17" t="s">
        <v>700</v>
      </c>
    </row>
    <row r="225" customFormat="false" ht="15" hidden="false" customHeight="false" outlineLevel="0" collapsed="false">
      <c r="A225" s="15" t="s">
        <v>918</v>
      </c>
      <c r="B225" s="17" t="s">
        <v>141</v>
      </c>
      <c r="C225" s="15" t="n">
        <v>1</v>
      </c>
      <c r="D225" s="17" t="s">
        <v>693</v>
      </c>
    </row>
    <row r="226" customFormat="false" ht="15" hidden="false" customHeight="false" outlineLevel="0" collapsed="false">
      <c r="A226" s="15" t="s">
        <v>919</v>
      </c>
      <c r="B226" s="17" t="s">
        <v>137</v>
      </c>
      <c r="C226" s="15" t="n">
        <v>1</v>
      </c>
      <c r="D226" s="17" t="s">
        <v>655</v>
      </c>
    </row>
    <row r="227" customFormat="false" ht="15" hidden="false" customHeight="false" outlineLevel="0" collapsed="false">
      <c r="A227" s="15" t="s">
        <v>920</v>
      </c>
      <c r="B227" s="17" t="s">
        <v>142</v>
      </c>
      <c r="C227" s="15" t="n">
        <v>1</v>
      </c>
      <c r="D227" s="17" t="s">
        <v>732</v>
      </c>
    </row>
    <row r="228" customFormat="false" ht="15" hidden="false" customHeight="false" outlineLevel="0" collapsed="false">
      <c r="A228" s="15" t="s">
        <v>921</v>
      </c>
      <c r="B228" s="17" t="s">
        <v>141</v>
      </c>
      <c r="C228" s="15" t="n">
        <v>1</v>
      </c>
      <c r="D228" s="17" t="s">
        <v>700</v>
      </c>
    </row>
    <row r="229" customFormat="false" ht="15" hidden="false" customHeight="false" outlineLevel="0" collapsed="false">
      <c r="A229" s="15" t="s">
        <v>922</v>
      </c>
      <c r="B229" s="17" t="s">
        <v>137</v>
      </c>
      <c r="C229" s="15" t="n">
        <v>1</v>
      </c>
      <c r="D229" s="17" t="s">
        <v>695</v>
      </c>
    </row>
    <row r="230" customFormat="false" ht="15" hidden="false" customHeight="false" outlineLevel="0" collapsed="false">
      <c r="A230" s="15" t="s">
        <v>923</v>
      </c>
      <c r="B230" s="17" t="s">
        <v>141</v>
      </c>
      <c r="C230" s="15" t="n">
        <v>1</v>
      </c>
      <c r="D230" s="17" t="s">
        <v>658</v>
      </c>
    </row>
    <row r="231" customFormat="false" ht="15" hidden="false" customHeight="false" outlineLevel="0" collapsed="false">
      <c r="A231" s="15" t="s">
        <v>924</v>
      </c>
      <c r="B231" s="17" t="s">
        <v>141</v>
      </c>
      <c r="C231" s="15" t="n">
        <v>1</v>
      </c>
      <c r="D231" s="17" t="s">
        <v>704</v>
      </c>
    </row>
    <row r="232" customFormat="false" ht="28.35" hidden="false" customHeight="false" outlineLevel="0" collapsed="false">
      <c r="A232" s="15" t="s">
        <v>925</v>
      </c>
      <c r="B232" s="17" t="s">
        <v>190</v>
      </c>
      <c r="C232" s="15" t="n">
        <v>3</v>
      </c>
      <c r="D232" s="17" t="s">
        <v>732</v>
      </c>
    </row>
    <row r="233" customFormat="false" ht="28.35" hidden="false" customHeight="false" outlineLevel="0" collapsed="false">
      <c r="A233" s="15" t="s">
        <v>926</v>
      </c>
      <c r="B233" s="17" t="s">
        <v>190</v>
      </c>
      <c r="C233" s="15" t="n">
        <v>3</v>
      </c>
      <c r="D233" s="17" t="s">
        <v>662</v>
      </c>
    </row>
    <row r="234" customFormat="false" ht="15" hidden="false" customHeight="false" outlineLevel="0" collapsed="false">
      <c r="A234" s="15" t="s">
        <v>927</v>
      </c>
      <c r="B234" s="17" t="s">
        <v>137</v>
      </c>
      <c r="C234" s="15" t="n">
        <v>1</v>
      </c>
      <c r="D234" s="17" t="s">
        <v>658</v>
      </c>
    </row>
    <row r="235" customFormat="false" ht="15" hidden="false" customHeight="false" outlineLevel="0" collapsed="false">
      <c r="A235" s="15" t="s">
        <v>928</v>
      </c>
      <c r="B235" s="17" t="s">
        <v>833</v>
      </c>
      <c r="C235" s="15" t="n">
        <v>2</v>
      </c>
      <c r="D235" s="17" t="s">
        <v>765</v>
      </c>
    </row>
    <row r="236" customFormat="false" ht="15" hidden="false" customHeight="false" outlineLevel="0" collapsed="false">
      <c r="A236" s="15" t="s">
        <v>929</v>
      </c>
      <c r="B236" s="17" t="s">
        <v>295</v>
      </c>
      <c r="C236" s="15" t="n">
        <v>2</v>
      </c>
      <c r="D236" s="17" t="s">
        <v>664</v>
      </c>
    </row>
    <row r="237" customFormat="false" ht="28.35" hidden="false" customHeight="false" outlineLevel="0" collapsed="false">
      <c r="A237" s="15" t="s">
        <v>930</v>
      </c>
      <c r="B237" s="17" t="s">
        <v>825</v>
      </c>
      <c r="C237" s="15" t="n">
        <v>4</v>
      </c>
      <c r="D237" s="17" t="s">
        <v>931</v>
      </c>
    </row>
    <row r="238" customFormat="false" ht="28.35" hidden="false" customHeight="false" outlineLevel="0" collapsed="false">
      <c r="A238" s="15" t="s">
        <v>932</v>
      </c>
      <c r="B238" s="17" t="s">
        <v>190</v>
      </c>
      <c r="C238" s="15" t="n">
        <v>3</v>
      </c>
      <c r="D238" s="17" t="s">
        <v>695</v>
      </c>
    </row>
    <row r="239" customFormat="false" ht="15" hidden="false" customHeight="false" outlineLevel="0" collapsed="false">
      <c r="A239" s="15" t="s">
        <v>933</v>
      </c>
      <c r="B239" s="17" t="s">
        <v>141</v>
      </c>
      <c r="C239" s="15" t="n">
        <v>1</v>
      </c>
      <c r="D239" s="17" t="s">
        <v>658</v>
      </c>
    </row>
    <row r="240" customFormat="false" ht="15" hidden="false" customHeight="false" outlineLevel="0" collapsed="false">
      <c r="A240" s="15" t="s">
        <v>934</v>
      </c>
      <c r="B240" s="17" t="s">
        <v>238</v>
      </c>
      <c r="C240" s="15" t="n">
        <v>2</v>
      </c>
      <c r="D240" s="17" t="s">
        <v>669</v>
      </c>
    </row>
    <row r="241" customFormat="false" ht="15" hidden="false" customHeight="false" outlineLevel="0" collapsed="false">
      <c r="A241" s="15" t="s">
        <v>935</v>
      </c>
      <c r="B241" s="17" t="s">
        <v>143</v>
      </c>
      <c r="C241" s="15" t="n">
        <v>1</v>
      </c>
      <c r="D241" s="17" t="s">
        <v>732</v>
      </c>
    </row>
    <row r="242" customFormat="false" ht="15" hidden="false" customHeight="false" outlineLevel="0" collapsed="false">
      <c r="A242" s="15" t="s">
        <v>936</v>
      </c>
      <c r="B242" s="17" t="s">
        <v>295</v>
      </c>
      <c r="C242" s="15" t="n">
        <v>2</v>
      </c>
      <c r="D242" s="17" t="s">
        <v>737</v>
      </c>
    </row>
    <row r="243" customFormat="false" ht="28.35" hidden="false" customHeight="false" outlineLevel="0" collapsed="false">
      <c r="A243" s="15" t="s">
        <v>937</v>
      </c>
      <c r="B243" s="17" t="s">
        <v>444</v>
      </c>
      <c r="C243" s="15" t="n">
        <v>3</v>
      </c>
      <c r="D243" s="17" t="s">
        <v>695</v>
      </c>
    </row>
    <row r="244" customFormat="false" ht="15" hidden="false" customHeight="false" outlineLevel="0" collapsed="false">
      <c r="A244" s="15" t="s">
        <v>938</v>
      </c>
      <c r="B244" s="17" t="s">
        <v>317</v>
      </c>
      <c r="C244" s="15" t="n">
        <v>2</v>
      </c>
      <c r="D244" s="17" t="s">
        <v>658</v>
      </c>
    </row>
    <row r="245" customFormat="false" ht="15" hidden="false" customHeight="false" outlineLevel="0" collapsed="false">
      <c r="A245" s="15" t="s">
        <v>939</v>
      </c>
      <c r="B245" s="17" t="s">
        <v>141</v>
      </c>
      <c r="C245" s="15" t="n">
        <v>1</v>
      </c>
      <c r="D245" s="17" t="s">
        <v>700</v>
      </c>
    </row>
    <row r="246" customFormat="false" ht="15" hidden="false" customHeight="false" outlineLevel="0" collapsed="false">
      <c r="A246" s="15" t="s">
        <v>940</v>
      </c>
      <c r="B246" s="17" t="s">
        <v>140</v>
      </c>
      <c r="C246" s="15" t="n">
        <v>1</v>
      </c>
      <c r="D246" s="17" t="s">
        <v>689</v>
      </c>
    </row>
    <row r="247" customFormat="false" ht="15" hidden="false" customHeight="false" outlineLevel="0" collapsed="false">
      <c r="A247" s="15" t="s">
        <v>941</v>
      </c>
      <c r="B247" s="17" t="s">
        <v>137</v>
      </c>
      <c r="C247" s="15" t="n">
        <v>1</v>
      </c>
      <c r="D247" s="17" t="s">
        <v>695</v>
      </c>
    </row>
    <row r="248" customFormat="false" ht="15" hidden="false" customHeight="false" outlineLevel="0" collapsed="false">
      <c r="A248" s="15" t="s">
        <v>942</v>
      </c>
      <c r="B248" s="17" t="s">
        <v>137</v>
      </c>
      <c r="C248" s="15" t="n">
        <v>1</v>
      </c>
      <c r="D248" s="17" t="s">
        <v>695</v>
      </c>
    </row>
    <row r="249" customFormat="false" ht="15" hidden="false" customHeight="false" outlineLevel="0" collapsed="false">
      <c r="A249" s="15" t="s">
        <v>943</v>
      </c>
      <c r="B249" s="17" t="s">
        <v>140</v>
      </c>
      <c r="C249" s="15" t="n">
        <v>1</v>
      </c>
      <c r="D249" s="17" t="s">
        <v>695</v>
      </c>
    </row>
  </sheetData>
  <mergeCells count="1">
    <mergeCell ref="A1:D1"/>
  </mergeCells>
  <hyperlinks>
    <hyperlink ref="A2" r:id="rId1" location="'Start%20here'!A1" display="← Back to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8F99"/>
    <pageSetUpPr fitToPage="false"/>
  </sheetPr>
  <dimension ref="A1:J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3" min="3" style="0" width="12"/>
    <col collapsed="false" customWidth="true" hidden="false" outlineLevel="0" max="4" min="4" style="0" width="22"/>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50"/>
    <col collapsed="false" customWidth="true" hidden="false" outlineLevel="0" max="9" min="9" style="0" width="30"/>
    <col collapsed="false" customWidth="true" hidden="false" outlineLevel="0" max="10" min="10" style="0" width="40"/>
  </cols>
  <sheetData>
    <row r="1" customFormat="false" ht="42" hidden="false" customHeight="true" outlineLevel="0" collapsed="false">
      <c r="A1" s="12" t="s">
        <v>944</v>
      </c>
      <c r="B1" s="12"/>
      <c r="C1" s="12"/>
      <c r="D1" s="12"/>
      <c r="E1" s="12"/>
      <c r="F1" s="12"/>
      <c r="G1" s="12"/>
      <c r="H1" s="12"/>
    </row>
    <row r="2" customFormat="false" ht="15" hidden="false" customHeight="false" outlineLevel="0" collapsed="false">
      <c r="A2" s="13" t="s">
        <v>129</v>
      </c>
    </row>
    <row r="4" customFormat="false" ht="33.75" hidden="false" customHeight="true" outlineLevel="0" collapsed="false">
      <c r="A4" s="14" t="s">
        <v>130</v>
      </c>
      <c r="B4" s="14" t="s">
        <v>110</v>
      </c>
      <c r="C4" s="14" t="s">
        <v>159</v>
      </c>
      <c r="D4" s="14" t="s">
        <v>158</v>
      </c>
      <c r="E4" s="14" t="s">
        <v>153</v>
      </c>
      <c r="F4" s="14" t="s">
        <v>155</v>
      </c>
      <c r="G4" s="14" t="s">
        <v>945</v>
      </c>
      <c r="H4" s="14" t="s">
        <v>160</v>
      </c>
      <c r="I4" s="14" t="s">
        <v>946</v>
      </c>
      <c r="J4" s="14" t="s">
        <v>161</v>
      </c>
    </row>
    <row r="5" customFormat="false" ht="15" hidden="false" customHeight="false" outlineLevel="0" collapsed="false">
      <c r="A5" s="15" t="s">
        <v>137</v>
      </c>
      <c r="B5" s="15" t="s">
        <v>181</v>
      </c>
      <c r="C5" s="15" t="s">
        <v>120</v>
      </c>
      <c r="D5" s="15" t="s">
        <v>166</v>
      </c>
      <c r="E5" s="17" t="s">
        <v>165</v>
      </c>
      <c r="F5" s="15" t="n">
        <v>2008</v>
      </c>
      <c r="G5" s="15" t="n">
        <v>500</v>
      </c>
      <c r="H5" s="17"/>
      <c r="I5" s="15" t="s">
        <v>947</v>
      </c>
      <c r="J5" s="15" t="s">
        <v>183</v>
      </c>
    </row>
    <row r="6" customFormat="false" ht="15" hidden="false" customHeight="false" outlineLevel="0" collapsed="false">
      <c r="A6" s="15" t="s">
        <v>137</v>
      </c>
      <c r="B6" s="15" t="s">
        <v>189</v>
      </c>
      <c r="C6" s="15" t="s">
        <v>120</v>
      </c>
      <c r="D6" s="15" t="s">
        <v>166</v>
      </c>
      <c r="E6" s="17" t="s">
        <v>165</v>
      </c>
      <c r="F6" s="15" t="n">
        <v>2010</v>
      </c>
      <c r="G6" s="15" t="n">
        <v>8000</v>
      </c>
      <c r="H6" s="17"/>
      <c r="I6" s="15" t="s">
        <v>948</v>
      </c>
      <c r="J6" s="15" t="s">
        <v>191</v>
      </c>
    </row>
    <row r="7" customFormat="false" ht="41.75" hidden="false" customHeight="false" outlineLevel="0" collapsed="false">
      <c r="A7" s="15" t="s">
        <v>137</v>
      </c>
      <c r="B7" s="15" t="s">
        <v>193</v>
      </c>
      <c r="C7" s="15" t="s">
        <v>122</v>
      </c>
      <c r="D7" s="15" t="s">
        <v>195</v>
      </c>
      <c r="E7" s="17" t="s">
        <v>165</v>
      </c>
      <c r="F7" s="15" t="n">
        <v>2008</v>
      </c>
      <c r="G7" s="15" t="n">
        <v>500</v>
      </c>
      <c r="H7" s="17" t="s">
        <v>196</v>
      </c>
      <c r="I7" s="15" t="s">
        <v>949</v>
      </c>
      <c r="J7" s="15" t="s">
        <v>197</v>
      </c>
    </row>
    <row r="8" customFormat="false" ht="41.75" hidden="false" customHeight="false" outlineLevel="0" collapsed="false">
      <c r="A8" s="15" t="s">
        <v>137</v>
      </c>
      <c r="B8" s="15" t="s">
        <v>216</v>
      </c>
      <c r="C8" s="15" t="s">
        <v>120</v>
      </c>
      <c r="D8" s="15" t="s">
        <v>166</v>
      </c>
      <c r="E8" s="17" t="s">
        <v>217</v>
      </c>
      <c r="F8" s="15" t="n">
        <v>2026</v>
      </c>
      <c r="G8" s="15" t="n">
        <v>37000</v>
      </c>
      <c r="H8" s="17"/>
      <c r="I8" s="15" t="s">
        <v>950</v>
      </c>
      <c r="J8" s="15" t="s">
        <v>218</v>
      </c>
    </row>
    <row r="9" customFormat="false" ht="28.35" hidden="false" customHeight="false" outlineLevel="0" collapsed="false">
      <c r="A9" s="15" t="s">
        <v>137</v>
      </c>
      <c r="B9" s="15" t="s">
        <v>237</v>
      </c>
      <c r="C9" s="15" t="s">
        <v>122</v>
      </c>
      <c r="D9" s="15" t="s">
        <v>195</v>
      </c>
      <c r="E9" s="17" t="s">
        <v>208</v>
      </c>
      <c r="F9" s="15" t="n">
        <v>2010</v>
      </c>
      <c r="G9" s="15" t="n">
        <v>1000</v>
      </c>
      <c r="H9" s="17" t="s">
        <v>239</v>
      </c>
      <c r="I9" s="15" t="s">
        <v>951</v>
      </c>
      <c r="J9" s="15" t="s">
        <v>240</v>
      </c>
    </row>
    <row r="10" customFormat="false" ht="68.65" hidden="false" customHeight="false" outlineLevel="0" collapsed="false">
      <c r="A10" s="15" t="s">
        <v>137</v>
      </c>
      <c r="B10" s="15" t="s">
        <v>242</v>
      </c>
      <c r="C10" s="15" t="s">
        <v>120</v>
      </c>
      <c r="D10" s="15" t="s">
        <v>166</v>
      </c>
      <c r="E10" s="17" t="s">
        <v>243</v>
      </c>
      <c r="F10" s="15" t="n">
        <v>2026</v>
      </c>
      <c r="G10" s="15" t="n">
        <v>16000</v>
      </c>
      <c r="H10" s="17"/>
      <c r="I10" s="15" t="s">
        <v>245</v>
      </c>
      <c r="J10" s="15" t="s">
        <v>244</v>
      </c>
    </row>
    <row r="11" customFormat="false" ht="15" hidden="false" customHeight="false" outlineLevel="0" collapsed="false">
      <c r="A11" s="15" t="s">
        <v>137</v>
      </c>
      <c r="B11" s="15" t="s">
        <v>246</v>
      </c>
      <c r="C11" s="15" t="s">
        <v>120</v>
      </c>
      <c r="D11" s="15" t="s">
        <v>201</v>
      </c>
      <c r="E11" s="17" t="s">
        <v>247</v>
      </c>
      <c r="F11" s="15" t="n">
        <v>2018</v>
      </c>
      <c r="G11" s="15" t="n">
        <v>27000</v>
      </c>
      <c r="H11" s="17"/>
      <c r="I11" s="15" t="s">
        <v>249</v>
      </c>
      <c r="J11" s="15" t="s">
        <v>248</v>
      </c>
    </row>
    <row r="12" customFormat="false" ht="15" hidden="false" customHeight="false" outlineLevel="0" collapsed="false">
      <c r="A12" s="15" t="s">
        <v>137</v>
      </c>
      <c r="B12" s="15" t="s">
        <v>250</v>
      </c>
      <c r="C12" s="15" t="s">
        <v>120</v>
      </c>
      <c r="D12" s="15" t="s">
        <v>166</v>
      </c>
      <c r="E12" s="17" t="s">
        <v>279</v>
      </c>
      <c r="F12" s="15" t="n">
        <v>2018</v>
      </c>
      <c r="G12" s="15" t="n">
        <v>2000</v>
      </c>
      <c r="H12" s="17"/>
      <c r="I12" s="15" t="s">
        <v>952</v>
      </c>
      <c r="J12" s="15" t="s">
        <v>953</v>
      </c>
    </row>
    <row r="13" customFormat="false" ht="41.75" hidden="false" customHeight="false" outlineLevel="0" collapsed="false">
      <c r="A13" s="15" t="s">
        <v>137</v>
      </c>
      <c r="B13" s="15" t="s">
        <v>254</v>
      </c>
      <c r="C13" s="15" t="s">
        <v>122</v>
      </c>
      <c r="D13" s="15" t="s">
        <v>195</v>
      </c>
      <c r="E13" s="17" t="s">
        <v>208</v>
      </c>
      <c r="F13" s="15" t="n">
        <v>2010</v>
      </c>
      <c r="G13" s="15" t="n">
        <v>1000</v>
      </c>
      <c r="H13" s="17" t="s">
        <v>256</v>
      </c>
      <c r="I13" s="15" t="s">
        <v>954</v>
      </c>
      <c r="J13" s="15" t="s">
        <v>257</v>
      </c>
    </row>
    <row r="14" customFormat="false" ht="28.35" hidden="false" customHeight="false" outlineLevel="0" collapsed="false">
      <c r="A14" s="15" t="s">
        <v>137</v>
      </c>
      <c r="B14" s="15" t="s">
        <v>259</v>
      </c>
      <c r="C14" s="15" t="s">
        <v>122</v>
      </c>
      <c r="D14" s="15" t="s">
        <v>195</v>
      </c>
      <c r="E14" s="17" t="s">
        <v>260</v>
      </c>
      <c r="F14" s="15" t="n">
        <v>2010</v>
      </c>
      <c r="G14" s="15" t="n">
        <v>250</v>
      </c>
      <c r="H14" s="17" t="s">
        <v>955</v>
      </c>
      <c r="I14" s="15" t="s">
        <v>956</v>
      </c>
      <c r="J14" s="15" t="s">
        <v>261</v>
      </c>
    </row>
    <row r="15" customFormat="false" ht="55.2" hidden="false" customHeight="false" outlineLevel="0" collapsed="false">
      <c r="A15" s="15" t="s">
        <v>137</v>
      </c>
      <c r="B15" s="15" t="s">
        <v>263</v>
      </c>
      <c r="C15" s="15" t="s">
        <v>120</v>
      </c>
      <c r="D15" s="15" t="s">
        <v>166</v>
      </c>
      <c r="E15" s="17" t="s">
        <v>264</v>
      </c>
      <c r="F15" s="15" t="n">
        <v>2026</v>
      </c>
      <c r="G15" s="15" t="n">
        <v>5000</v>
      </c>
      <c r="H15" s="17"/>
      <c r="I15" s="15" t="s">
        <v>957</v>
      </c>
      <c r="J15" s="15" t="s">
        <v>265</v>
      </c>
    </row>
    <row r="16" customFormat="false" ht="15" hidden="false" customHeight="false" outlineLevel="0" collapsed="false">
      <c r="A16" s="15" t="s">
        <v>137</v>
      </c>
      <c r="B16" s="15" t="s">
        <v>267</v>
      </c>
      <c r="C16" s="15" t="s">
        <v>120</v>
      </c>
      <c r="D16" s="15" t="s">
        <v>508</v>
      </c>
      <c r="E16" s="17" t="s">
        <v>958</v>
      </c>
      <c r="F16" s="15" t="n">
        <v>2024</v>
      </c>
      <c r="G16" s="15" t="n">
        <v>21000</v>
      </c>
      <c r="H16" s="17"/>
      <c r="I16" s="15" t="s">
        <v>959</v>
      </c>
      <c r="J16" s="15" t="s">
        <v>960</v>
      </c>
    </row>
    <row r="17" customFormat="false" ht="28.35" hidden="false" customHeight="false" outlineLevel="0" collapsed="false">
      <c r="A17" s="15" t="s">
        <v>137</v>
      </c>
      <c r="B17" s="15" t="s">
        <v>272</v>
      </c>
      <c r="C17" s="15" t="s">
        <v>120</v>
      </c>
      <c r="D17" s="15" t="s">
        <v>166</v>
      </c>
      <c r="E17" s="17" t="s">
        <v>961</v>
      </c>
      <c r="F17" s="15" t="n">
        <v>2024</v>
      </c>
      <c r="G17" s="15" t="n">
        <v>3000</v>
      </c>
      <c r="H17" s="17"/>
      <c r="I17" s="15" t="s">
        <v>962</v>
      </c>
      <c r="J17" s="15" t="s">
        <v>963</v>
      </c>
    </row>
    <row r="18" customFormat="false" ht="55.2" hidden="false" customHeight="false" outlineLevel="0" collapsed="false">
      <c r="A18" s="15" t="s">
        <v>137</v>
      </c>
      <c r="B18" s="15" t="s">
        <v>286</v>
      </c>
      <c r="C18" s="15" t="s">
        <v>120</v>
      </c>
      <c r="D18" s="15" t="s">
        <v>166</v>
      </c>
      <c r="E18" s="17" t="s">
        <v>287</v>
      </c>
      <c r="F18" s="15" t="n">
        <v>2025</v>
      </c>
      <c r="G18" s="15" t="n">
        <v>3000</v>
      </c>
      <c r="H18" s="17"/>
      <c r="I18" s="15" t="s">
        <v>964</v>
      </c>
      <c r="J18" s="15" t="s">
        <v>965</v>
      </c>
    </row>
    <row r="19" customFormat="false" ht="28.35" hidden="false" customHeight="false" outlineLevel="0" collapsed="false">
      <c r="A19" s="15" t="s">
        <v>137</v>
      </c>
      <c r="B19" s="15" t="s">
        <v>311</v>
      </c>
      <c r="C19" s="15" t="s">
        <v>122</v>
      </c>
      <c r="D19" s="15" t="s">
        <v>195</v>
      </c>
      <c r="E19" s="17" t="s">
        <v>260</v>
      </c>
      <c r="F19" s="15" t="n">
        <v>2014</v>
      </c>
      <c r="G19" s="15" t="n">
        <v>250</v>
      </c>
      <c r="H19" s="17" t="s">
        <v>313</v>
      </c>
      <c r="I19" s="15" t="s">
        <v>966</v>
      </c>
      <c r="J19" s="15" t="s">
        <v>314</v>
      </c>
    </row>
    <row r="20" customFormat="false" ht="15" hidden="false" customHeight="false" outlineLevel="0" collapsed="false">
      <c r="A20" s="15" t="s">
        <v>137</v>
      </c>
      <c r="B20" s="15" t="s">
        <v>324</v>
      </c>
      <c r="C20" s="15" t="s">
        <v>122</v>
      </c>
      <c r="D20" s="15" t="s">
        <v>195</v>
      </c>
      <c r="E20" s="17" t="s">
        <v>260</v>
      </c>
      <c r="F20" s="15" t="n">
        <v>2014</v>
      </c>
      <c r="G20" s="15" t="n">
        <v>250</v>
      </c>
      <c r="H20" s="17" t="s">
        <v>967</v>
      </c>
      <c r="I20" s="15" t="s">
        <v>968</v>
      </c>
      <c r="J20" s="15" t="s">
        <v>326</v>
      </c>
    </row>
    <row r="21" customFormat="false" ht="28.35" hidden="false" customHeight="false" outlineLevel="0" collapsed="false">
      <c r="A21" s="15" t="s">
        <v>137</v>
      </c>
      <c r="B21" s="15" t="s">
        <v>346</v>
      </c>
      <c r="C21" s="15" t="s">
        <v>120</v>
      </c>
      <c r="D21" s="15" t="s">
        <v>166</v>
      </c>
      <c r="E21" s="17" t="s">
        <v>348</v>
      </c>
      <c r="F21" s="15" t="n">
        <v>2020</v>
      </c>
      <c r="G21" s="15" t="n">
        <v>2000</v>
      </c>
      <c r="H21" s="17"/>
      <c r="I21" s="15" t="s">
        <v>969</v>
      </c>
      <c r="J21" s="15" t="s">
        <v>349</v>
      </c>
    </row>
    <row r="22" customFormat="false" ht="15" hidden="false" customHeight="false" outlineLevel="0" collapsed="false">
      <c r="A22" s="15" t="s">
        <v>137</v>
      </c>
      <c r="B22" s="15" t="s">
        <v>358</v>
      </c>
      <c r="C22" s="15" t="s">
        <v>120</v>
      </c>
      <c r="D22" s="15" t="s">
        <v>166</v>
      </c>
      <c r="E22" s="17" t="s">
        <v>165</v>
      </c>
      <c r="F22" s="15" t="n">
        <v>2016</v>
      </c>
      <c r="G22" s="15" t="n">
        <v>1000</v>
      </c>
      <c r="H22" s="17"/>
      <c r="I22" s="15" t="s">
        <v>970</v>
      </c>
      <c r="J22" s="15" t="s">
        <v>971</v>
      </c>
    </row>
    <row r="23" customFormat="false" ht="28.35" hidden="false" customHeight="false" outlineLevel="0" collapsed="false">
      <c r="A23" s="15" t="s">
        <v>137</v>
      </c>
      <c r="B23" s="15" t="s">
        <v>382</v>
      </c>
      <c r="C23" s="15" t="s">
        <v>120</v>
      </c>
      <c r="D23" s="15" t="s">
        <v>166</v>
      </c>
      <c r="E23" s="17" t="s">
        <v>379</v>
      </c>
      <c r="F23" s="15" t="n">
        <v>2018</v>
      </c>
      <c r="G23" s="15" t="n">
        <v>3000</v>
      </c>
      <c r="H23" s="17"/>
      <c r="I23" s="15" t="s">
        <v>972</v>
      </c>
      <c r="J23" s="15" t="s">
        <v>383</v>
      </c>
    </row>
    <row r="24" customFormat="false" ht="15" hidden="false" customHeight="false" outlineLevel="0" collapsed="false">
      <c r="A24" s="15" t="s">
        <v>137</v>
      </c>
      <c r="B24" s="15" t="s">
        <v>399</v>
      </c>
      <c r="C24" s="15" t="s">
        <v>120</v>
      </c>
      <c r="D24" s="15" t="s">
        <v>166</v>
      </c>
      <c r="E24" s="17" t="s">
        <v>279</v>
      </c>
      <c r="F24" s="15" t="n">
        <v>2018</v>
      </c>
      <c r="G24" s="15" t="n">
        <v>500</v>
      </c>
      <c r="H24" s="17"/>
      <c r="I24" s="15" t="s">
        <v>401</v>
      </c>
      <c r="J24" s="15" t="s">
        <v>400</v>
      </c>
    </row>
    <row r="25" customFormat="false" ht="15" hidden="false" customHeight="false" outlineLevel="0" collapsed="false">
      <c r="A25" s="15" t="s">
        <v>137</v>
      </c>
      <c r="B25" s="15" t="s">
        <v>402</v>
      </c>
      <c r="C25" s="15" t="s">
        <v>120</v>
      </c>
      <c r="D25" s="15" t="s">
        <v>166</v>
      </c>
      <c r="E25" s="17" t="s">
        <v>279</v>
      </c>
      <c r="F25" s="15" t="n">
        <v>2017</v>
      </c>
      <c r="G25" s="15" t="n">
        <v>5000</v>
      </c>
      <c r="H25" s="17"/>
      <c r="I25" s="15" t="s">
        <v>404</v>
      </c>
      <c r="J25" s="15" t="s">
        <v>403</v>
      </c>
    </row>
    <row r="26" customFormat="false" ht="15" hidden="false" customHeight="false" outlineLevel="0" collapsed="false">
      <c r="A26" s="15" t="s">
        <v>137</v>
      </c>
      <c r="B26" s="15" t="s">
        <v>414</v>
      </c>
      <c r="C26" s="15" t="s">
        <v>120</v>
      </c>
      <c r="D26" s="15" t="s">
        <v>166</v>
      </c>
      <c r="E26" s="17" t="s">
        <v>279</v>
      </c>
      <c r="F26" s="15" t="n">
        <v>2018</v>
      </c>
      <c r="G26" s="15" t="n">
        <v>500</v>
      </c>
      <c r="H26" s="17"/>
      <c r="I26" s="15" t="s">
        <v>416</v>
      </c>
      <c r="J26" s="15" t="s">
        <v>415</v>
      </c>
    </row>
    <row r="27" customFormat="false" ht="15" hidden="false" customHeight="false" outlineLevel="0" collapsed="false">
      <c r="A27" s="15" t="s">
        <v>137</v>
      </c>
      <c r="B27" s="15" t="s">
        <v>421</v>
      </c>
      <c r="C27" s="15" t="s">
        <v>120</v>
      </c>
      <c r="D27" s="15" t="s">
        <v>166</v>
      </c>
      <c r="E27" s="17" t="s">
        <v>279</v>
      </c>
      <c r="F27" s="15" t="n">
        <v>2018</v>
      </c>
      <c r="G27" s="15" t="n">
        <v>500</v>
      </c>
      <c r="H27" s="17"/>
      <c r="I27" s="15" t="s">
        <v>973</v>
      </c>
      <c r="J27" s="15" t="s">
        <v>423</v>
      </c>
    </row>
    <row r="28" customFormat="false" ht="15" hidden="false" customHeight="false" outlineLevel="0" collapsed="false">
      <c r="A28" s="15" t="s">
        <v>137</v>
      </c>
      <c r="B28" s="15" t="s">
        <v>447</v>
      </c>
      <c r="C28" s="15" t="s">
        <v>122</v>
      </c>
      <c r="D28" s="15" t="s">
        <v>195</v>
      </c>
      <c r="E28" s="17" t="s">
        <v>279</v>
      </c>
      <c r="F28" s="15" t="n">
        <v>2018</v>
      </c>
      <c r="G28" s="15" t="n">
        <v>3000</v>
      </c>
      <c r="H28" s="17" t="s">
        <v>974</v>
      </c>
      <c r="I28" s="15" t="s">
        <v>975</v>
      </c>
      <c r="J28" s="15" t="s">
        <v>448</v>
      </c>
    </row>
    <row r="29" customFormat="false" ht="15" hidden="false" customHeight="false" outlineLevel="0" collapsed="false">
      <c r="A29" s="15" t="s">
        <v>137</v>
      </c>
      <c r="B29" s="15" t="s">
        <v>456</v>
      </c>
      <c r="C29" s="15" t="s">
        <v>120</v>
      </c>
      <c r="D29" s="15" t="s">
        <v>166</v>
      </c>
      <c r="E29" s="17" t="s">
        <v>279</v>
      </c>
      <c r="F29" s="15" t="n">
        <v>2018</v>
      </c>
      <c r="G29" s="15" t="n">
        <v>250</v>
      </c>
      <c r="H29" s="17"/>
      <c r="I29" s="15" t="s">
        <v>976</v>
      </c>
      <c r="J29" s="15" t="s">
        <v>457</v>
      </c>
    </row>
    <row r="30" customFormat="false" ht="41.75" hidden="false" customHeight="false" outlineLevel="0" collapsed="false">
      <c r="A30" s="15" t="s">
        <v>137</v>
      </c>
      <c r="B30" s="15" t="s">
        <v>478</v>
      </c>
      <c r="C30" s="15" t="s">
        <v>122</v>
      </c>
      <c r="D30" s="15" t="s">
        <v>195</v>
      </c>
      <c r="E30" s="17" t="s">
        <v>279</v>
      </c>
      <c r="F30" s="15" t="n">
        <v>2018</v>
      </c>
      <c r="G30" s="15" t="n">
        <v>1000</v>
      </c>
      <c r="H30" s="17" t="s">
        <v>479</v>
      </c>
      <c r="I30" s="15" t="s">
        <v>977</v>
      </c>
      <c r="J30" s="15" t="s">
        <v>480</v>
      </c>
    </row>
    <row r="31" customFormat="false" ht="15" hidden="false" customHeight="false" outlineLevel="0" collapsed="false">
      <c r="A31" s="15" t="s">
        <v>137</v>
      </c>
      <c r="B31" s="15" t="s">
        <v>495</v>
      </c>
      <c r="C31" s="15" t="s">
        <v>120</v>
      </c>
      <c r="D31" s="15" t="s">
        <v>166</v>
      </c>
      <c r="E31" s="17" t="s">
        <v>279</v>
      </c>
      <c r="F31" s="15" t="n">
        <v>2018</v>
      </c>
      <c r="G31" s="15" t="n">
        <v>3000</v>
      </c>
      <c r="H31" s="17"/>
      <c r="I31" s="15" t="s">
        <v>978</v>
      </c>
      <c r="J31" s="15" t="s">
        <v>496</v>
      </c>
    </row>
    <row r="32" customFormat="false" ht="15" hidden="false" customHeight="false" outlineLevel="0" collapsed="false">
      <c r="A32" s="15" t="s">
        <v>137</v>
      </c>
      <c r="B32" s="15" t="s">
        <v>501</v>
      </c>
      <c r="C32" s="15" t="s">
        <v>120</v>
      </c>
      <c r="D32" s="15" t="s">
        <v>166</v>
      </c>
      <c r="E32" s="17" t="s">
        <v>279</v>
      </c>
      <c r="F32" s="15" t="n">
        <v>2018</v>
      </c>
      <c r="G32" s="15" t="n">
        <v>1000</v>
      </c>
      <c r="H32" s="17"/>
      <c r="I32" s="15" t="s">
        <v>979</v>
      </c>
      <c r="J32" s="15" t="s">
        <v>502</v>
      </c>
    </row>
    <row r="33" customFormat="false" ht="15" hidden="false" customHeight="false" outlineLevel="0" collapsed="false">
      <c r="A33" s="15" t="s">
        <v>137</v>
      </c>
      <c r="B33" s="15" t="s">
        <v>558</v>
      </c>
      <c r="C33" s="15" t="s">
        <v>120</v>
      </c>
      <c r="D33" s="15" t="s">
        <v>225</v>
      </c>
      <c r="E33" s="17" t="s">
        <v>475</v>
      </c>
      <c r="F33" s="15" t="n">
        <v>2026</v>
      </c>
      <c r="G33" s="15" t="n">
        <v>10000</v>
      </c>
      <c r="H33" s="17"/>
      <c r="I33" s="15" t="s">
        <v>560</v>
      </c>
      <c r="J33" s="15" t="s">
        <v>559</v>
      </c>
    </row>
    <row r="34" customFormat="false" ht="41.75" hidden="false" customHeight="false" outlineLevel="0" collapsed="false">
      <c r="A34" s="15" t="s">
        <v>137</v>
      </c>
      <c r="B34" s="15" t="s">
        <v>572</v>
      </c>
      <c r="C34" s="15" t="s">
        <v>120</v>
      </c>
      <c r="D34" s="15" t="s">
        <v>201</v>
      </c>
      <c r="E34" s="17" t="s">
        <v>573</v>
      </c>
      <c r="F34" s="15" t="n">
        <v>2026</v>
      </c>
      <c r="G34" s="15" t="n">
        <v>19000</v>
      </c>
      <c r="H34" s="17"/>
      <c r="I34" s="15" t="s">
        <v>980</v>
      </c>
      <c r="J34" s="15" t="s">
        <v>574</v>
      </c>
    </row>
    <row r="35" customFormat="false" ht="41.75" hidden="false" customHeight="false" outlineLevel="0" collapsed="false">
      <c r="A35" s="15" t="s">
        <v>137</v>
      </c>
      <c r="B35" s="15" t="s">
        <v>581</v>
      </c>
      <c r="C35" s="15" t="s">
        <v>120</v>
      </c>
      <c r="D35" s="15" t="s">
        <v>166</v>
      </c>
      <c r="E35" s="17" t="s">
        <v>582</v>
      </c>
      <c r="F35" s="15" t="n">
        <v>2026</v>
      </c>
      <c r="G35" s="15" t="n">
        <v>65000</v>
      </c>
      <c r="H35" s="17"/>
      <c r="I35" s="15" t="s">
        <v>981</v>
      </c>
      <c r="J35" s="15" t="s">
        <v>583</v>
      </c>
    </row>
    <row r="36" customFormat="false" ht="28.35" hidden="false" customHeight="false" outlineLevel="0" collapsed="false">
      <c r="A36" s="15" t="s">
        <v>137</v>
      </c>
      <c r="B36" s="15" t="s">
        <v>606</v>
      </c>
      <c r="C36" s="15" t="s">
        <v>122</v>
      </c>
      <c r="D36" s="15" t="s">
        <v>195</v>
      </c>
      <c r="E36" s="17" t="s">
        <v>593</v>
      </c>
      <c r="F36" s="15" t="n">
        <v>2026</v>
      </c>
      <c r="G36" s="15" t="n">
        <v>5000</v>
      </c>
      <c r="H36" s="17" t="s">
        <v>607</v>
      </c>
      <c r="I36" s="15" t="s">
        <v>609</v>
      </c>
      <c r="J36" s="15" t="s">
        <v>608</v>
      </c>
    </row>
    <row r="37" customFormat="false" ht="15" hidden="false" customHeight="false" outlineLevel="0" collapsed="false">
      <c r="A37" s="15" t="s">
        <v>137</v>
      </c>
      <c r="B37" s="15" t="s">
        <v>610</v>
      </c>
      <c r="C37" s="15" t="s">
        <v>120</v>
      </c>
      <c r="D37" s="15" t="s">
        <v>166</v>
      </c>
      <c r="E37" s="17" t="s">
        <v>612</v>
      </c>
      <c r="F37" s="15" t="n">
        <v>2026</v>
      </c>
      <c r="G37" s="15" t="n">
        <v>3000</v>
      </c>
      <c r="H37" s="17"/>
      <c r="I37" s="15" t="s">
        <v>982</v>
      </c>
      <c r="J37" s="15" t="s">
        <v>613</v>
      </c>
    </row>
    <row r="38" customFormat="false" ht="15" hidden="false" customHeight="false" outlineLevel="0" collapsed="false">
      <c r="A38" s="15" t="s">
        <v>137</v>
      </c>
      <c r="B38" s="15" t="s">
        <v>630</v>
      </c>
      <c r="C38" s="15" t="s">
        <v>120</v>
      </c>
      <c r="D38" s="15" t="s">
        <v>166</v>
      </c>
      <c r="E38" s="17" t="s">
        <v>475</v>
      </c>
      <c r="F38" s="15" t="n">
        <v>2026</v>
      </c>
      <c r="G38" s="15" t="n">
        <v>250</v>
      </c>
      <c r="H38" s="17"/>
      <c r="I38" s="15" t="s">
        <v>983</v>
      </c>
      <c r="J38" s="15" t="s">
        <v>631</v>
      </c>
    </row>
    <row r="39" customFormat="false" ht="15" hidden="false" customHeight="false" outlineLevel="0" collapsed="false">
      <c r="A39" s="15" t="s">
        <v>137</v>
      </c>
      <c r="B39" s="15" t="s">
        <v>646</v>
      </c>
      <c r="C39" s="15" t="s">
        <v>120</v>
      </c>
      <c r="D39" s="15" t="s">
        <v>166</v>
      </c>
      <c r="E39" s="17" t="s">
        <v>475</v>
      </c>
      <c r="F39" s="15" t="n">
        <v>2026</v>
      </c>
      <c r="G39" s="15" t="n">
        <v>250</v>
      </c>
      <c r="H39" s="17"/>
      <c r="I39" s="15" t="s">
        <v>648</v>
      </c>
      <c r="J39" s="15" t="s">
        <v>647</v>
      </c>
    </row>
    <row r="40" customFormat="false" ht="15" hidden="false" customHeight="false" outlineLevel="0" collapsed="false">
      <c r="A40" s="15" t="s">
        <v>139</v>
      </c>
      <c r="B40" s="15" t="s">
        <v>163</v>
      </c>
      <c r="C40" s="15" t="s">
        <v>120</v>
      </c>
      <c r="D40" s="15" t="s">
        <v>166</v>
      </c>
      <c r="E40" s="17" t="s">
        <v>165</v>
      </c>
      <c r="F40" s="15" t="n">
        <v>2009</v>
      </c>
      <c r="G40" s="15" t="n">
        <v>3000</v>
      </c>
      <c r="H40" s="17"/>
      <c r="I40" s="15" t="s">
        <v>168</v>
      </c>
      <c r="J40" s="15" t="s">
        <v>167</v>
      </c>
    </row>
    <row r="41" customFormat="false" ht="41.75" hidden="false" customHeight="false" outlineLevel="0" collapsed="false">
      <c r="A41" s="15" t="s">
        <v>139</v>
      </c>
      <c r="B41" s="15" t="s">
        <v>193</v>
      </c>
      <c r="C41" s="15" t="s">
        <v>122</v>
      </c>
      <c r="D41" s="15" t="s">
        <v>195</v>
      </c>
      <c r="E41" s="17" t="s">
        <v>165</v>
      </c>
      <c r="F41" s="15" t="n">
        <v>2008</v>
      </c>
      <c r="G41" s="15" t="n">
        <v>500</v>
      </c>
      <c r="H41" s="17" t="s">
        <v>196</v>
      </c>
      <c r="I41" s="15" t="s">
        <v>984</v>
      </c>
      <c r="J41" s="15" t="s">
        <v>197</v>
      </c>
    </row>
    <row r="42" customFormat="false" ht="28.35" hidden="false" customHeight="false" outlineLevel="0" collapsed="false">
      <c r="A42" s="15" t="s">
        <v>139</v>
      </c>
      <c r="B42" s="15" t="s">
        <v>216</v>
      </c>
      <c r="C42" s="15" t="s">
        <v>120</v>
      </c>
      <c r="D42" s="15" t="s">
        <v>225</v>
      </c>
      <c r="E42" s="17" t="s">
        <v>985</v>
      </c>
      <c r="F42" s="15" t="n">
        <v>2026</v>
      </c>
      <c r="G42" s="15" t="n">
        <v>31000</v>
      </c>
      <c r="H42" s="17"/>
      <c r="I42" s="15" t="s">
        <v>986</v>
      </c>
      <c r="J42" s="15" t="s">
        <v>987</v>
      </c>
    </row>
    <row r="43" customFormat="false" ht="41.75" hidden="false" customHeight="false" outlineLevel="0" collapsed="false">
      <c r="A43" s="15" t="s">
        <v>139</v>
      </c>
      <c r="B43" s="15" t="s">
        <v>232</v>
      </c>
      <c r="C43" s="15" t="s">
        <v>120</v>
      </c>
      <c r="D43" s="15" t="s">
        <v>201</v>
      </c>
      <c r="E43" s="17" t="s">
        <v>234</v>
      </c>
      <c r="F43" s="15" t="n">
        <v>2024</v>
      </c>
      <c r="G43" s="15" t="n">
        <v>66000</v>
      </c>
      <c r="H43" s="17"/>
      <c r="I43" s="15" t="s">
        <v>988</v>
      </c>
      <c r="J43" s="15" t="s">
        <v>235</v>
      </c>
    </row>
    <row r="44" customFormat="false" ht="41.75" hidden="false" customHeight="false" outlineLevel="0" collapsed="false">
      <c r="A44" s="15" t="s">
        <v>139</v>
      </c>
      <c r="B44" s="15" t="s">
        <v>254</v>
      </c>
      <c r="C44" s="15" t="s">
        <v>122</v>
      </c>
      <c r="D44" s="15" t="s">
        <v>195</v>
      </c>
      <c r="E44" s="17" t="s">
        <v>208</v>
      </c>
      <c r="F44" s="15" t="n">
        <v>2010</v>
      </c>
      <c r="G44" s="15" t="n">
        <v>1000</v>
      </c>
      <c r="H44" s="17" t="s">
        <v>256</v>
      </c>
      <c r="I44" s="15" t="s">
        <v>989</v>
      </c>
      <c r="J44" s="15" t="s">
        <v>257</v>
      </c>
    </row>
    <row r="45" customFormat="false" ht="28.35" hidden="false" customHeight="false" outlineLevel="0" collapsed="false">
      <c r="A45" s="15" t="s">
        <v>139</v>
      </c>
      <c r="B45" s="15" t="s">
        <v>259</v>
      </c>
      <c r="C45" s="15" t="s">
        <v>122</v>
      </c>
      <c r="D45" s="15" t="s">
        <v>195</v>
      </c>
      <c r="E45" s="17" t="s">
        <v>260</v>
      </c>
      <c r="F45" s="15" t="n">
        <v>2010</v>
      </c>
      <c r="G45" s="15" t="n">
        <v>250</v>
      </c>
      <c r="H45" s="17" t="s">
        <v>955</v>
      </c>
      <c r="I45" s="15" t="s">
        <v>990</v>
      </c>
      <c r="J45" s="15" t="s">
        <v>261</v>
      </c>
    </row>
    <row r="46" customFormat="false" ht="15" hidden="false" customHeight="false" outlineLevel="0" collapsed="false">
      <c r="A46" s="15" t="s">
        <v>139</v>
      </c>
      <c r="B46" s="15" t="s">
        <v>267</v>
      </c>
      <c r="C46" s="15" t="s">
        <v>120</v>
      </c>
      <c r="D46" s="15" t="s">
        <v>508</v>
      </c>
      <c r="E46" s="17" t="s">
        <v>958</v>
      </c>
      <c r="F46" s="15" t="n">
        <v>2024</v>
      </c>
      <c r="G46" s="15" t="n">
        <v>21000</v>
      </c>
      <c r="H46" s="17"/>
      <c r="I46" s="15" t="s">
        <v>991</v>
      </c>
      <c r="J46" s="15" t="s">
        <v>960</v>
      </c>
    </row>
    <row r="47" customFormat="false" ht="15" hidden="false" customHeight="false" outlineLevel="0" collapsed="false">
      <c r="A47" s="15" t="s">
        <v>139</v>
      </c>
      <c r="B47" s="15" t="s">
        <v>277</v>
      </c>
      <c r="C47" s="15" t="s">
        <v>120</v>
      </c>
      <c r="D47" s="15" t="s">
        <v>166</v>
      </c>
      <c r="E47" s="17" t="s">
        <v>279</v>
      </c>
      <c r="F47" s="15" t="n">
        <v>2018</v>
      </c>
      <c r="G47" s="15" t="n">
        <v>7000</v>
      </c>
      <c r="H47" s="17"/>
      <c r="I47" s="15" t="s">
        <v>992</v>
      </c>
      <c r="J47" s="15" t="s">
        <v>280</v>
      </c>
    </row>
    <row r="48" customFormat="false" ht="55.2" hidden="false" customHeight="false" outlineLevel="0" collapsed="false">
      <c r="A48" s="15" t="s">
        <v>139</v>
      </c>
      <c r="B48" s="15" t="s">
        <v>286</v>
      </c>
      <c r="C48" s="15" t="s">
        <v>120</v>
      </c>
      <c r="D48" s="15" t="s">
        <v>166</v>
      </c>
      <c r="E48" s="17" t="s">
        <v>287</v>
      </c>
      <c r="F48" s="15" t="n">
        <v>2025</v>
      </c>
      <c r="G48" s="15" t="n">
        <v>3000</v>
      </c>
      <c r="H48" s="17"/>
      <c r="I48" s="15" t="s">
        <v>993</v>
      </c>
      <c r="J48" s="15" t="s">
        <v>965</v>
      </c>
    </row>
    <row r="49" customFormat="false" ht="15" hidden="false" customHeight="false" outlineLevel="0" collapsed="false">
      <c r="A49" s="15" t="s">
        <v>139</v>
      </c>
      <c r="B49" s="15" t="s">
        <v>303</v>
      </c>
      <c r="C49" s="15" t="s">
        <v>120</v>
      </c>
      <c r="D49" s="15" t="s">
        <v>166</v>
      </c>
      <c r="E49" s="17" t="s">
        <v>305</v>
      </c>
      <c r="F49" s="15" t="n">
        <v>2026</v>
      </c>
      <c r="G49" s="15" t="n">
        <v>250</v>
      </c>
      <c r="H49" s="17"/>
      <c r="I49" s="15" t="s">
        <v>994</v>
      </c>
      <c r="J49" s="15" t="s">
        <v>306</v>
      </c>
    </row>
    <row r="50" customFormat="false" ht="28.35" hidden="false" customHeight="false" outlineLevel="0" collapsed="false">
      <c r="A50" s="15" t="s">
        <v>139</v>
      </c>
      <c r="B50" s="15" t="s">
        <v>311</v>
      </c>
      <c r="C50" s="15" t="s">
        <v>122</v>
      </c>
      <c r="D50" s="15" t="s">
        <v>195</v>
      </c>
      <c r="E50" s="17" t="s">
        <v>260</v>
      </c>
      <c r="F50" s="15" t="n">
        <v>2014</v>
      </c>
      <c r="G50" s="15" t="n">
        <v>250</v>
      </c>
      <c r="H50" s="17" t="s">
        <v>313</v>
      </c>
      <c r="I50" s="15" t="s">
        <v>995</v>
      </c>
      <c r="J50" s="15" t="s">
        <v>314</v>
      </c>
    </row>
    <row r="51" customFormat="false" ht="15" hidden="false" customHeight="false" outlineLevel="0" collapsed="false">
      <c r="A51" s="15" t="s">
        <v>139</v>
      </c>
      <c r="B51" s="15" t="s">
        <v>324</v>
      </c>
      <c r="C51" s="15" t="s">
        <v>120</v>
      </c>
      <c r="D51" s="15" t="s">
        <v>166</v>
      </c>
      <c r="E51" s="17" t="s">
        <v>260</v>
      </c>
      <c r="F51" s="15" t="n">
        <v>2014</v>
      </c>
      <c r="G51" s="15" t="n">
        <v>250</v>
      </c>
      <c r="H51" s="17"/>
      <c r="I51" s="15" t="s">
        <v>996</v>
      </c>
      <c r="J51" s="15" t="s">
        <v>326</v>
      </c>
    </row>
    <row r="52" customFormat="false" ht="15" hidden="false" customHeight="false" outlineLevel="0" collapsed="false">
      <c r="A52" s="15" t="s">
        <v>139</v>
      </c>
      <c r="B52" s="15" t="s">
        <v>328</v>
      </c>
      <c r="C52" s="15" t="s">
        <v>120</v>
      </c>
      <c r="D52" s="15" t="s">
        <v>166</v>
      </c>
      <c r="E52" s="17" t="s">
        <v>329</v>
      </c>
      <c r="F52" s="15" t="n">
        <v>2014</v>
      </c>
      <c r="G52" s="15" t="n">
        <v>250</v>
      </c>
      <c r="H52" s="17"/>
      <c r="I52" s="15" t="s">
        <v>331</v>
      </c>
      <c r="J52" s="15" t="s">
        <v>330</v>
      </c>
    </row>
    <row r="53" customFormat="false" ht="15" hidden="false" customHeight="false" outlineLevel="0" collapsed="false">
      <c r="A53" s="15" t="s">
        <v>139</v>
      </c>
      <c r="B53" s="15" t="s">
        <v>343</v>
      </c>
      <c r="C53" s="15" t="s">
        <v>120</v>
      </c>
      <c r="D53" s="15" t="s">
        <v>166</v>
      </c>
      <c r="E53" s="17" t="s">
        <v>279</v>
      </c>
      <c r="F53" s="15" t="n">
        <v>2017</v>
      </c>
      <c r="G53" s="15" t="n">
        <v>2000</v>
      </c>
      <c r="H53" s="17"/>
      <c r="I53" s="15" t="s">
        <v>345</v>
      </c>
      <c r="J53" s="15" t="s">
        <v>344</v>
      </c>
    </row>
    <row r="54" customFormat="false" ht="28.35" hidden="false" customHeight="false" outlineLevel="0" collapsed="false">
      <c r="A54" s="15" t="s">
        <v>139</v>
      </c>
      <c r="B54" s="15" t="s">
        <v>346</v>
      </c>
      <c r="C54" s="15" t="s">
        <v>120</v>
      </c>
      <c r="D54" s="15" t="s">
        <v>166</v>
      </c>
      <c r="E54" s="17" t="s">
        <v>348</v>
      </c>
      <c r="F54" s="15" t="n">
        <v>2020</v>
      </c>
      <c r="G54" s="15" t="n">
        <v>2000</v>
      </c>
      <c r="H54" s="17"/>
      <c r="I54" s="15" t="s">
        <v>997</v>
      </c>
      <c r="J54" s="15" t="s">
        <v>349</v>
      </c>
    </row>
    <row r="55" customFormat="false" ht="15" hidden="false" customHeight="false" outlineLevel="0" collapsed="false">
      <c r="A55" s="15" t="s">
        <v>139</v>
      </c>
      <c r="B55" s="15" t="s">
        <v>358</v>
      </c>
      <c r="C55" s="15" t="s">
        <v>120</v>
      </c>
      <c r="D55" s="15" t="s">
        <v>166</v>
      </c>
      <c r="E55" s="17" t="s">
        <v>359</v>
      </c>
      <c r="F55" s="15" t="n">
        <v>2024</v>
      </c>
      <c r="G55" s="15" t="n">
        <v>2000</v>
      </c>
      <c r="H55" s="17"/>
      <c r="I55" s="15" t="s">
        <v>998</v>
      </c>
      <c r="J55" s="15" t="s">
        <v>360</v>
      </c>
    </row>
    <row r="56" customFormat="false" ht="28.35" hidden="false" customHeight="false" outlineLevel="0" collapsed="false">
      <c r="A56" s="15" t="s">
        <v>139</v>
      </c>
      <c r="B56" s="15" t="s">
        <v>362</v>
      </c>
      <c r="C56" s="15" t="s">
        <v>120</v>
      </c>
      <c r="D56" s="15" t="s">
        <v>166</v>
      </c>
      <c r="E56" s="17" t="s">
        <v>296</v>
      </c>
      <c r="F56" s="15" t="n">
        <v>2018</v>
      </c>
      <c r="G56" s="15" t="n">
        <v>1000</v>
      </c>
      <c r="H56" s="17"/>
      <c r="I56" s="15" t="s">
        <v>364</v>
      </c>
      <c r="J56" s="15" t="s">
        <v>363</v>
      </c>
    </row>
    <row r="57" customFormat="false" ht="28.35" hidden="false" customHeight="false" outlineLevel="0" collapsed="false">
      <c r="A57" s="15" t="s">
        <v>139</v>
      </c>
      <c r="B57" s="15" t="s">
        <v>382</v>
      </c>
      <c r="C57" s="15" t="s">
        <v>120</v>
      </c>
      <c r="D57" s="15" t="s">
        <v>166</v>
      </c>
      <c r="E57" s="17" t="s">
        <v>379</v>
      </c>
      <c r="F57" s="15" t="n">
        <v>2018</v>
      </c>
      <c r="G57" s="15" t="n">
        <v>3000</v>
      </c>
      <c r="H57" s="17"/>
      <c r="I57" s="15" t="s">
        <v>999</v>
      </c>
      <c r="J57" s="15" t="s">
        <v>383</v>
      </c>
    </row>
    <row r="58" customFormat="false" ht="15" hidden="false" customHeight="false" outlineLevel="0" collapsed="false">
      <c r="A58" s="15" t="s">
        <v>139</v>
      </c>
      <c r="B58" s="15" t="s">
        <v>405</v>
      </c>
      <c r="C58" s="15" t="s">
        <v>120</v>
      </c>
      <c r="D58" s="15" t="s">
        <v>166</v>
      </c>
      <c r="E58" s="17" t="s">
        <v>279</v>
      </c>
      <c r="F58" s="15" t="n">
        <v>2018</v>
      </c>
      <c r="G58" s="15" t="n">
        <v>15000</v>
      </c>
      <c r="H58" s="17"/>
      <c r="I58" s="15" t="s">
        <v>1000</v>
      </c>
      <c r="J58" s="15" t="s">
        <v>406</v>
      </c>
    </row>
    <row r="59" customFormat="false" ht="15" hidden="false" customHeight="false" outlineLevel="0" collapsed="false">
      <c r="A59" s="15" t="s">
        <v>139</v>
      </c>
      <c r="B59" s="15" t="s">
        <v>428</v>
      </c>
      <c r="C59" s="15" t="s">
        <v>120</v>
      </c>
      <c r="D59" s="15" t="s">
        <v>225</v>
      </c>
      <c r="E59" s="17" t="s">
        <v>279</v>
      </c>
      <c r="F59" s="15" t="n">
        <v>2018</v>
      </c>
      <c r="G59" s="15" t="n">
        <v>1000</v>
      </c>
      <c r="H59" s="17"/>
      <c r="I59" s="15" t="s">
        <v>430</v>
      </c>
      <c r="J59" s="15" t="s">
        <v>429</v>
      </c>
    </row>
    <row r="60" customFormat="false" ht="15" hidden="false" customHeight="false" outlineLevel="0" collapsed="false">
      <c r="A60" s="15" t="s">
        <v>139</v>
      </c>
      <c r="B60" s="15" t="s">
        <v>473</v>
      </c>
      <c r="C60" s="15" t="s">
        <v>120</v>
      </c>
      <c r="D60" s="15" t="s">
        <v>166</v>
      </c>
      <c r="E60" s="17" t="s">
        <v>475</v>
      </c>
      <c r="F60" s="15" t="n">
        <v>2018</v>
      </c>
      <c r="G60" s="15" t="n">
        <v>250</v>
      </c>
      <c r="H60" s="17"/>
      <c r="I60" s="15" t="s">
        <v>1001</v>
      </c>
      <c r="J60" s="15" t="s">
        <v>476</v>
      </c>
    </row>
    <row r="61" customFormat="false" ht="41.75" hidden="false" customHeight="false" outlineLevel="0" collapsed="false">
      <c r="A61" s="15" t="s">
        <v>139</v>
      </c>
      <c r="B61" s="15" t="s">
        <v>478</v>
      </c>
      <c r="C61" s="15" t="s">
        <v>122</v>
      </c>
      <c r="D61" s="15" t="s">
        <v>195</v>
      </c>
      <c r="E61" s="17" t="s">
        <v>279</v>
      </c>
      <c r="F61" s="15" t="n">
        <v>2018</v>
      </c>
      <c r="G61" s="15" t="n">
        <v>1000</v>
      </c>
      <c r="H61" s="17" t="s">
        <v>479</v>
      </c>
      <c r="I61" s="15" t="s">
        <v>1002</v>
      </c>
      <c r="J61" s="15" t="s">
        <v>480</v>
      </c>
    </row>
    <row r="62" customFormat="false" ht="15" hidden="false" customHeight="false" outlineLevel="0" collapsed="false">
      <c r="A62" s="15" t="s">
        <v>139</v>
      </c>
      <c r="B62" s="15" t="s">
        <v>495</v>
      </c>
      <c r="C62" s="15" t="s">
        <v>120</v>
      </c>
      <c r="D62" s="15" t="s">
        <v>166</v>
      </c>
      <c r="E62" s="17" t="s">
        <v>279</v>
      </c>
      <c r="F62" s="15" t="n">
        <v>2018</v>
      </c>
      <c r="G62" s="15" t="n">
        <v>3000</v>
      </c>
      <c r="H62" s="17"/>
      <c r="I62" s="15" t="s">
        <v>1003</v>
      </c>
      <c r="J62" s="15" t="s">
        <v>496</v>
      </c>
    </row>
    <row r="63" customFormat="false" ht="15" hidden="false" customHeight="false" outlineLevel="0" collapsed="false">
      <c r="A63" s="15" t="s">
        <v>139</v>
      </c>
      <c r="B63" s="15" t="s">
        <v>501</v>
      </c>
      <c r="C63" s="15" t="s">
        <v>120</v>
      </c>
      <c r="D63" s="15" t="s">
        <v>166</v>
      </c>
      <c r="E63" s="17" t="s">
        <v>279</v>
      </c>
      <c r="F63" s="15" t="n">
        <v>2018</v>
      </c>
      <c r="G63" s="15" t="n">
        <v>1000</v>
      </c>
      <c r="H63" s="17"/>
      <c r="I63" s="15" t="s">
        <v>1004</v>
      </c>
      <c r="J63" s="15" t="s">
        <v>502</v>
      </c>
    </row>
    <row r="64" customFormat="false" ht="28.35" hidden="false" customHeight="false" outlineLevel="0" collapsed="false">
      <c r="A64" s="15" t="s">
        <v>139</v>
      </c>
      <c r="B64" s="15" t="s">
        <v>507</v>
      </c>
      <c r="C64" s="15" t="s">
        <v>120</v>
      </c>
      <c r="D64" s="15" t="s">
        <v>508</v>
      </c>
      <c r="E64" s="17" t="s">
        <v>418</v>
      </c>
      <c r="F64" s="15" t="n">
        <v>2022</v>
      </c>
      <c r="G64" s="15" t="n">
        <v>15000</v>
      </c>
      <c r="H64" s="17"/>
      <c r="I64" s="15" t="s">
        <v>1005</v>
      </c>
      <c r="J64" s="15" t="s">
        <v>509</v>
      </c>
    </row>
    <row r="65" customFormat="false" ht="28.35" hidden="false" customHeight="false" outlineLevel="0" collapsed="false">
      <c r="A65" s="15" t="s">
        <v>139</v>
      </c>
      <c r="B65" s="15" t="s">
        <v>515</v>
      </c>
      <c r="C65" s="15" t="s">
        <v>120</v>
      </c>
      <c r="D65" s="15" t="s">
        <v>201</v>
      </c>
      <c r="E65" s="17" t="s">
        <v>517</v>
      </c>
      <c r="F65" s="15" t="n">
        <v>2026</v>
      </c>
      <c r="G65" s="15" t="n">
        <v>2000</v>
      </c>
      <c r="H65" s="17"/>
      <c r="I65" s="15" t="s">
        <v>1006</v>
      </c>
      <c r="J65" s="15" t="s">
        <v>518</v>
      </c>
    </row>
    <row r="66" customFormat="false" ht="15" hidden="false" customHeight="false" outlineLevel="0" collapsed="false">
      <c r="A66" s="15" t="s">
        <v>139</v>
      </c>
      <c r="B66" s="15" t="s">
        <v>532</v>
      </c>
      <c r="C66" s="15" t="s">
        <v>120</v>
      </c>
      <c r="D66" s="15" t="s">
        <v>166</v>
      </c>
      <c r="E66" s="17" t="s">
        <v>475</v>
      </c>
      <c r="F66" s="15" t="n">
        <v>2022</v>
      </c>
      <c r="G66" s="15" t="n">
        <v>250</v>
      </c>
      <c r="H66" s="17"/>
      <c r="I66" s="15" t="s">
        <v>534</v>
      </c>
      <c r="J66" s="15" t="s">
        <v>533</v>
      </c>
    </row>
    <row r="67" customFormat="false" ht="41.75" hidden="false" customHeight="false" outlineLevel="0" collapsed="false">
      <c r="A67" s="15" t="s">
        <v>139</v>
      </c>
      <c r="B67" s="15" t="s">
        <v>572</v>
      </c>
      <c r="C67" s="15" t="s">
        <v>120</v>
      </c>
      <c r="D67" s="15" t="s">
        <v>201</v>
      </c>
      <c r="E67" s="17" t="s">
        <v>573</v>
      </c>
      <c r="F67" s="15" t="n">
        <v>2026</v>
      </c>
      <c r="G67" s="15" t="n">
        <v>19000</v>
      </c>
      <c r="H67" s="17"/>
      <c r="I67" s="15" t="s">
        <v>1007</v>
      </c>
      <c r="J67" s="15" t="s">
        <v>574</v>
      </c>
    </row>
    <row r="68" customFormat="false" ht="28.35" hidden="false" customHeight="false" outlineLevel="0" collapsed="false">
      <c r="A68" s="15" t="s">
        <v>139</v>
      </c>
      <c r="B68" s="15" t="s">
        <v>576</v>
      </c>
      <c r="C68" s="15" t="s">
        <v>120</v>
      </c>
      <c r="D68" s="15" t="s">
        <v>166</v>
      </c>
      <c r="E68" s="17" t="s">
        <v>578</v>
      </c>
      <c r="F68" s="15" t="n">
        <v>2024</v>
      </c>
      <c r="G68" s="15" t="n">
        <v>13000</v>
      </c>
      <c r="H68" s="17"/>
      <c r="I68" s="15" t="s">
        <v>1008</v>
      </c>
      <c r="J68" s="15" t="s">
        <v>579</v>
      </c>
    </row>
    <row r="69" customFormat="false" ht="15" hidden="false" customHeight="false" outlineLevel="0" collapsed="false">
      <c r="A69" s="15" t="s">
        <v>139</v>
      </c>
      <c r="B69" s="15" t="s">
        <v>621</v>
      </c>
      <c r="C69" s="15" t="s">
        <v>120</v>
      </c>
      <c r="D69" s="15" t="s">
        <v>166</v>
      </c>
      <c r="E69" s="17" t="s">
        <v>475</v>
      </c>
      <c r="F69" s="15" t="n">
        <v>2026</v>
      </c>
      <c r="G69" s="15" t="n">
        <v>250</v>
      </c>
      <c r="H69" s="17"/>
      <c r="I69" s="15" t="s">
        <v>1009</v>
      </c>
      <c r="J69" s="15" t="s">
        <v>622</v>
      </c>
    </row>
    <row r="70" customFormat="false" ht="15" hidden="false" customHeight="false" outlineLevel="0" collapsed="false">
      <c r="A70" s="15" t="s">
        <v>140</v>
      </c>
      <c r="B70" s="15" t="s">
        <v>174</v>
      </c>
      <c r="C70" s="15" t="s">
        <v>120</v>
      </c>
      <c r="D70" s="15" t="s">
        <v>166</v>
      </c>
      <c r="E70" s="17" t="s">
        <v>165</v>
      </c>
      <c r="F70" s="15" t="n">
        <v>2008</v>
      </c>
      <c r="G70" s="15" t="n">
        <v>250</v>
      </c>
      <c r="H70" s="17"/>
      <c r="I70" s="15" t="s">
        <v>1010</v>
      </c>
      <c r="J70" s="15" t="s">
        <v>176</v>
      </c>
    </row>
    <row r="71" customFormat="false" ht="15" hidden="false" customHeight="false" outlineLevel="0" collapsed="false">
      <c r="A71" s="15" t="s">
        <v>140</v>
      </c>
      <c r="B71" s="15" t="s">
        <v>181</v>
      </c>
      <c r="C71" s="15" t="s">
        <v>120</v>
      </c>
      <c r="D71" s="15" t="s">
        <v>166</v>
      </c>
      <c r="E71" s="17" t="s">
        <v>165</v>
      </c>
      <c r="F71" s="15" t="n">
        <v>2008</v>
      </c>
      <c r="G71" s="15" t="n">
        <v>500</v>
      </c>
      <c r="H71" s="17"/>
      <c r="I71" s="15" t="s">
        <v>1011</v>
      </c>
      <c r="J71" s="15" t="s">
        <v>183</v>
      </c>
    </row>
    <row r="72" customFormat="false" ht="15" hidden="false" customHeight="false" outlineLevel="0" collapsed="false">
      <c r="A72" s="15" t="s">
        <v>140</v>
      </c>
      <c r="B72" s="15" t="s">
        <v>189</v>
      </c>
      <c r="C72" s="15" t="s">
        <v>120</v>
      </c>
      <c r="D72" s="15" t="s">
        <v>166</v>
      </c>
      <c r="E72" s="17" t="s">
        <v>165</v>
      </c>
      <c r="F72" s="15" t="n">
        <v>2010</v>
      </c>
      <c r="G72" s="15" t="n">
        <v>8000</v>
      </c>
      <c r="H72" s="17"/>
      <c r="I72" s="15" t="s">
        <v>1012</v>
      </c>
      <c r="J72" s="15" t="s">
        <v>191</v>
      </c>
    </row>
    <row r="73" customFormat="false" ht="15" hidden="false" customHeight="false" outlineLevel="0" collapsed="false">
      <c r="A73" s="15" t="s">
        <v>140</v>
      </c>
      <c r="B73" s="15" t="s">
        <v>199</v>
      </c>
      <c r="C73" s="15" t="s">
        <v>120</v>
      </c>
      <c r="D73" s="15" t="s">
        <v>201</v>
      </c>
      <c r="E73" s="17" t="s">
        <v>200</v>
      </c>
      <c r="F73" s="15" t="n">
        <v>2026</v>
      </c>
      <c r="G73" s="15" t="n">
        <v>6000</v>
      </c>
      <c r="H73" s="17"/>
      <c r="I73" s="15" t="s">
        <v>203</v>
      </c>
      <c r="J73" s="15" t="s">
        <v>202</v>
      </c>
    </row>
    <row r="74" customFormat="false" ht="28.35" hidden="false" customHeight="false" outlineLevel="0" collapsed="false">
      <c r="A74" s="15" t="s">
        <v>140</v>
      </c>
      <c r="B74" s="15" t="s">
        <v>211</v>
      </c>
      <c r="C74" s="15" t="s">
        <v>120</v>
      </c>
      <c r="D74" s="15" t="s">
        <v>201</v>
      </c>
      <c r="E74" s="17" t="s">
        <v>213</v>
      </c>
      <c r="F74" s="15" t="n">
        <v>2018</v>
      </c>
      <c r="G74" s="15" t="n">
        <v>1000</v>
      </c>
      <c r="H74" s="17"/>
      <c r="I74" s="15" t="s">
        <v>1013</v>
      </c>
      <c r="J74" s="15" t="s">
        <v>214</v>
      </c>
    </row>
    <row r="75" customFormat="false" ht="15" hidden="false" customHeight="false" outlineLevel="0" collapsed="false">
      <c r="A75" s="15" t="s">
        <v>140</v>
      </c>
      <c r="B75" s="15" t="s">
        <v>250</v>
      </c>
      <c r="C75" s="15" t="s">
        <v>120</v>
      </c>
      <c r="D75" s="15" t="s">
        <v>166</v>
      </c>
      <c r="E75" s="17" t="s">
        <v>279</v>
      </c>
      <c r="F75" s="15" t="n">
        <v>2018</v>
      </c>
      <c r="G75" s="15" t="n">
        <v>2000</v>
      </c>
      <c r="H75" s="17"/>
      <c r="I75" s="15" t="s">
        <v>1014</v>
      </c>
      <c r="J75" s="15" t="s">
        <v>953</v>
      </c>
    </row>
    <row r="76" customFormat="false" ht="41.75" hidden="false" customHeight="false" outlineLevel="0" collapsed="false">
      <c r="A76" s="15" t="s">
        <v>140</v>
      </c>
      <c r="B76" s="15" t="s">
        <v>254</v>
      </c>
      <c r="C76" s="15" t="s">
        <v>122</v>
      </c>
      <c r="D76" s="15" t="s">
        <v>195</v>
      </c>
      <c r="E76" s="17" t="s">
        <v>208</v>
      </c>
      <c r="F76" s="15" t="n">
        <v>2010</v>
      </c>
      <c r="G76" s="15" t="n">
        <v>1000</v>
      </c>
      <c r="H76" s="17" t="s">
        <v>256</v>
      </c>
      <c r="I76" s="15" t="s">
        <v>1015</v>
      </c>
      <c r="J76" s="15" t="s">
        <v>257</v>
      </c>
    </row>
    <row r="77" customFormat="false" ht="15" hidden="false" customHeight="false" outlineLevel="0" collapsed="false">
      <c r="A77" s="15" t="s">
        <v>140</v>
      </c>
      <c r="B77" s="15" t="s">
        <v>259</v>
      </c>
      <c r="C77" s="15" t="s">
        <v>120</v>
      </c>
      <c r="D77" s="15" t="s">
        <v>225</v>
      </c>
      <c r="E77" s="17" t="s">
        <v>260</v>
      </c>
      <c r="F77" s="15" t="n">
        <v>2010</v>
      </c>
      <c r="G77" s="15" t="n">
        <v>250</v>
      </c>
      <c r="H77" s="17"/>
      <c r="I77" s="15" t="s">
        <v>1016</v>
      </c>
      <c r="J77" s="15" t="s">
        <v>261</v>
      </c>
    </row>
    <row r="78" customFormat="false" ht="55.2" hidden="false" customHeight="false" outlineLevel="0" collapsed="false">
      <c r="A78" s="15" t="s">
        <v>140</v>
      </c>
      <c r="B78" s="15" t="s">
        <v>263</v>
      </c>
      <c r="C78" s="15" t="s">
        <v>120</v>
      </c>
      <c r="D78" s="15" t="s">
        <v>166</v>
      </c>
      <c r="E78" s="17" t="s">
        <v>264</v>
      </c>
      <c r="F78" s="15" t="n">
        <v>2026</v>
      </c>
      <c r="G78" s="15" t="n">
        <v>5000</v>
      </c>
      <c r="H78" s="17"/>
      <c r="I78" s="15" t="s">
        <v>1017</v>
      </c>
      <c r="J78" s="15" t="s">
        <v>265</v>
      </c>
    </row>
    <row r="79" customFormat="false" ht="15" hidden="false" customHeight="false" outlineLevel="0" collapsed="false">
      <c r="A79" s="15" t="s">
        <v>140</v>
      </c>
      <c r="B79" s="15" t="s">
        <v>272</v>
      </c>
      <c r="C79" s="15" t="s">
        <v>120</v>
      </c>
      <c r="D79" s="15" t="s">
        <v>166</v>
      </c>
      <c r="E79" s="17" t="s">
        <v>329</v>
      </c>
      <c r="F79" s="15" t="n">
        <v>2014</v>
      </c>
      <c r="G79" s="15" t="n">
        <v>500</v>
      </c>
      <c r="H79" s="17"/>
      <c r="I79" s="15" t="s">
        <v>1018</v>
      </c>
      <c r="J79" s="15" t="s">
        <v>1019</v>
      </c>
    </row>
    <row r="80" customFormat="false" ht="15" hidden="false" customHeight="false" outlineLevel="0" collapsed="false">
      <c r="A80" s="15" t="s">
        <v>140</v>
      </c>
      <c r="B80" s="15" t="s">
        <v>277</v>
      </c>
      <c r="C80" s="15" t="s">
        <v>120</v>
      </c>
      <c r="D80" s="15" t="s">
        <v>166</v>
      </c>
      <c r="E80" s="17" t="s">
        <v>279</v>
      </c>
      <c r="F80" s="15" t="n">
        <v>2018</v>
      </c>
      <c r="G80" s="15" t="n">
        <v>7000</v>
      </c>
      <c r="H80" s="17"/>
      <c r="I80" s="15" t="s">
        <v>1020</v>
      </c>
      <c r="J80" s="15" t="s">
        <v>280</v>
      </c>
    </row>
    <row r="81" customFormat="false" ht="55.2" hidden="false" customHeight="false" outlineLevel="0" collapsed="false">
      <c r="A81" s="15" t="s">
        <v>140</v>
      </c>
      <c r="B81" s="15" t="s">
        <v>286</v>
      </c>
      <c r="C81" s="15" t="s">
        <v>120</v>
      </c>
      <c r="D81" s="15" t="s">
        <v>166</v>
      </c>
      <c r="E81" s="17" t="s">
        <v>287</v>
      </c>
      <c r="F81" s="15" t="n">
        <v>2025</v>
      </c>
      <c r="G81" s="15" t="n">
        <v>3000</v>
      </c>
      <c r="H81" s="17"/>
      <c r="I81" s="15" t="s">
        <v>1021</v>
      </c>
      <c r="J81" s="15" t="s">
        <v>965</v>
      </c>
    </row>
    <row r="82" customFormat="false" ht="15" hidden="false" customHeight="false" outlineLevel="0" collapsed="false">
      <c r="A82" s="15" t="s">
        <v>140</v>
      </c>
      <c r="B82" s="15" t="s">
        <v>303</v>
      </c>
      <c r="C82" s="15" t="s">
        <v>120</v>
      </c>
      <c r="D82" s="15" t="s">
        <v>166</v>
      </c>
      <c r="E82" s="17" t="s">
        <v>305</v>
      </c>
      <c r="F82" s="15" t="n">
        <v>2026</v>
      </c>
      <c r="G82" s="15" t="n">
        <v>250</v>
      </c>
      <c r="H82" s="17"/>
      <c r="I82" s="15" t="s">
        <v>1022</v>
      </c>
      <c r="J82" s="15" t="s">
        <v>306</v>
      </c>
    </row>
    <row r="83" customFormat="false" ht="28.35" hidden="false" customHeight="false" outlineLevel="0" collapsed="false">
      <c r="A83" s="15" t="s">
        <v>140</v>
      </c>
      <c r="B83" s="15" t="s">
        <v>311</v>
      </c>
      <c r="C83" s="15" t="s">
        <v>122</v>
      </c>
      <c r="D83" s="15" t="s">
        <v>195</v>
      </c>
      <c r="E83" s="17" t="s">
        <v>260</v>
      </c>
      <c r="F83" s="15" t="n">
        <v>2014</v>
      </c>
      <c r="G83" s="15" t="n">
        <v>250</v>
      </c>
      <c r="H83" s="17" t="s">
        <v>313</v>
      </c>
      <c r="I83" s="15" t="s">
        <v>1023</v>
      </c>
      <c r="J83" s="15" t="s">
        <v>314</v>
      </c>
    </row>
    <row r="84" customFormat="false" ht="28.35" hidden="false" customHeight="false" outlineLevel="0" collapsed="false">
      <c r="A84" s="15" t="s">
        <v>140</v>
      </c>
      <c r="B84" s="15" t="s">
        <v>316</v>
      </c>
      <c r="C84" s="15" t="s">
        <v>120</v>
      </c>
      <c r="D84" s="15" t="s">
        <v>166</v>
      </c>
      <c r="E84" s="17" t="s">
        <v>318</v>
      </c>
      <c r="F84" s="15" t="n">
        <v>2024</v>
      </c>
      <c r="G84" s="15" t="n">
        <v>5000</v>
      </c>
      <c r="H84" s="17"/>
      <c r="I84" s="15" t="s">
        <v>1024</v>
      </c>
      <c r="J84" s="15" t="s">
        <v>319</v>
      </c>
    </row>
    <row r="85" customFormat="false" ht="15" hidden="false" customHeight="false" outlineLevel="0" collapsed="false">
      <c r="A85" s="15" t="s">
        <v>140</v>
      </c>
      <c r="B85" s="15" t="s">
        <v>337</v>
      </c>
      <c r="C85" s="15" t="s">
        <v>120</v>
      </c>
      <c r="D85" s="15" t="s">
        <v>166</v>
      </c>
      <c r="E85" s="17" t="s">
        <v>260</v>
      </c>
      <c r="F85" s="15" t="n">
        <v>2014</v>
      </c>
      <c r="G85" s="15" t="n">
        <v>250</v>
      </c>
      <c r="H85" s="17"/>
      <c r="I85" s="15" t="s">
        <v>339</v>
      </c>
      <c r="J85" s="15" t="s">
        <v>338</v>
      </c>
    </row>
    <row r="86" customFormat="false" ht="15" hidden="false" customHeight="false" outlineLevel="0" collapsed="false">
      <c r="A86" s="15" t="s">
        <v>140</v>
      </c>
      <c r="B86" s="15" t="s">
        <v>340</v>
      </c>
      <c r="C86" s="15" t="s">
        <v>120</v>
      </c>
      <c r="D86" s="15" t="s">
        <v>166</v>
      </c>
      <c r="E86" s="17" t="s">
        <v>224</v>
      </c>
      <c r="F86" s="15" t="n">
        <v>2015</v>
      </c>
      <c r="G86" s="15" t="n">
        <v>750</v>
      </c>
      <c r="H86" s="17"/>
      <c r="I86" s="15" t="s">
        <v>342</v>
      </c>
      <c r="J86" s="15" t="s">
        <v>341</v>
      </c>
    </row>
    <row r="87" customFormat="false" ht="28.35" hidden="false" customHeight="false" outlineLevel="0" collapsed="false">
      <c r="A87" s="15" t="s">
        <v>140</v>
      </c>
      <c r="B87" s="15" t="s">
        <v>346</v>
      </c>
      <c r="C87" s="15" t="s">
        <v>120</v>
      </c>
      <c r="D87" s="15" t="s">
        <v>166</v>
      </c>
      <c r="E87" s="17" t="s">
        <v>348</v>
      </c>
      <c r="F87" s="15" t="n">
        <v>2020</v>
      </c>
      <c r="G87" s="15" t="n">
        <v>2000</v>
      </c>
      <c r="H87" s="17"/>
      <c r="I87" s="15" t="s">
        <v>1025</v>
      </c>
      <c r="J87" s="15" t="s">
        <v>349</v>
      </c>
    </row>
    <row r="88" customFormat="false" ht="15" hidden="false" customHeight="false" outlineLevel="0" collapsed="false">
      <c r="A88" s="15" t="s">
        <v>140</v>
      </c>
      <c r="B88" s="15" t="s">
        <v>365</v>
      </c>
      <c r="C88" s="15" t="s">
        <v>120</v>
      </c>
      <c r="D88" s="15" t="s">
        <v>166</v>
      </c>
      <c r="E88" s="17" t="s">
        <v>366</v>
      </c>
      <c r="F88" s="15" t="n">
        <v>2016</v>
      </c>
      <c r="G88" s="15" t="n">
        <v>250</v>
      </c>
      <c r="H88" s="17"/>
      <c r="I88" s="15" t="s">
        <v>368</v>
      </c>
      <c r="J88" s="15" t="s">
        <v>367</v>
      </c>
    </row>
    <row r="89" customFormat="false" ht="15" hidden="false" customHeight="false" outlineLevel="0" collapsed="false">
      <c r="A89" s="15" t="s">
        <v>140</v>
      </c>
      <c r="B89" s="15" t="s">
        <v>372</v>
      </c>
      <c r="C89" s="15" t="s">
        <v>120</v>
      </c>
      <c r="D89" s="15" t="s">
        <v>166</v>
      </c>
      <c r="E89" s="17" t="s">
        <v>366</v>
      </c>
      <c r="F89" s="15" t="n">
        <v>2016</v>
      </c>
      <c r="G89" s="15" t="n">
        <v>250</v>
      </c>
      <c r="H89" s="17"/>
      <c r="I89" s="15" t="s">
        <v>374</v>
      </c>
      <c r="J89" s="15" t="s">
        <v>373</v>
      </c>
    </row>
    <row r="90" customFormat="false" ht="15" hidden="false" customHeight="false" outlineLevel="0" collapsed="false">
      <c r="A90" s="15" t="s">
        <v>140</v>
      </c>
      <c r="B90" s="15" t="s">
        <v>393</v>
      </c>
      <c r="C90" s="15" t="s">
        <v>120</v>
      </c>
      <c r="D90" s="15" t="s">
        <v>166</v>
      </c>
      <c r="E90" s="17" t="s">
        <v>279</v>
      </c>
      <c r="F90" s="15" t="n">
        <v>2018</v>
      </c>
      <c r="G90" s="15" t="n">
        <v>1000</v>
      </c>
      <c r="H90" s="17"/>
      <c r="I90" s="15" t="s">
        <v>1026</v>
      </c>
      <c r="J90" s="15" t="s">
        <v>394</v>
      </c>
    </row>
    <row r="91" customFormat="false" ht="15" hidden="false" customHeight="false" outlineLevel="0" collapsed="false">
      <c r="A91" s="15" t="s">
        <v>140</v>
      </c>
      <c r="B91" s="15" t="s">
        <v>396</v>
      </c>
      <c r="C91" s="15" t="s">
        <v>120</v>
      </c>
      <c r="D91" s="15" t="s">
        <v>166</v>
      </c>
      <c r="E91" s="17" t="s">
        <v>279</v>
      </c>
      <c r="F91" s="15" t="n">
        <v>2017</v>
      </c>
      <c r="G91" s="15" t="n">
        <v>250</v>
      </c>
      <c r="H91" s="17"/>
      <c r="I91" s="15" t="s">
        <v>398</v>
      </c>
      <c r="J91" s="15" t="s">
        <v>397</v>
      </c>
    </row>
    <row r="92" customFormat="false" ht="15" hidden="false" customHeight="false" outlineLevel="0" collapsed="false">
      <c r="A92" s="15" t="s">
        <v>140</v>
      </c>
      <c r="B92" s="15" t="s">
        <v>405</v>
      </c>
      <c r="C92" s="15" t="s">
        <v>120</v>
      </c>
      <c r="D92" s="15" t="s">
        <v>166</v>
      </c>
      <c r="E92" s="17" t="s">
        <v>279</v>
      </c>
      <c r="F92" s="15" t="n">
        <v>2018</v>
      </c>
      <c r="G92" s="15" t="n">
        <v>12000</v>
      </c>
      <c r="H92" s="17"/>
      <c r="I92" s="15" t="s">
        <v>1027</v>
      </c>
      <c r="J92" s="15" t="s">
        <v>1028</v>
      </c>
    </row>
    <row r="93" customFormat="false" ht="15" hidden="false" customHeight="false" outlineLevel="0" collapsed="false">
      <c r="A93" s="15" t="s">
        <v>140</v>
      </c>
      <c r="B93" s="15" t="s">
        <v>440</v>
      </c>
      <c r="C93" s="15" t="s">
        <v>120</v>
      </c>
      <c r="D93" s="15" t="s">
        <v>166</v>
      </c>
      <c r="E93" s="17" t="s">
        <v>279</v>
      </c>
      <c r="F93" s="15" t="n">
        <v>2018</v>
      </c>
      <c r="G93" s="15" t="n">
        <v>2000</v>
      </c>
      <c r="H93" s="17"/>
      <c r="I93" s="15" t="s">
        <v>442</v>
      </c>
      <c r="J93" s="15" t="s">
        <v>441</v>
      </c>
    </row>
    <row r="94" customFormat="false" ht="28.35" hidden="false" customHeight="false" outlineLevel="0" collapsed="false">
      <c r="A94" s="15" t="s">
        <v>140</v>
      </c>
      <c r="B94" s="15" t="s">
        <v>443</v>
      </c>
      <c r="C94" s="15" t="s">
        <v>120</v>
      </c>
      <c r="D94" s="15" t="s">
        <v>166</v>
      </c>
      <c r="E94" s="17" t="s">
        <v>418</v>
      </c>
      <c r="F94" s="15" t="n">
        <v>2026</v>
      </c>
      <c r="G94" s="15" t="n">
        <v>500</v>
      </c>
      <c r="H94" s="17"/>
      <c r="I94" s="15" t="s">
        <v>1029</v>
      </c>
      <c r="J94" s="15" t="s">
        <v>445</v>
      </c>
    </row>
    <row r="95" customFormat="false" ht="15" hidden="false" customHeight="false" outlineLevel="0" collapsed="false">
      <c r="A95" s="15" t="s">
        <v>140</v>
      </c>
      <c r="B95" s="15" t="s">
        <v>453</v>
      </c>
      <c r="C95" s="15" t="s">
        <v>120</v>
      </c>
      <c r="D95" s="15" t="s">
        <v>166</v>
      </c>
      <c r="E95" s="17" t="s">
        <v>279</v>
      </c>
      <c r="F95" s="15" t="n">
        <v>2018</v>
      </c>
      <c r="G95" s="15" t="n">
        <v>2000</v>
      </c>
      <c r="H95" s="17"/>
      <c r="I95" s="15" t="s">
        <v>1030</v>
      </c>
      <c r="J95" s="15" t="s">
        <v>454</v>
      </c>
    </row>
    <row r="96" customFormat="false" ht="15" hidden="false" customHeight="false" outlineLevel="0" collapsed="false">
      <c r="A96" s="15" t="s">
        <v>140</v>
      </c>
      <c r="B96" s="15" t="s">
        <v>456</v>
      </c>
      <c r="C96" s="15" t="s">
        <v>120</v>
      </c>
      <c r="D96" s="15" t="s">
        <v>166</v>
      </c>
      <c r="E96" s="17" t="s">
        <v>279</v>
      </c>
      <c r="F96" s="15" t="n">
        <v>2018</v>
      </c>
      <c r="G96" s="15" t="n">
        <v>250</v>
      </c>
      <c r="H96" s="17"/>
      <c r="I96" s="15" t="s">
        <v>1031</v>
      </c>
      <c r="J96" s="15" t="s">
        <v>457</v>
      </c>
    </row>
    <row r="97" customFormat="false" ht="28.35" hidden="false" customHeight="false" outlineLevel="0" collapsed="false">
      <c r="A97" s="15" t="s">
        <v>140</v>
      </c>
      <c r="B97" s="15" t="s">
        <v>459</v>
      </c>
      <c r="C97" s="15" t="s">
        <v>120</v>
      </c>
      <c r="D97" s="15" t="s">
        <v>166</v>
      </c>
      <c r="E97" s="17" t="s">
        <v>418</v>
      </c>
      <c r="F97" s="15" t="n">
        <v>2024</v>
      </c>
      <c r="G97" s="15" t="n">
        <v>4000</v>
      </c>
      <c r="H97" s="17"/>
      <c r="I97" s="15" t="s">
        <v>1032</v>
      </c>
      <c r="J97" s="15" t="s">
        <v>461</v>
      </c>
    </row>
    <row r="98" customFormat="false" ht="15" hidden="false" customHeight="false" outlineLevel="0" collapsed="false">
      <c r="A98" s="15" t="s">
        <v>140</v>
      </c>
      <c r="B98" s="15" t="s">
        <v>470</v>
      </c>
      <c r="C98" s="15" t="s">
        <v>120</v>
      </c>
      <c r="D98" s="15" t="s">
        <v>166</v>
      </c>
      <c r="E98" s="17" t="s">
        <v>279</v>
      </c>
      <c r="F98" s="15" t="n">
        <v>2018</v>
      </c>
      <c r="G98" s="15" t="n">
        <v>500</v>
      </c>
      <c r="H98" s="17"/>
      <c r="I98" s="15" t="s">
        <v>1033</v>
      </c>
      <c r="J98" s="15" t="s">
        <v>471</v>
      </c>
    </row>
    <row r="99" customFormat="false" ht="41.75" hidden="false" customHeight="false" outlineLevel="0" collapsed="false">
      <c r="A99" s="15" t="s">
        <v>140</v>
      </c>
      <c r="B99" s="15" t="s">
        <v>478</v>
      </c>
      <c r="C99" s="15" t="s">
        <v>122</v>
      </c>
      <c r="D99" s="15" t="s">
        <v>195</v>
      </c>
      <c r="E99" s="17" t="s">
        <v>279</v>
      </c>
      <c r="F99" s="15" t="n">
        <v>2018</v>
      </c>
      <c r="G99" s="15" t="n">
        <v>1000</v>
      </c>
      <c r="H99" s="17" t="s">
        <v>479</v>
      </c>
      <c r="I99" s="15" t="s">
        <v>1034</v>
      </c>
      <c r="J99" s="15" t="s">
        <v>480</v>
      </c>
    </row>
    <row r="100" customFormat="false" ht="15" hidden="false" customHeight="false" outlineLevel="0" collapsed="false">
      <c r="A100" s="15" t="s">
        <v>140</v>
      </c>
      <c r="B100" s="15" t="s">
        <v>492</v>
      </c>
      <c r="C100" s="15" t="s">
        <v>120</v>
      </c>
      <c r="D100" s="15" t="s">
        <v>166</v>
      </c>
      <c r="E100" s="17" t="s">
        <v>279</v>
      </c>
      <c r="F100" s="15" t="n">
        <v>2018</v>
      </c>
      <c r="G100" s="15" t="n">
        <v>25000</v>
      </c>
      <c r="H100" s="17"/>
      <c r="I100" s="15" t="s">
        <v>1035</v>
      </c>
      <c r="J100" s="15" t="s">
        <v>493</v>
      </c>
    </row>
    <row r="101" customFormat="false" ht="15" hidden="false" customHeight="false" outlineLevel="0" collapsed="false">
      <c r="A101" s="15" t="s">
        <v>140</v>
      </c>
      <c r="B101" s="15" t="s">
        <v>495</v>
      </c>
      <c r="C101" s="15" t="s">
        <v>120</v>
      </c>
      <c r="D101" s="15" t="s">
        <v>166</v>
      </c>
      <c r="E101" s="17" t="s">
        <v>279</v>
      </c>
      <c r="F101" s="15" t="n">
        <v>2018</v>
      </c>
      <c r="G101" s="15" t="n">
        <v>3000</v>
      </c>
      <c r="H101" s="17"/>
      <c r="I101" s="15" t="s">
        <v>1036</v>
      </c>
      <c r="J101" s="15" t="s">
        <v>496</v>
      </c>
    </row>
    <row r="102" customFormat="false" ht="28.35" hidden="false" customHeight="false" outlineLevel="0" collapsed="false">
      <c r="A102" s="15" t="s">
        <v>140</v>
      </c>
      <c r="B102" s="15" t="s">
        <v>515</v>
      </c>
      <c r="C102" s="15" t="s">
        <v>120</v>
      </c>
      <c r="D102" s="15" t="s">
        <v>201</v>
      </c>
      <c r="E102" s="17" t="s">
        <v>517</v>
      </c>
      <c r="F102" s="15" t="n">
        <v>2026</v>
      </c>
      <c r="G102" s="15" t="n">
        <v>2000</v>
      </c>
      <c r="H102" s="17"/>
      <c r="I102" s="15" t="s">
        <v>1037</v>
      </c>
      <c r="J102" s="15" t="s">
        <v>518</v>
      </c>
    </row>
    <row r="103" customFormat="false" ht="28.35" hidden="false" customHeight="false" outlineLevel="0" collapsed="false">
      <c r="A103" s="15" t="s">
        <v>140</v>
      </c>
      <c r="B103" s="15" t="s">
        <v>520</v>
      </c>
      <c r="C103" s="15" t="s">
        <v>120</v>
      </c>
      <c r="D103" s="15" t="s">
        <v>166</v>
      </c>
      <c r="E103" s="17" t="s">
        <v>512</v>
      </c>
      <c r="F103" s="15" t="n">
        <v>2026</v>
      </c>
      <c r="G103" s="15" t="n">
        <v>3000</v>
      </c>
      <c r="H103" s="17"/>
      <c r="I103" s="15" t="s">
        <v>522</v>
      </c>
      <c r="J103" s="15" t="s">
        <v>521</v>
      </c>
    </row>
    <row r="104" customFormat="false" ht="28.35" hidden="false" customHeight="false" outlineLevel="0" collapsed="false">
      <c r="A104" s="15" t="s">
        <v>140</v>
      </c>
      <c r="B104" s="15" t="s">
        <v>538</v>
      </c>
      <c r="C104" s="15" t="s">
        <v>120</v>
      </c>
      <c r="D104" s="15" t="s">
        <v>201</v>
      </c>
      <c r="E104" s="17" t="s">
        <v>539</v>
      </c>
      <c r="F104" s="15" t="n">
        <v>2026</v>
      </c>
      <c r="G104" s="15" t="n">
        <v>6000</v>
      </c>
      <c r="H104" s="17"/>
      <c r="I104" s="15" t="s">
        <v>1038</v>
      </c>
      <c r="J104" s="15" t="s">
        <v>540</v>
      </c>
    </row>
    <row r="105" customFormat="false" ht="41.75" hidden="false" customHeight="false" outlineLevel="0" collapsed="false">
      <c r="A105" s="15" t="s">
        <v>140</v>
      </c>
      <c r="B105" s="15" t="s">
        <v>581</v>
      </c>
      <c r="C105" s="15" t="s">
        <v>120</v>
      </c>
      <c r="D105" s="15" t="s">
        <v>166</v>
      </c>
      <c r="E105" s="17" t="s">
        <v>582</v>
      </c>
      <c r="F105" s="15" t="n">
        <v>2026</v>
      </c>
      <c r="G105" s="15" t="n">
        <v>65000</v>
      </c>
      <c r="H105" s="17"/>
      <c r="I105" s="15" t="s">
        <v>1039</v>
      </c>
      <c r="J105" s="15" t="s">
        <v>583</v>
      </c>
    </row>
    <row r="106" customFormat="false" ht="15" hidden="false" customHeight="false" outlineLevel="0" collapsed="false">
      <c r="A106" s="15" t="s">
        <v>140</v>
      </c>
      <c r="B106" s="15" t="s">
        <v>618</v>
      </c>
      <c r="C106" s="15" t="s">
        <v>120</v>
      </c>
      <c r="D106" s="15" t="s">
        <v>166</v>
      </c>
      <c r="E106" s="17" t="s">
        <v>475</v>
      </c>
      <c r="F106" s="15" t="n">
        <v>2026</v>
      </c>
      <c r="G106" s="15" t="n">
        <v>3000</v>
      </c>
      <c r="H106" s="17"/>
      <c r="I106" s="15" t="s">
        <v>620</v>
      </c>
      <c r="J106" s="15" t="s">
        <v>619</v>
      </c>
    </row>
    <row r="107" customFormat="false" ht="15" hidden="false" customHeight="false" outlineLevel="0" collapsed="false">
      <c r="A107" s="15" t="s">
        <v>140</v>
      </c>
      <c r="B107" s="15" t="s">
        <v>621</v>
      </c>
      <c r="C107" s="15" t="s">
        <v>120</v>
      </c>
      <c r="D107" s="15" t="s">
        <v>166</v>
      </c>
      <c r="E107" s="17" t="s">
        <v>475</v>
      </c>
      <c r="F107" s="15" t="n">
        <v>2026</v>
      </c>
      <c r="G107" s="15" t="n">
        <v>250</v>
      </c>
      <c r="H107" s="17"/>
      <c r="I107" s="15" t="s">
        <v>1040</v>
      </c>
      <c r="J107" s="15" t="s">
        <v>622</v>
      </c>
    </row>
    <row r="108" customFormat="false" ht="15" hidden="false" customHeight="false" outlineLevel="0" collapsed="false">
      <c r="A108" s="15" t="s">
        <v>140</v>
      </c>
      <c r="B108" s="15" t="s">
        <v>624</v>
      </c>
      <c r="C108" s="15" t="s">
        <v>120</v>
      </c>
      <c r="D108" s="15" t="s">
        <v>166</v>
      </c>
      <c r="E108" s="17" t="s">
        <v>475</v>
      </c>
      <c r="F108" s="15" t="n">
        <v>2026</v>
      </c>
      <c r="G108" s="15" t="n">
        <v>250</v>
      </c>
      <c r="H108" s="17"/>
      <c r="I108" s="15" t="s">
        <v>1041</v>
      </c>
      <c r="J108" s="15" t="s">
        <v>625</v>
      </c>
    </row>
    <row r="109" customFormat="false" ht="15" hidden="false" customHeight="false" outlineLevel="0" collapsed="false">
      <c r="A109" s="15" t="s">
        <v>140</v>
      </c>
      <c r="B109" s="15" t="s">
        <v>642</v>
      </c>
      <c r="C109" s="15" t="s">
        <v>120</v>
      </c>
      <c r="D109" s="15" t="s">
        <v>166</v>
      </c>
      <c r="E109" s="17" t="s">
        <v>475</v>
      </c>
      <c r="F109" s="15" t="n">
        <v>2026</v>
      </c>
      <c r="G109" s="15" t="n">
        <v>250</v>
      </c>
      <c r="H109" s="17"/>
      <c r="I109" s="15" t="s">
        <v>1042</v>
      </c>
      <c r="J109" s="15" t="s">
        <v>644</v>
      </c>
    </row>
    <row r="110" customFormat="false" ht="15" hidden="false" customHeight="false" outlineLevel="0" collapsed="false">
      <c r="A110" s="15" t="s">
        <v>141</v>
      </c>
      <c r="B110" s="15" t="s">
        <v>174</v>
      </c>
      <c r="C110" s="15" t="s">
        <v>120</v>
      </c>
      <c r="D110" s="15" t="s">
        <v>225</v>
      </c>
      <c r="E110" s="17" t="s">
        <v>165</v>
      </c>
      <c r="F110" s="15" t="n">
        <v>2008</v>
      </c>
      <c r="G110" s="15" t="n">
        <v>250</v>
      </c>
      <c r="H110" s="17"/>
      <c r="I110" s="15" t="s">
        <v>1043</v>
      </c>
      <c r="J110" s="15" t="s">
        <v>176</v>
      </c>
    </row>
    <row r="111" customFormat="false" ht="15" hidden="false" customHeight="false" outlineLevel="0" collapsed="false">
      <c r="A111" s="15" t="s">
        <v>141</v>
      </c>
      <c r="B111" s="15" t="s">
        <v>189</v>
      </c>
      <c r="C111" s="15" t="s">
        <v>120</v>
      </c>
      <c r="D111" s="15" t="s">
        <v>166</v>
      </c>
      <c r="E111" s="17" t="s">
        <v>165</v>
      </c>
      <c r="F111" s="15" t="n">
        <v>2010</v>
      </c>
      <c r="G111" s="15" t="n">
        <v>8000</v>
      </c>
      <c r="H111" s="17"/>
      <c r="I111" s="15" t="s">
        <v>1044</v>
      </c>
      <c r="J111" s="15" t="s">
        <v>191</v>
      </c>
    </row>
    <row r="112" customFormat="false" ht="41.75" hidden="false" customHeight="false" outlineLevel="0" collapsed="false">
      <c r="A112" s="15" t="s">
        <v>141</v>
      </c>
      <c r="B112" s="15" t="s">
        <v>193</v>
      </c>
      <c r="C112" s="15" t="s">
        <v>122</v>
      </c>
      <c r="D112" s="15" t="s">
        <v>195</v>
      </c>
      <c r="E112" s="17" t="s">
        <v>165</v>
      </c>
      <c r="F112" s="15" t="n">
        <v>2008</v>
      </c>
      <c r="G112" s="15" t="n">
        <v>500</v>
      </c>
      <c r="H112" s="17" t="s">
        <v>196</v>
      </c>
      <c r="I112" s="15" t="s">
        <v>1045</v>
      </c>
      <c r="J112" s="15" t="s">
        <v>197</v>
      </c>
    </row>
    <row r="113" customFormat="false" ht="41.75" hidden="false" customHeight="false" outlineLevel="0" collapsed="false">
      <c r="A113" s="15" t="s">
        <v>141</v>
      </c>
      <c r="B113" s="15" t="s">
        <v>216</v>
      </c>
      <c r="C113" s="15" t="s">
        <v>120</v>
      </c>
      <c r="D113" s="15" t="s">
        <v>166</v>
      </c>
      <c r="E113" s="17" t="s">
        <v>217</v>
      </c>
      <c r="F113" s="15" t="n">
        <v>2026</v>
      </c>
      <c r="G113" s="15" t="n">
        <v>37000</v>
      </c>
      <c r="H113" s="17"/>
      <c r="I113" s="15" t="s">
        <v>1046</v>
      </c>
      <c r="J113" s="15" t="s">
        <v>218</v>
      </c>
    </row>
    <row r="114" customFormat="false" ht="28.35" hidden="false" customHeight="false" outlineLevel="0" collapsed="false">
      <c r="A114" s="15" t="s">
        <v>141</v>
      </c>
      <c r="B114" s="15" t="s">
        <v>237</v>
      </c>
      <c r="C114" s="15" t="s">
        <v>122</v>
      </c>
      <c r="D114" s="15" t="s">
        <v>195</v>
      </c>
      <c r="E114" s="17" t="s">
        <v>208</v>
      </c>
      <c r="F114" s="15" t="n">
        <v>2010</v>
      </c>
      <c r="G114" s="15" t="n">
        <v>1000</v>
      </c>
      <c r="H114" s="17" t="s">
        <v>239</v>
      </c>
      <c r="I114" s="15" t="s">
        <v>1047</v>
      </c>
      <c r="J114" s="15" t="s">
        <v>240</v>
      </c>
    </row>
    <row r="115" customFormat="false" ht="15" hidden="false" customHeight="false" outlineLevel="0" collapsed="false">
      <c r="A115" s="15" t="s">
        <v>141</v>
      </c>
      <c r="B115" s="15" t="s">
        <v>250</v>
      </c>
      <c r="C115" s="15" t="s">
        <v>120</v>
      </c>
      <c r="D115" s="15" t="s">
        <v>166</v>
      </c>
      <c r="E115" s="17" t="s">
        <v>279</v>
      </c>
      <c r="F115" s="15" t="n">
        <v>2018</v>
      </c>
      <c r="G115" s="15" t="n">
        <v>2000</v>
      </c>
      <c r="H115" s="17"/>
      <c r="I115" s="15" t="s">
        <v>1048</v>
      </c>
      <c r="J115" s="15" t="s">
        <v>953</v>
      </c>
    </row>
    <row r="116" customFormat="false" ht="41.75" hidden="false" customHeight="false" outlineLevel="0" collapsed="false">
      <c r="A116" s="15" t="s">
        <v>141</v>
      </c>
      <c r="B116" s="15" t="s">
        <v>254</v>
      </c>
      <c r="C116" s="15" t="s">
        <v>122</v>
      </c>
      <c r="D116" s="15" t="s">
        <v>195</v>
      </c>
      <c r="E116" s="17" t="s">
        <v>208</v>
      </c>
      <c r="F116" s="15" t="n">
        <v>2010</v>
      </c>
      <c r="G116" s="15" t="n">
        <v>1000</v>
      </c>
      <c r="H116" s="17" t="s">
        <v>256</v>
      </c>
      <c r="I116" s="15" t="s">
        <v>1049</v>
      </c>
      <c r="J116" s="15" t="s">
        <v>257</v>
      </c>
    </row>
    <row r="117" customFormat="false" ht="28.35" hidden="false" customHeight="false" outlineLevel="0" collapsed="false">
      <c r="A117" s="15" t="s">
        <v>141</v>
      </c>
      <c r="B117" s="15" t="s">
        <v>259</v>
      </c>
      <c r="C117" s="15" t="s">
        <v>122</v>
      </c>
      <c r="D117" s="15" t="s">
        <v>195</v>
      </c>
      <c r="E117" s="17" t="s">
        <v>260</v>
      </c>
      <c r="F117" s="15" t="n">
        <v>2010</v>
      </c>
      <c r="G117" s="15" t="n">
        <v>250</v>
      </c>
      <c r="H117" s="17" t="s">
        <v>955</v>
      </c>
      <c r="I117" s="15" t="s">
        <v>1050</v>
      </c>
      <c r="J117" s="15" t="s">
        <v>261</v>
      </c>
    </row>
    <row r="118" customFormat="false" ht="55.2" hidden="false" customHeight="false" outlineLevel="0" collapsed="false">
      <c r="A118" s="15" t="s">
        <v>141</v>
      </c>
      <c r="B118" s="15" t="s">
        <v>263</v>
      </c>
      <c r="C118" s="15" t="s">
        <v>120</v>
      </c>
      <c r="D118" s="15" t="s">
        <v>166</v>
      </c>
      <c r="E118" s="17" t="s">
        <v>264</v>
      </c>
      <c r="F118" s="15" t="n">
        <v>2026</v>
      </c>
      <c r="G118" s="15" t="n">
        <v>5000</v>
      </c>
      <c r="H118" s="17"/>
      <c r="I118" s="15" t="s">
        <v>1051</v>
      </c>
      <c r="J118" s="15" t="s">
        <v>265</v>
      </c>
    </row>
    <row r="119" customFormat="false" ht="28.35" hidden="false" customHeight="false" outlineLevel="0" collapsed="false">
      <c r="A119" s="15" t="s">
        <v>141</v>
      </c>
      <c r="B119" s="15" t="s">
        <v>267</v>
      </c>
      <c r="C119" s="15" t="s">
        <v>120</v>
      </c>
      <c r="D119" s="15" t="s">
        <v>166</v>
      </c>
      <c r="E119" s="17" t="s">
        <v>334</v>
      </c>
      <c r="F119" s="15" t="n">
        <v>2014</v>
      </c>
      <c r="G119" s="15" t="n">
        <v>2000</v>
      </c>
      <c r="H119" s="17"/>
      <c r="I119" s="15" t="s">
        <v>1052</v>
      </c>
      <c r="J119" s="15" t="s">
        <v>1053</v>
      </c>
    </row>
    <row r="120" customFormat="false" ht="15" hidden="false" customHeight="false" outlineLevel="0" collapsed="false">
      <c r="A120" s="15" t="s">
        <v>141</v>
      </c>
      <c r="B120" s="15" t="s">
        <v>267</v>
      </c>
      <c r="C120" s="15" t="s">
        <v>120</v>
      </c>
      <c r="D120" s="15" t="s">
        <v>508</v>
      </c>
      <c r="E120" s="17" t="s">
        <v>958</v>
      </c>
      <c r="F120" s="15" t="n">
        <v>2024</v>
      </c>
      <c r="G120" s="15" t="n">
        <v>21000</v>
      </c>
      <c r="H120" s="17"/>
      <c r="I120" s="15" t="s">
        <v>1054</v>
      </c>
      <c r="J120" s="15" t="s">
        <v>960</v>
      </c>
    </row>
    <row r="121" customFormat="false" ht="55.2" hidden="false" customHeight="false" outlineLevel="0" collapsed="false">
      <c r="A121" s="15" t="s">
        <v>141</v>
      </c>
      <c r="B121" s="15" t="s">
        <v>286</v>
      </c>
      <c r="C121" s="15" t="s">
        <v>120</v>
      </c>
      <c r="D121" s="15" t="s">
        <v>166</v>
      </c>
      <c r="E121" s="17" t="s">
        <v>287</v>
      </c>
      <c r="F121" s="15" t="n">
        <v>2025</v>
      </c>
      <c r="G121" s="15" t="n">
        <v>3000</v>
      </c>
      <c r="H121" s="17"/>
      <c r="I121" s="15" t="s">
        <v>1055</v>
      </c>
      <c r="J121" s="15" t="s">
        <v>965</v>
      </c>
    </row>
    <row r="122" customFormat="false" ht="28.35" hidden="false" customHeight="false" outlineLevel="0" collapsed="false">
      <c r="A122" s="15" t="s">
        <v>141</v>
      </c>
      <c r="B122" s="15" t="s">
        <v>294</v>
      </c>
      <c r="C122" s="15" t="s">
        <v>120</v>
      </c>
      <c r="D122" s="15" t="s">
        <v>166</v>
      </c>
      <c r="E122" s="17" t="s">
        <v>296</v>
      </c>
      <c r="F122" s="15" t="n">
        <v>2018</v>
      </c>
      <c r="G122" s="15" t="n">
        <v>6000</v>
      </c>
      <c r="H122" s="17"/>
      <c r="I122" s="15" t="s">
        <v>1056</v>
      </c>
      <c r="J122" s="15" t="s">
        <v>297</v>
      </c>
    </row>
    <row r="123" customFormat="false" ht="15" hidden="false" customHeight="false" outlineLevel="0" collapsed="false">
      <c r="A123" s="15" t="s">
        <v>141</v>
      </c>
      <c r="B123" s="15" t="s">
        <v>303</v>
      </c>
      <c r="C123" s="15" t="s">
        <v>120</v>
      </c>
      <c r="D123" s="15" t="s">
        <v>166</v>
      </c>
      <c r="E123" s="17" t="s">
        <v>305</v>
      </c>
      <c r="F123" s="15" t="n">
        <v>2026</v>
      </c>
      <c r="G123" s="15" t="n">
        <v>250</v>
      </c>
      <c r="H123" s="17"/>
      <c r="I123" s="15" t="s">
        <v>1057</v>
      </c>
      <c r="J123" s="15" t="s">
        <v>306</v>
      </c>
    </row>
    <row r="124" customFormat="false" ht="28.35" hidden="false" customHeight="false" outlineLevel="0" collapsed="false">
      <c r="A124" s="15" t="s">
        <v>141</v>
      </c>
      <c r="B124" s="15" t="s">
        <v>311</v>
      </c>
      <c r="C124" s="15" t="s">
        <v>122</v>
      </c>
      <c r="D124" s="15" t="s">
        <v>195</v>
      </c>
      <c r="E124" s="17" t="s">
        <v>260</v>
      </c>
      <c r="F124" s="15" t="n">
        <v>2014</v>
      </c>
      <c r="G124" s="15" t="n">
        <v>250</v>
      </c>
      <c r="H124" s="17" t="s">
        <v>313</v>
      </c>
      <c r="I124" s="15" t="s">
        <v>1058</v>
      </c>
      <c r="J124" s="15" t="s">
        <v>314</v>
      </c>
    </row>
    <row r="125" customFormat="false" ht="28.35" hidden="false" customHeight="false" outlineLevel="0" collapsed="false">
      <c r="A125" s="15" t="s">
        <v>141</v>
      </c>
      <c r="B125" s="15" t="s">
        <v>316</v>
      </c>
      <c r="C125" s="15" t="s">
        <v>120</v>
      </c>
      <c r="D125" s="15" t="s">
        <v>166</v>
      </c>
      <c r="E125" s="17" t="s">
        <v>318</v>
      </c>
      <c r="F125" s="15" t="n">
        <v>2024</v>
      </c>
      <c r="G125" s="15" t="n">
        <v>5000</v>
      </c>
      <c r="H125" s="17"/>
      <c r="I125" s="15" t="s">
        <v>1059</v>
      </c>
      <c r="J125" s="15" t="s">
        <v>319</v>
      </c>
    </row>
    <row r="126" customFormat="false" ht="15" hidden="false" customHeight="false" outlineLevel="0" collapsed="false">
      <c r="A126" s="15" t="s">
        <v>141</v>
      </c>
      <c r="B126" s="15" t="s">
        <v>324</v>
      </c>
      <c r="C126" s="15" t="s">
        <v>120</v>
      </c>
      <c r="D126" s="15" t="s">
        <v>166</v>
      </c>
      <c r="E126" s="17" t="s">
        <v>260</v>
      </c>
      <c r="F126" s="15" t="n">
        <v>2014</v>
      </c>
      <c r="G126" s="15" t="n">
        <v>250</v>
      </c>
      <c r="H126" s="17"/>
      <c r="I126" s="15" t="s">
        <v>1060</v>
      </c>
      <c r="J126" s="15" t="s">
        <v>326</v>
      </c>
    </row>
    <row r="127" customFormat="false" ht="28.35" hidden="false" customHeight="false" outlineLevel="0" collapsed="false">
      <c r="A127" s="15" t="s">
        <v>141</v>
      </c>
      <c r="B127" s="15" t="s">
        <v>332</v>
      </c>
      <c r="C127" s="15" t="s">
        <v>120</v>
      </c>
      <c r="D127" s="15" t="s">
        <v>166</v>
      </c>
      <c r="E127" s="17" t="s">
        <v>334</v>
      </c>
      <c r="F127" s="15" t="n">
        <v>2018</v>
      </c>
      <c r="G127" s="15" t="n">
        <v>8000</v>
      </c>
      <c r="H127" s="17"/>
      <c r="I127" s="15" t="s">
        <v>1061</v>
      </c>
      <c r="J127" s="15" t="s">
        <v>335</v>
      </c>
    </row>
    <row r="128" customFormat="false" ht="28.35" hidden="false" customHeight="false" outlineLevel="0" collapsed="false">
      <c r="A128" s="15" t="s">
        <v>141</v>
      </c>
      <c r="B128" s="15" t="s">
        <v>346</v>
      </c>
      <c r="C128" s="15" t="s">
        <v>120</v>
      </c>
      <c r="D128" s="15" t="s">
        <v>166</v>
      </c>
      <c r="E128" s="17" t="s">
        <v>348</v>
      </c>
      <c r="F128" s="15" t="n">
        <v>2020</v>
      </c>
      <c r="G128" s="15" t="n">
        <v>2000</v>
      </c>
      <c r="H128" s="17"/>
      <c r="I128" s="15" t="s">
        <v>1062</v>
      </c>
      <c r="J128" s="15" t="s">
        <v>349</v>
      </c>
    </row>
    <row r="129" customFormat="false" ht="15" hidden="false" customHeight="false" outlineLevel="0" collapsed="false">
      <c r="A129" s="15" t="s">
        <v>141</v>
      </c>
      <c r="B129" s="15" t="s">
        <v>358</v>
      </c>
      <c r="C129" s="15" t="s">
        <v>120</v>
      </c>
      <c r="D129" s="15" t="s">
        <v>166</v>
      </c>
      <c r="E129" s="17" t="s">
        <v>552</v>
      </c>
      <c r="F129" s="15" t="n">
        <v>2024</v>
      </c>
      <c r="G129" s="15" t="n">
        <v>500</v>
      </c>
      <c r="H129" s="17"/>
      <c r="I129" s="15" t="s">
        <v>1063</v>
      </c>
      <c r="J129" s="15" t="s">
        <v>1064</v>
      </c>
    </row>
    <row r="130" customFormat="false" ht="15" hidden="false" customHeight="false" outlineLevel="0" collapsed="false">
      <c r="A130" s="15" t="s">
        <v>141</v>
      </c>
      <c r="B130" s="15" t="s">
        <v>369</v>
      </c>
      <c r="C130" s="15" t="s">
        <v>120</v>
      </c>
      <c r="D130" s="15" t="s">
        <v>166</v>
      </c>
      <c r="E130" s="17" t="s">
        <v>279</v>
      </c>
      <c r="F130" s="15" t="n">
        <v>2016</v>
      </c>
      <c r="G130" s="15" t="n">
        <v>250</v>
      </c>
      <c r="H130" s="17"/>
      <c r="I130" s="15" t="s">
        <v>371</v>
      </c>
      <c r="J130" s="15" t="s">
        <v>370</v>
      </c>
    </row>
    <row r="131" customFormat="false" ht="28.35" hidden="false" customHeight="false" outlineLevel="0" collapsed="false">
      <c r="A131" s="15" t="s">
        <v>141</v>
      </c>
      <c r="B131" s="15" t="s">
        <v>382</v>
      </c>
      <c r="C131" s="15" t="s">
        <v>120</v>
      </c>
      <c r="D131" s="15" t="s">
        <v>166</v>
      </c>
      <c r="E131" s="17" t="s">
        <v>379</v>
      </c>
      <c r="F131" s="15" t="n">
        <v>2018</v>
      </c>
      <c r="G131" s="15" t="n">
        <v>3000</v>
      </c>
      <c r="H131" s="17"/>
      <c r="I131" s="15" t="s">
        <v>1065</v>
      </c>
      <c r="J131" s="15" t="s">
        <v>383</v>
      </c>
    </row>
    <row r="132" customFormat="false" ht="15" hidden="false" customHeight="false" outlineLevel="0" collapsed="false">
      <c r="A132" s="15" t="s">
        <v>141</v>
      </c>
      <c r="B132" s="15" t="s">
        <v>393</v>
      </c>
      <c r="C132" s="15" t="s">
        <v>120</v>
      </c>
      <c r="D132" s="15" t="s">
        <v>166</v>
      </c>
      <c r="E132" s="17" t="s">
        <v>279</v>
      </c>
      <c r="F132" s="15" t="n">
        <v>2018</v>
      </c>
      <c r="G132" s="15" t="n">
        <v>1000</v>
      </c>
      <c r="H132" s="17"/>
      <c r="I132" s="15" t="s">
        <v>1066</v>
      </c>
      <c r="J132" s="15" t="s">
        <v>394</v>
      </c>
    </row>
    <row r="133" customFormat="false" ht="15" hidden="false" customHeight="false" outlineLevel="0" collapsed="false">
      <c r="A133" s="15" t="s">
        <v>141</v>
      </c>
      <c r="B133" s="15" t="s">
        <v>405</v>
      </c>
      <c r="C133" s="15" t="s">
        <v>120</v>
      </c>
      <c r="D133" s="15" t="s">
        <v>166</v>
      </c>
      <c r="E133" s="17" t="s">
        <v>279</v>
      </c>
      <c r="F133" s="15" t="n">
        <v>2018</v>
      </c>
      <c r="G133" s="15" t="n">
        <v>12000</v>
      </c>
      <c r="H133" s="17"/>
      <c r="I133" s="15" t="s">
        <v>1067</v>
      </c>
      <c r="J133" s="15" t="s">
        <v>1028</v>
      </c>
    </row>
    <row r="134" customFormat="false" ht="28.35" hidden="false" customHeight="false" outlineLevel="0" collapsed="false">
      <c r="A134" s="15" t="s">
        <v>141</v>
      </c>
      <c r="B134" s="15" t="s">
        <v>431</v>
      </c>
      <c r="C134" s="15" t="s">
        <v>120</v>
      </c>
      <c r="D134" s="15" t="s">
        <v>166</v>
      </c>
      <c r="E134" s="17" t="s">
        <v>432</v>
      </c>
      <c r="F134" s="15" t="n">
        <v>2026</v>
      </c>
      <c r="G134" s="15" t="n">
        <v>3000</v>
      </c>
      <c r="H134" s="17"/>
      <c r="I134" s="15" t="s">
        <v>1068</v>
      </c>
      <c r="J134" s="15" t="s">
        <v>433</v>
      </c>
    </row>
    <row r="135" customFormat="false" ht="55.2" hidden="false" customHeight="false" outlineLevel="0" collapsed="false">
      <c r="A135" s="15" t="s">
        <v>141</v>
      </c>
      <c r="B135" s="15" t="s">
        <v>435</v>
      </c>
      <c r="C135" s="15" t="s">
        <v>120</v>
      </c>
      <c r="D135" s="15" t="s">
        <v>166</v>
      </c>
      <c r="E135" s="17" t="s">
        <v>437</v>
      </c>
      <c r="F135" s="15" t="n">
        <v>2026</v>
      </c>
      <c r="G135" s="15" t="n">
        <v>10000</v>
      </c>
      <c r="H135" s="17"/>
      <c r="I135" s="15" t="s">
        <v>1069</v>
      </c>
      <c r="J135" s="15" t="s">
        <v>438</v>
      </c>
    </row>
    <row r="136" customFormat="false" ht="28.35" hidden="false" customHeight="false" outlineLevel="0" collapsed="false">
      <c r="A136" s="15" t="s">
        <v>141</v>
      </c>
      <c r="B136" s="15" t="s">
        <v>443</v>
      </c>
      <c r="C136" s="15" t="s">
        <v>120</v>
      </c>
      <c r="D136" s="15" t="s">
        <v>166</v>
      </c>
      <c r="E136" s="17" t="s">
        <v>418</v>
      </c>
      <c r="F136" s="15" t="n">
        <v>2026</v>
      </c>
      <c r="G136" s="15" t="n">
        <v>500</v>
      </c>
      <c r="H136" s="17"/>
      <c r="I136" s="15" t="s">
        <v>1070</v>
      </c>
      <c r="J136" s="15" t="s">
        <v>445</v>
      </c>
    </row>
    <row r="137" customFormat="false" ht="15" hidden="false" customHeight="false" outlineLevel="0" collapsed="false">
      <c r="A137" s="15" t="s">
        <v>141</v>
      </c>
      <c r="B137" s="15" t="s">
        <v>450</v>
      </c>
      <c r="C137" s="15" t="s">
        <v>120</v>
      </c>
      <c r="D137" s="15" t="s">
        <v>166</v>
      </c>
      <c r="E137" s="17" t="s">
        <v>279</v>
      </c>
      <c r="F137" s="15" t="n">
        <v>2018</v>
      </c>
      <c r="G137" s="15" t="n">
        <v>250</v>
      </c>
      <c r="H137" s="17"/>
      <c r="I137" s="15" t="s">
        <v>1071</v>
      </c>
      <c r="J137" s="15" t="s">
        <v>451</v>
      </c>
    </row>
    <row r="138" customFormat="false" ht="15" hidden="false" customHeight="false" outlineLevel="0" collapsed="false">
      <c r="A138" s="15" t="s">
        <v>141</v>
      </c>
      <c r="B138" s="15" t="s">
        <v>453</v>
      </c>
      <c r="C138" s="15" t="s">
        <v>120</v>
      </c>
      <c r="D138" s="15" t="s">
        <v>166</v>
      </c>
      <c r="E138" s="17" t="s">
        <v>279</v>
      </c>
      <c r="F138" s="15" t="n">
        <v>2018</v>
      </c>
      <c r="G138" s="15" t="n">
        <v>2000</v>
      </c>
      <c r="H138" s="17"/>
      <c r="I138" s="15" t="s">
        <v>1072</v>
      </c>
      <c r="J138" s="15" t="s">
        <v>454</v>
      </c>
    </row>
    <row r="139" customFormat="false" ht="15" hidden="false" customHeight="false" outlineLevel="0" collapsed="false">
      <c r="A139" s="15" t="s">
        <v>141</v>
      </c>
      <c r="B139" s="15" t="s">
        <v>456</v>
      </c>
      <c r="C139" s="15" t="s">
        <v>120</v>
      </c>
      <c r="D139" s="15" t="s">
        <v>166</v>
      </c>
      <c r="E139" s="17" t="s">
        <v>279</v>
      </c>
      <c r="F139" s="15" t="n">
        <v>2018</v>
      </c>
      <c r="G139" s="15" t="n">
        <v>250</v>
      </c>
      <c r="H139" s="17"/>
      <c r="I139" s="15" t="s">
        <v>1073</v>
      </c>
      <c r="J139" s="15" t="s">
        <v>457</v>
      </c>
    </row>
    <row r="140" customFormat="false" ht="28.35" hidden="false" customHeight="false" outlineLevel="0" collapsed="false">
      <c r="A140" s="15" t="s">
        <v>141</v>
      </c>
      <c r="B140" s="15" t="s">
        <v>459</v>
      </c>
      <c r="C140" s="15" t="s">
        <v>120</v>
      </c>
      <c r="D140" s="15" t="s">
        <v>166</v>
      </c>
      <c r="E140" s="17" t="s">
        <v>418</v>
      </c>
      <c r="F140" s="15" t="n">
        <v>2024</v>
      </c>
      <c r="G140" s="15" t="n">
        <v>4000</v>
      </c>
      <c r="H140" s="17"/>
      <c r="I140" s="15" t="s">
        <v>1074</v>
      </c>
      <c r="J140" s="15" t="s">
        <v>461</v>
      </c>
    </row>
    <row r="141" customFormat="false" ht="41.75" hidden="false" customHeight="false" outlineLevel="0" collapsed="false">
      <c r="A141" s="15" t="s">
        <v>141</v>
      </c>
      <c r="B141" s="15" t="s">
        <v>478</v>
      </c>
      <c r="C141" s="15" t="s">
        <v>122</v>
      </c>
      <c r="D141" s="15" t="s">
        <v>195</v>
      </c>
      <c r="E141" s="17" t="s">
        <v>279</v>
      </c>
      <c r="F141" s="15" t="n">
        <v>2018</v>
      </c>
      <c r="G141" s="15" t="n">
        <v>1000</v>
      </c>
      <c r="H141" s="17" t="s">
        <v>479</v>
      </c>
      <c r="I141" s="15" t="s">
        <v>1075</v>
      </c>
      <c r="J141" s="15" t="s">
        <v>480</v>
      </c>
    </row>
    <row r="142" customFormat="false" ht="15" hidden="false" customHeight="false" outlineLevel="0" collapsed="false">
      <c r="A142" s="15" t="s">
        <v>141</v>
      </c>
      <c r="B142" s="15" t="s">
        <v>489</v>
      </c>
      <c r="C142" s="15" t="s">
        <v>120</v>
      </c>
      <c r="D142" s="15" t="s">
        <v>166</v>
      </c>
      <c r="E142" s="17" t="s">
        <v>279</v>
      </c>
      <c r="F142" s="15" t="n">
        <v>2018</v>
      </c>
      <c r="G142" s="15" t="n">
        <v>250</v>
      </c>
      <c r="H142" s="17"/>
      <c r="I142" s="15" t="s">
        <v>491</v>
      </c>
      <c r="J142" s="15" t="s">
        <v>490</v>
      </c>
    </row>
    <row r="143" customFormat="false" ht="15" hidden="false" customHeight="false" outlineLevel="0" collapsed="false">
      <c r="A143" s="15" t="s">
        <v>141</v>
      </c>
      <c r="B143" s="15" t="s">
        <v>495</v>
      </c>
      <c r="C143" s="15" t="s">
        <v>120</v>
      </c>
      <c r="D143" s="15" t="s">
        <v>166</v>
      </c>
      <c r="E143" s="17" t="s">
        <v>279</v>
      </c>
      <c r="F143" s="15" t="n">
        <v>2018</v>
      </c>
      <c r="G143" s="15" t="n">
        <v>3000</v>
      </c>
      <c r="H143" s="17"/>
      <c r="I143" s="15" t="s">
        <v>1076</v>
      </c>
      <c r="J143" s="15" t="s">
        <v>496</v>
      </c>
    </row>
    <row r="144" customFormat="false" ht="15" hidden="false" customHeight="false" outlineLevel="0" collapsed="false">
      <c r="A144" s="15" t="s">
        <v>141</v>
      </c>
      <c r="B144" s="15" t="s">
        <v>501</v>
      </c>
      <c r="C144" s="15" t="s">
        <v>120</v>
      </c>
      <c r="D144" s="15" t="s">
        <v>166</v>
      </c>
      <c r="E144" s="17" t="s">
        <v>279</v>
      </c>
      <c r="F144" s="15" t="n">
        <v>2018</v>
      </c>
      <c r="G144" s="15" t="n">
        <v>1000</v>
      </c>
      <c r="H144" s="17"/>
      <c r="I144" s="15" t="s">
        <v>1077</v>
      </c>
      <c r="J144" s="15" t="s">
        <v>502</v>
      </c>
    </row>
    <row r="145" customFormat="false" ht="28.35" hidden="false" customHeight="false" outlineLevel="0" collapsed="false">
      <c r="A145" s="15" t="s">
        <v>141</v>
      </c>
      <c r="B145" s="15" t="s">
        <v>515</v>
      </c>
      <c r="C145" s="15" t="s">
        <v>120</v>
      </c>
      <c r="D145" s="15" t="s">
        <v>201</v>
      </c>
      <c r="E145" s="17" t="s">
        <v>517</v>
      </c>
      <c r="F145" s="15" t="n">
        <v>2026</v>
      </c>
      <c r="G145" s="15" t="n">
        <v>2000</v>
      </c>
      <c r="H145" s="17"/>
      <c r="I145" s="15" t="s">
        <v>1078</v>
      </c>
      <c r="J145" s="15" t="s">
        <v>518</v>
      </c>
    </row>
    <row r="146" customFormat="false" ht="28.35" hidden="false" customHeight="false" outlineLevel="0" collapsed="false">
      <c r="A146" s="15" t="s">
        <v>141</v>
      </c>
      <c r="B146" s="15" t="s">
        <v>538</v>
      </c>
      <c r="C146" s="15" t="s">
        <v>120</v>
      </c>
      <c r="D146" s="15" t="s">
        <v>201</v>
      </c>
      <c r="E146" s="17" t="s">
        <v>539</v>
      </c>
      <c r="F146" s="15" t="n">
        <v>2026</v>
      </c>
      <c r="G146" s="15" t="n">
        <v>6000</v>
      </c>
      <c r="H146" s="17"/>
      <c r="I146" s="15" t="s">
        <v>1079</v>
      </c>
      <c r="J146" s="15" t="s">
        <v>540</v>
      </c>
    </row>
    <row r="147" customFormat="false" ht="15" hidden="false" customHeight="false" outlineLevel="0" collapsed="false">
      <c r="A147" s="15" t="s">
        <v>141</v>
      </c>
      <c r="B147" s="15" t="s">
        <v>561</v>
      </c>
      <c r="C147" s="15" t="s">
        <v>120</v>
      </c>
      <c r="D147" s="15" t="s">
        <v>166</v>
      </c>
      <c r="E147" s="17" t="s">
        <v>562</v>
      </c>
      <c r="F147" s="15" t="n">
        <v>2024</v>
      </c>
      <c r="G147" s="15" t="n">
        <v>250</v>
      </c>
      <c r="H147" s="17"/>
      <c r="I147" s="15" t="s">
        <v>1080</v>
      </c>
      <c r="J147" s="15" t="s">
        <v>563</v>
      </c>
    </row>
    <row r="148" customFormat="false" ht="41.75" hidden="false" customHeight="false" outlineLevel="0" collapsed="false">
      <c r="A148" s="15" t="s">
        <v>141</v>
      </c>
      <c r="B148" s="15" t="s">
        <v>572</v>
      </c>
      <c r="C148" s="15" t="s">
        <v>120</v>
      </c>
      <c r="D148" s="15" t="s">
        <v>201</v>
      </c>
      <c r="E148" s="17" t="s">
        <v>573</v>
      </c>
      <c r="F148" s="15" t="n">
        <v>2026</v>
      </c>
      <c r="G148" s="15" t="n">
        <v>19000</v>
      </c>
      <c r="H148" s="17"/>
      <c r="I148" s="15" t="s">
        <v>1081</v>
      </c>
      <c r="J148" s="15" t="s">
        <v>574</v>
      </c>
    </row>
    <row r="149" customFormat="false" ht="28.35" hidden="false" customHeight="false" outlineLevel="0" collapsed="false">
      <c r="A149" s="15" t="s">
        <v>141</v>
      </c>
      <c r="B149" s="15" t="s">
        <v>576</v>
      </c>
      <c r="C149" s="15" t="s">
        <v>120</v>
      </c>
      <c r="D149" s="15" t="s">
        <v>166</v>
      </c>
      <c r="E149" s="17" t="s">
        <v>578</v>
      </c>
      <c r="F149" s="15" t="n">
        <v>2024</v>
      </c>
      <c r="G149" s="15" t="n">
        <v>13000</v>
      </c>
      <c r="H149" s="17"/>
      <c r="I149" s="15" t="s">
        <v>1082</v>
      </c>
      <c r="J149" s="15" t="s">
        <v>579</v>
      </c>
    </row>
    <row r="150" customFormat="false" ht="15" hidden="false" customHeight="false" outlineLevel="0" collapsed="false">
      <c r="A150" s="15" t="s">
        <v>141</v>
      </c>
      <c r="B150" s="15" t="s">
        <v>610</v>
      </c>
      <c r="C150" s="15" t="s">
        <v>120</v>
      </c>
      <c r="D150" s="15" t="s">
        <v>166</v>
      </c>
      <c r="E150" s="17" t="s">
        <v>612</v>
      </c>
      <c r="F150" s="15" t="n">
        <v>2026</v>
      </c>
      <c r="G150" s="15" t="n">
        <v>3000</v>
      </c>
      <c r="H150" s="17"/>
      <c r="I150" s="15" t="s">
        <v>1083</v>
      </c>
      <c r="J150" s="15" t="s">
        <v>613</v>
      </c>
    </row>
    <row r="151" customFormat="false" ht="15" hidden="false" customHeight="false" outlineLevel="0" collapsed="false">
      <c r="A151" s="15" t="s">
        <v>141</v>
      </c>
      <c r="B151" s="15" t="s">
        <v>621</v>
      </c>
      <c r="C151" s="15" t="s">
        <v>120</v>
      </c>
      <c r="D151" s="15" t="s">
        <v>166</v>
      </c>
      <c r="E151" s="17" t="s">
        <v>475</v>
      </c>
      <c r="F151" s="15" t="n">
        <v>2026</v>
      </c>
      <c r="G151" s="15" t="n">
        <v>250</v>
      </c>
      <c r="H151" s="17"/>
      <c r="I151" s="15" t="s">
        <v>1084</v>
      </c>
      <c r="J151" s="15" t="s">
        <v>622</v>
      </c>
    </row>
    <row r="152" customFormat="false" ht="15" hidden="false" customHeight="false" outlineLevel="0" collapsed="false">
      <c r="A152" s="15" t="s">
        <v>141</v>
      </c>
      <c r="B152" s="15" t="s">
        <v>624</v>
      </c>
      <c r="C152" s="15" t="s">
        <v>120</v>
      </c>
      <c r="D152" s="15" t="s">
        <v>166</v>
      </c>
      <c r="E152" s="17" t="s">
        <v>475</v>
      </c>
      <c r="F152" s="15" t="n">
        <v>2026</v>
      </c>
      <c r="G152" s="15" t="n">
        <v>250</v>
      </c>
      <c r="H152" s="17"/>
      <c r="I152" s="15" t="s">
        <v>1085</v>
      </c>
      <c r="J152" s="15" t="s">
        <v>625</v>
      </c>
    </row>
    <row r="153" customFormat="false" ht="15" hidden="false" customHeight="false" outlineLevel="0" collapsed="false">
      <c r="A153" s="15" t="s">
        <v>142</v>
      </c>
      <c r="B153" s="15" t="s">
        <v>207</v>
      </c>
      <c r="C153" s="15" t="s">
        <v>120</v>
      </c>
      <c r="D153" s="15" t="s">
        <v>166</v>
      </c>
      <c r="E153" s="17" t="s">
        <v>208</v>
      </c>
      <c r="F153" s="15" t="n">
        <v>2010</v>
      </c>
      <c r="G153" s="15" t="n">
        <v>500</v>
      </c>
      <c r="H153" s="17"/>
      <c r="I153" s="15" t="s">
        <v>210</v>
      </c>
      <c r="J153" s="15" t="s">
        <v>209</v>
      </c>
    </row>
    <row r="154" customFormat="false" ht="28.35" hidden="false" customHeight="false" outlineLevel="0" collapsed="false">
      <c r="A154" s="15" t="s">
        <v>142</v>
      </c>
      <c r="B154" s="15" t="s">
        <v>232</v>
      </c>
      <c r="C154" s="15" t="s">
        <v>120</v>
      </c>
      <c r="D154" s="15" t="s">
        <v>201</v>
      </c>
      <c r="E154" s="17" t="s">
        <v>1086</v>
      </c>
      <c r="F154" s="15" t="n">
        <v>2024</v>
      </c>
      <c r="G154" s="15" t="n">
        <v>42000</v>
      </c>
      <c r="H154" s="17"/>
      <c r="I154" s="15" t="s">
        <v>1087</v>
      </c>
      <c r="J154" s="15" t="s">
        <v>1088</v>
      </c>
    </row>
    <row r="155" customFormat="false" ht="15" hidden="false" customHeight="false" outlineLevel="0" collapsed="false">
      <c r="A155" s="15" t="s">
        <v>142</v>
      </c>
      <c r="B155" s="15" t="s">
        <v>272</v>
      </c>
      <c r="C155" s="15" t="s">
        <v>120</v>
      </c>
      <c r="D155" s="15" t="s">
        <v>166</v>
      </c>
      <c r="E155" s="17" t="s">
        <v>329</v>
      </c>
      <c r="F155" s="15" t="n">
        <v>2014</v>
      </c>
      <c r="G155" s="15" t="n">
        <v>500</v>
      </c>
      <c r="H155" s="17"/>
      <c r="I155" s="15" t="s">
        <v>1089</v>
      </c>
      <c r="J155" s="15" t="s">
        <v>1019</v>
      </c>
    </row>
    <row r="156" customFormat="false" ht="28.35" hidden="false" customHeight="false" outlineLevel="0" collapsed="false">
      <c r="A156" s="15" t="s">
        <v>142</v>
      </c>
      <c r="B156" s="15" t="s">
        <v>290</v>
      </c>
      <c r="C156" s="15" t="s">
        <v>120</v>
      </c>
      <c r="D156" s="15" t="s">
        <v>166</v>
      </c>
      <c r="E156" s="17" t="s">
        <v>291</v>
      </c>
      <c r="F156" s="15" t="n">
        <v>2022</v>
      </c>
      <c r="G156" s="15" t="n">
        <v>1000</v>
      </c>
      <c r="H156" s="17"/>
      <c r="I156" s="15" t="s">
        <v>293</v>
      </c>
      <c r="J156" s="15" t="s">
        <v>292</v>
      </c>
    </row>
    <row r="157" customFormat="false" ht="41.75" hidden="false" customHeight="false" outlineLevel="0" collapsed="false">
      <c r="A157" s="15" t="s">
        <v>142</v>
      </c>
      <c r="B157" s="15" t="s">
        <v>299</v>
      </c>
      <c r="C157" s="15" t="s">
        <v>120</v>
      </c>
      <c r="D157" s="15" t="s">
        <v>166</v>
      </c>
      <c r="E157" s="17" t="s">
        <v>300</v>
      </c>
      <c r="F157" s="15" t="n">
        <v>2026</v>
      </c>
      <c r="G157" s="15" t="n">
        <v>1000</v>
      </c>
      <c r="H157" s="17"/>
      <c r="I157" s="15" t="s">
        <v>302</v>
      </c>
      <c r="J157" s="15" t="s">
        <v>301</v>
      </c>
    </row>
    <row r="158" customFormat="false" ht="15" hidden="false" customHeight="false" outlineLevel="0" collapsed="false">
      <c r="A158" s="15" t="s">
        <v>142</v>
      </c>
      <c r="B158" s="15" t="s">
        <v>303</v>
      </c>
      <c r="C158" s="15" t="s">
        <v>120</v>
      </c>
      <c r="D158" s="15" t="s">
        <v>166</v>
      </c>
      <c r="E158" s="17" t="s">
        <v>305</v>
      </c>
      <c r="F158" s="15" t="n">
        <v>2026</v>
      </c>
      <c r="G158" s="15" t="n">
        <v>250</v>
      </c>
      <c r="H158" s="17"/>
      <c r="I158" s="15" t="s">
        <v>1090</v>
      </c>
      <c r="J158" s="15" t="s">
        <v>306</v>
      </c>
    </row>
    <row r="159" customFormat="false" ht="28.35" hidden="false" customHeight="false" outlineLevel="0" collapsed="false">
      <c r="A159" s="15" t="s">
        <v>142</v>
      </c>
      <c r="B159" s="15" t="s">
        <v>311</v>
      </c>
      <c r="C159" s="15" t="s">
        <v>122</v>
      </c>
      <c r="D159" s="15" t="s">
        <v>195</v>
      </c>
      <c r="E159" s="17" t="s">
        <v>260</v>
      </c>
      <c r="F159" s="15" t="n">
        <v>2014</v>
      </c>
      <c r="G159" s="15" t="n">
        <v>250</v>
      </c>
      <c r="H159" s="17" t="s">
        <v>313</v>
      </c>
      <c r="I159" s="15" t="s">
        <v>1091</v>
      </c>
      <c r="J159" s="15" t="s">
        <v>314</v>
      </c>
    </row>
    <row r="160" customFormat="false" ht="15" hidden="false" customHeight="false" outlineLevel="0" collapsed="false">
      <c r="A160" s="15" t="s">
        <v>142</v>
      </c>
      <c r="B160" s="15" t="s">
        <v>324</v>
      </c>
      <c r="C160" s="15" t="s">
        <v>120</v>
      </c>
      <c r="D160" s="15" t="s">
        <v>166</v>
      </c>
      <c r="E160" s="17" t="s">
        <v>260</v>
      </c>
      <c r="F160" s="15" t="n">
        <v>2014</v>
      </c>
      <c r="G160" s="15" t="n">
        <v>250</v>
      </c>
      <c r="H160" s="17"/>
      <c r="I160" s="15" t="s">
        <v>1092</v>
      </c>
      <c r="J160" s="15" t="s">
        <v>326</v>
      </c>
    </row>
    <row r="161" customFormat="false" ht="28.35" hidden="false" customHeight="false" outlineLevel="0" collapsed="false">
      <c r="A161" s="15" t="s">
        <v>142</v>
      </c>
      <c r="B161" s="15" t="s">
        <v>332</v>
      </c>
      <c r="C161" s="15" t="s">
        <v>120</v>
      </c>
      <c r="D161" s="15" t="s">
        <v>166</v>
      </c>
      <c r="E161" s="17" t="s">
        <v>334</v>
      </c>
      <c r="F161" s="15" t="n">
        <v>2018</v>
      </c>
      <c r="G161" s="15" t="n">
        <v>8000</v>
      </c>
      <c r="H161" s="17"/>
      <c r="I161" s="15" t="s">
        <v>1093</v>
      </c>
      <c r="J161" s="15" t="s">
        <v>335</v>
      </c>
    </row>
    <row r="162" customFormat="false" ht="15" hidden="false" customHeight="false" outlineLevel="0" collapsed="false">
      <c r="A162" s="15" t="s">
        <v>142</v>
      </c>
      <c r="B162" s="15" t="s">
        <v>358</v>
      </c>
      <c r="C162" s="15" t="s">
        <v>120</v>
      </c>
      <c r="D162" s="15" t="s">
        <v>166</v>
      </c>
      <c r="E162" s="17" t="s">
        <v>552</v>
      </c>
      <c r="F162" s="15" t="n">
        <v>2024</v>
      </c>
      <c r="G162" s="15" t="n">
        <v>500</v>
      </c>
      <c r="H162" s="17"/>
      <c r="I162" s="15" t="s">
        <v>1094</v>
      </c>
      <c r="J162" s="15" t="s">
        <v>1064</v>
      </c>
    </row>
    <row r="163" customFormat="false" ht="28.35" hidden="false" customHeight="false" outlineLevel="0" collapsed="false">
      <c r="A163" s="15" t="s">
        <v>142</v>
      </c>
      <c r="B163" s="15" t="s">
        <v>378</v>
      </c>
      <c r="C163" s="15" t="s">
        <v>120</v>
      </c>
      <c r="D163" s="15" t="s">
        <v>166</v>
      </c>
      <c r="E163" s="17" t="s">
        <v>379</v>
      </c>
      <c r="F163" s="15" t="n">
        <v>2017</v>
      </c>
      <c r="G163" s="15" t="n">
        <v>2000</v>
      </c>
      <c r="H163" s="17"/>
      <c r="I163" s="15" t="s">
        <v>381</v>
      </c>
      <c r="J163" s="15" t="s">
        <v>380</v>
      </c>
    </row>
    <row r="164" customFormat="false" ht="15" hidden="false" customHeight="false" outlineLevel="0" collapsed="false">
      <c r="A164" s="15" t="s">
        <v>142</v>
      </c>
      <c r="B164" s="15" t="s">
        <v>405</v>
      </c>
      <c r="C164" s="15" t="s">
        <v>120</v>
      </c>
      <c r="D164" s="15" t="s">
        <v>166</v>
      </c>
      <c r="E164" s="17" t="s">
        <v>279</v>
      </c>
      <c r="F164" s="15" t="n">
        <v>2018</v>
      </c>
      <c r="G164" s="15" t="n">
        <v>12000</v>
      </c>
      <c r="H164" s="17"/>
      <c r="I164" s="15" t="s">
        <v>1095</v>
      </c>
      <c r="J164" s="15" t="s">
        <v>1028</v>
      </c>
    </row>
    <row r="165" customFormat="false" ht="55.2" hidden="false" customHeight="false" outlineLevel="0" collapsed="false">
      <c r="A165" s="15" t="s">
        <v>142</v>
      </c>
      <c r="B165" s="15" t="s">
        <v>435</v>
      </c>
      <c r="C165" s="15" t="s">
        <v>120</v>
      </c>
      <c r="D165" s="15" t="s">
        <v>166</v>
      </c>
      <c r="E165" s="17" t="s">
        <v>437</v>
      </c>
      <c r="F165" s="15" t="n">
        <v>2026</v>
      </c>
      <c r="G165" s="15" t="n">
        <v>10000</v>
      </c>
      <c r="H165" s="17"/>
      <c r="I165" s="15" t="s">
        <v>1096</v>
      </c>
      <c r="J165" s="15" t="s">
        <v>438</v>
      </c>
    </row>
    <row r="166" customFormat="false" ht="28.35" hidden="false" customHeight="false" outlineLevel="0" collapsed="false">
      <c r="A166" s="15" t="s">
        <v>142</v>
      </c>
      <c r="B166" s="15" t="s">
        <v>443</v>
      </c>
      <c r="C166" s="15" t="s">
        <v>120</v>
      </c>
      <c r="D166" s="15" t="s">
        <v>166</v>
      </c>
      <c r="E166" s="17" t="s">
        <v>418</v>
      </c>
      <c r="F166" s="15" t="n">
        <v>2026</v>
      </c>
      <c r="G166" s="15" t="n">
        <v>500</v>
      </c>
      <c r="H166" s="17"/>
      <c r="I166" s="15" t="s">
        <v>1097</v>
      </c>
      <c r="J166" s="15" t="s">
        <v>445</v>
      </c>
    </row>
    <row r="167" customFormat="false" ht="15" hidden="false" customHeight="false" outlineLevel="0" collapsed="false">
      <c r="A167" s="15" t="s">
        <v>142</v>
      </c>
      <c r="B167" s="15" t="s">
        <v>450</v>
      </c>
      <c r="C167" s="15" t="s">
        <v>120</v>
      </c>
      <c r="D167" s="15" t="s">
        <v>166</v>
      </c>
      <c r="E167" s="17" t="s">
        <v>279</v>
      </c>
      <c r="F167" s="15" t="n">
        <v>2018</v>
      </c>
      <c r="G167" s="15" t="n">
        <v>250</v>
      </c>
      <c r="H167" s="17"/>
      <c r="I167" s="15" t="s">
        <v>1098</v>
      </c>
      <c r="J167" s="15" t="s">
        <v>451</v>
      </c>
    </row>
    <row r="168" customFormat="false" ht="28.35" hidden="false" customHeight="false" outlineLevel="0" collapsed="false">
      <c r="A168" s="15" t="s">
        <v>142</v>
      </c>
      <c r="B168" s="15" t="s">
        <v>459</v>
      </c>
      <c r="C168" s="15" t="s">
        <v>120</v>
      </c>
      <c r="D168" s="15" t="s">
        <v>166</v>
      </c>
      <c r="E168" s="17" t="s">
        <v>418</v>
      </c>
      <c r="F168" s="15" t="n">
        <v>2024</v>
      </c>
      <c r="G168" s="15" t="n">
        <v>4000</v>
      </c>
      <c r="H168" s="17"/>
      <c r="I168" s="15" t="s">
        <v>1099</v>
      </c>
      <c r="J168" s="15" t="s">
        <v>461</v>
      </c>
    </row>
    <row r="169" customFormat="false" ht="15" hidden="false" customHeight="false" outlineLevel="0" collapsed="false">
      <c r="A169" s="15" t="s">
        <v>142</v>
      </c>
      <c r="B169" s="15" t="s">
        <v>482</v>
      </c>
      <c r="C169" s="15" t="s">
        <v>120</v>
      </c>
      <c r="D169" s="15" t="s">
        <v>166</v>
      </c>
      <c r="E169" s="17" t="s">
        <v>279</v>
      </c>
      <c r="F169" s="15" t="n">
        <v>2018</v>
      </c>
      <c r="G169" s="15" t="n">
        <v>1000</v>
      </c>
      <c r="H169" s="17"/>
      <c r="I169" s="15" t="s">
        <v>1100</v>
      </c>
      <c r="J169" s="15" t="s">
        <v>484</v>
      </c>
    </row>
    <row r="170" customFormat="false" ht="15" hidden="false" customHeight="false" outlineLevel="0" collapsed="false">
      <c r="A170" s="15" t="s">
        <v>142</v>
      </c>
      <c r="B170" s="15" t="s">
        <v>495</v>
      </c>
      <c r="C170" s="15" t="s">
        <v>120</v>
      </c>
      <c r="D170" s="15" t="s">
        <v>166</v>
      </c>
      <c r="E170" s="17" t="s">
        <v>279</v>
      </c>
      <c r="F170" s="15" t="n">
        <v>2018</v>
      </c>
      <c r="G170" s="15" t="n">
        <v>3000</v>
      </c>
      <c r="H170" s="17"/>
      <c r="I170" s="15" t="s">
        <v>1101</v>
      </c>
      <c r="J170" s="15" t="s">
        <v>496</v>
      </c>
    </row>
    <row r="171" customFormat="false" ht="15" hidden="false" customHeight="false" outlineLevel="0" collapsed="false">
      <c r="A171" s="15" t="s">
        <v>142</v>
      </c>
      <c r="B171" s="15" t="s">
        <v>498</v>
      </c>
      <c r="C171" s="15" t="s">
        <v>120</v>
      </c>
      <c r="D171" s="15" t="s">
        <v>166</v>
      </c>
      <c r="E171" s="17" t="s">
        <v>279</v>
      </c>
      <c r="F171" s="15" t="n">
        <v>2018</v>
      </c>
      <c r="G171" s="15" t="n">
        <v>250</v>
      </c>
      <c r="H171" s="17"/>
      <c r="I171" s="15" t="s">
        <v>500</v>
      </c>
      <c r="J171" s="15" t="s">
        <v>499</v>
      </c>
    </row>
    <row r="172" customFormat="false" ht="28.35" hidden="false" customHeight="false" outlineLevel="0" collapsed="false">
      <c r="A172" s="15" t="s">
        <v>142</v>
      </c>
      <c r="B172" s="15" t="s">
        <v>504</v>
      </c>
      <c r="C172" s="15" t="s">
        <v>120</v>
      </c>
      <c r="D172" s="15" t="s">
        <v>166</v>
      </c>
      <c r="E172" s="17" t="s">
        <v>418</v>
      </c>
      <c r="F172" s="15" t="n">
        <v>2022</v>
      </c>
      <c r="G172" s="15" t="n">
        <v>1000</v>
      </c>
      <c r="H172" s="17"/>
      <c r="I172" s="15" t="s">
        <v>506</v>
      </c>
      <c r="J172" s="15" t="s">
        <v>505</v>
      </c>
    </row>
    <row r="173" customFormat="false" ht="15" hidden="false" customHeight="false" outlineLevel="0" collapsed="false">
      <c r="A173" s="15" t="s">
        <v>142</v>
      </c>
      <c r="B173" s="15" t="s">
        <v>526</v>
      </c>
      <c r="C173" s="15" t="s">
        <v>120</v>
      </c>
      <c r="D173" s="15" t="s">
        <v>166</v>
      </c>
      <c r="E173" s="17" t="s">
        <v>475</v>
      </c>
      <c r="F173" s="15" t="n">
        <v>2022</v>
      </c>
      <c r="G173" s="15" t="n">
        <v>250</v>
      </c>
      <c r="H173" s="17"/>
      <c r="I173" s="15" t="s">
        <v>1102</v>
      </c>
      <c r="J173" s="15" t="s">
        <v>1103</v>
      </c>
    </row>
    <row r="174" customFormat="false" ht="15" hidden="false" customHeight="false" outlineLevel="0" collapsed="false">
      <c r="A174" s="15" t="s">
        <v>142</v>
      </c>
      <c r="B174" s="15" t="s">
        <v>551</v>
      </c>
      <c r="C174" s="15" t="s">
        <v>120</v>
      </c>
      <c r="D174" s="15" t="s">
        <v>166</v>
      </c>
      <c r="E174" s="17" t="s">
        <v>552</v>
      </c>
      <c r="F174" s="15" t="n">
        <v>2024</v>
      </c>
      <c r="G174" s="15" t="n">
        <v>500</v>
      </c>
      <c r="H174" s="17"/>
      <c r="I174" s="15" t="s">
        <v>554</v>
      </c>
      <c r="J174" s="15" t="s">
        <v>553</v>
      </c>
    </row>
    <row r="175" customFormat="false" ht="15" hidden="false" customHeight="false" outlineLevel="0" collapsed="false">
      <c r="A175" s="15" t="s">
        <v>142</v>
      </c>
      <c r="B175" s="15" t="s">
        <v>555</v>
      </c>
      <c r="C175" s="15" t="s">
        <v>120</v>
      </c>
      <c r="D175" s="15" t="s">
        <v>166</v>
      </c>
      <c r="E175" s="17" t="s">
        <v>552</v>
      </c>
      <c r="F175" s="15" t="n">
        <v>2024</v>
      </c>
      <c r="G175" s="15" t="n">
        <v>1000</v>
      </c>
      <c r="H175" s="17"/>
      <c r="I175" s="15" t="s">
        <v>557</v>
      </c>
      <c r="J175" s="15" t="s">
        <v>556</v>
      </c>
    </row>
    <row r="176" customFormat="false" ht="15" hidden="false" customHeight="false" outlineLevel="0" collapsed="false">
      <c r="A176" s="15" t="s">
        <v>142</v>
      </c>
      <c r="B176" s="15" t="s">
        <v>561</v>
      </c>
      <c r="C176" s="15" t="s">
        <v>120</v>
      </c>
      <c r="D176" s="15" t="s">
        <v>166</v>
      </c>
      <c r="E176" s="17" t="s">
        <v>562</v>
      </c>
      <c r="F176" s="15" t="n">
        <v>2024</v>
      </c>
      <c r="G176" s="15" t="n">
        <v>250</v>
      </c>
      <c r="H176" s="17"/>
      <c r="I176" s="15" t="s">
        <v>1104</v>
      </c>
      <c r="J176" s="15" t="s">
        <v>563</v>
      </c>
    </row>
    <row r="177" customFormat="false" ht="28.35" hidden="false" customHeight="false" outlineLevel="0" collapsed="false">
      <c r="A177" s="15" t="s">
        <v>142</v>
      </c>
      <c r="B177" s="15" t="s">
        <v>568</v>
      </c>
      <c r="C177" s="15" t="s">
        <v>120</v>
      </c>
      <c r="D177" s="15" t="s">
        <v>201</v>
      </c>
      <c r="E177" s="17" t="s">
        <v>569</v>
      </c>
      <c r="F177" s="15" t="n">
        <v>2026</v>
      </c>
      <c r="G177" s="15" t="n">
        <v>1000</v>
      </c>
      <c r="H177" s="17"/>
      <c r="I177" s="15" t="s">
        <v>571</v>
      </c>
      <c r="J177" s="15" t="s">
        <v>570</v>
      </c>
    </row>
    <row r="178" customFormat="false" ht="15" hidden="false" customHeight="false" outlineLevel="0" collapsed="false">
      <c r="A178" s="15" t="s">
        <v>142</v>
      </c>
      <c r="B178" s="15" t="s">
        <v>585</v>
      </c>
      <c r="C178" s="15" t="s">
        <v>120</v>
      </c>
      <c r="D178" s="15" t="s">
        <v>166</v>
      </c>
      <c r="E178" s="17" t="s">
        <v>552</v>
      </c>
      <c r="F178" s="15" t="n">
        <v>2024</v>
      </c>
      <c r="G178" s="15" t="n">
        <v>500</v>
      </c>
      <c r="H178" s="17"/>
      <c r="I178" s="15" t="s">
        <v>587</v>
      </c>
      <c r="J178" s="15" t="s">
        <v>586</v>
      </c>
    </row>
    <row r="179" customFormat="false" ht="15" hidden="false" customHeight="false" outlineLevel="0" collapsed="false">
      <c r="A179" s="15" t="s">
        <v>142</v>
      </c>
      <c r="B179" s="15" t="s">
        <v>588</v>
      </c>
      <c r="C179" s="15" t="s">
        <v>120</v>
      </c>
      <c r="D179" s="15" t="s">
        <v>166</v>
      </c>
      <c r="E179" s="17" t="s">
        <v>589</v>
      </c>
      <c r="F179" s="15" t="n">
        <v>2025</v>
      </c>
      <c r="G179" s="15" t="n">
        <v>250</v>
      </c>
      <c r="H179" s="17"/>
      <c r="I179" s="15" t="s">
        <v>591</v>
      </c>
      <c r="J179" s="15" t="s">
        <v>590</v>
      </c>
    </row>
    <row r="180" customFormat="false" ht="15" hidden="false" customHeight="false" outlineLevel="0" collapsed="false">
      <c r="A180" s="15" t="s">
        <v>142</v>
      </c>
      <c r="B180" s="15" t="s">
        <v>603</v>
      </c>
      <c r="C180" s="15" t="s">
        <v>120</v>
      </c>
      <c r="D180" s="15" t="s">
        <v>225</v>
      </c>
      <c r="E180" s="17" t="s">
        <v>593</v>
      </c>
      <c r="F180" s="15" t="n">
        <v>2026</v>
      </c>
      <c r="G180" s="15" t="n">
        <v>5000</v>
      </c>
      <c r="H180" s="17"/>
      <c r="I180" s="15" t="s">
        <v>1105</v>
      </c>
      <c r="J180" s="15" t="s">
        <v>604</v>
      </c>
    </row>
    <row r="181" customFormat="false" ht="15" hidden="false" customHeight="false" outlineLevel="0" collapsed="false">
      <c r="A181" s="15" t="s">
        <v>142</v>
      </c>
      <c r="B181" s="15" t="s">
        <v>615</v>
      </c>
      <c r="C181" s="15" t="s">
        <v>120</v>
      </c>
      <c r="D181" s="15" t="s">
        <v>166</v>
      </c>
      <c r="E181" s="17" t="s">
        <v>475</v>
      </c>
      <c r="F181" s="15" t="n">
        <v>2026</v>
      </c>
      <c r="G181" s="15" t="n">
        <v>250</v>
      </c>
      <c r="H181" s="17"/>
      <c r="I181" s="15" t="s">
        <v>617</v>
      </c>
      <c r="J181" s="15" t="s">
        <v>616</v>
      </c>
    </row>
    <row r="182" customFormat="false" ht="15" hidden="false" customHeight="false" outlineLevel="0" collapsed="false">
      <c r="A182" s="15" t="s">
        <v>142</v>
      </c>
      <c r="B182" s="15" t="s">
        <v>621</v>
      </c>
      <c r="C182" s="15" t="s">
        <v>120</v>
      </c>
      <c r="D182" s="15" t="s">
        <v>166</v>
      </c>
      <c r="E182" s="17" t="s">
        <v>475</v>
      </c>
      <c r="F182" s="15" t="n">
        <v>2026</v>
      </c>
      <c r="G182" s="15" t="n">
        <v>250</v>
      </c>
      <c r="H182" s="17"/>
      <c r="I182" s="15" t="s">
        <v>1106</v>
      </c>
      <c r="J182" s="15" t="s">
        <v>622</v>
      </c>
    </row>
    <row r="183" customFormat="false" ht="15" hidden="false" customHeight="false" outlineLevel="0" collapsed="false">
      <c r="A183" s="15" t="s">
        <v>142</v>
      </c>
      <c r="B183" s="15" t="s">
        <v>624</v>
      </c>
      <c r="C183" s="15" t="s">
        <v>120</v>
      </c>
      <c r="D183" s="15" t="s">
        <v>166</v>
      </c>
      <c r="E183" s="17" t="s">
        <v>475</v>
      </c>
      <c r="F183" s="15" t="n">
        <v>2026</v>
      </c>
      <c r="G183" s="15" t="n">
        <v>250</v>
      </c>
      <c r="H183" s="17"/>
      <c r="I183" s="15" t="s">
        <v>1107</v>
      </c>
      <c r="J183" s="15" t="s">
        <v>625</v>
      </c>
    </row>
    <row r="184" customFormat="false" ht="15" hidden="false" customHeight="false" outlineLevel="0" collapsed="false">
      <c r="A184" s="15" t="s">
        <v>142</v>
      </c>
      <c r="B184" s="15" t="s">
        <v>627</v>
      </c>
      <c r="C184" s="15" t="s">
        <v>120</v>
      </c>
      <c r="D184" s="15" t="s">
        <v>166</v>
      </c>
      <c r="E184" s="17" t="s">
        <v>475</v>
      </c>
      <c r="F184" s="15" t="n">
        <v>2026</v>
      </c>
      <c r="G184" s="15" t="n">
        <v>250</v>
      </c>
      <c r="H184" s="17"/>
      <c r="I184" s="15" t="s">
        <v>629</v>
      </c>
      <c r="J184" s="15" t="s">
        <v>628</v>
      </c>
    </row>
    <row r="185" customFormat="false" ht="15" hidden="false" customHeight="false" outlineLevel="0" collapsed="false">
      <c r="A185" s="15" t="s">
        <v>142</v>
      </c>
      <c r="B185" s="15" t="s">
        <v>636</v>
      </c>
      <c r="C185" s="15" t="s">
        <v>120</v>
      </c>
      <c r="D185" s="15" t="s">
        <v>166</v>
      </c>
      <c r="E185" s="17" t="s">
        <v>475</v>
      </c>
      <c r="F185" s="15" t="n">
        <v>2026</v>
      </c>
      <c r="G185" s="15" t="n">
        <v>250</v>
      </c>
      <c r="H185" s="17"/>
      <c r="I185" s="15" t="s">
        <v>638</v>
      </c>
      <c r="J185" s="15" t="s">
        <v>637</v>
      </c>
    </row>
    <row r="186" customFormat="false" ht="15" hidden="false" customHeight="false" outlineLevel="0" collapsed="false">
      <c r="A186" s="15" t="s">
        <v>142</v>
      </c>
      <c r="B186" s="15" t="s">
        <v>642</v>
      </c>
      <c r="C186" s="15" t="s">
        <v>120</v>
      </c>
      <c r="D186" s="15" t="s">
        <v>166</v>
      </c>
      <c r="E186" s="17" t="s">
        <v>475</v>
      </c>
      <c r="F186" s="15" t="n">
        <v>2026</v>
      </c>
      <c r="G186" s="15" t="n">
        <v>250</v>
      </c>
      <c r="H186" s="17"/>
      <c r="I186" s="15" t="s">
        <v>1108</v>
      </c>
      <c r="J186" s="15" t="s">
        <v>644</v>
      </c>
    </row>
    <row r="187" customFormat="false" ht="68.65" hidden="false" customHeight="false" outlineLevel="0" collapsed="false">
      <c r="A187" s="15" t="s">
        <v>143</v>
      </c>
      <c r="B187" s="15" t="s">
        <v>169</v>
      </c>
      <c r="C187" s="15" t="s">
        <v>120</v>
      </c>
      <c r="D187" s="15" t="s">
        <v>166</v>
      </c>
      <c r="E187" s="17" t="s">
        <v>171</v>
      </c>
      <c r="F187" s="15" t="n">
        <v>2026</v>
      </c>
      <c r="G187" s="15" t="n">
        <v>51000</v>
      </c>
      <c r="H187" s="17"/>
      <c r="I187" s="15" t="s">
        <v>173</v>
      </c>
      <c r="J187" s="15" t="s">
        <v>172</v>
      </c>
    </row>
    <row r="188" customFormat="false" ht="15" hidden="false" customHeight="false" outlineLevel="0" collapsed="false">
      <c r="A188" s="15" t="s">
        <v>143</v>
      </c>
      <c r="B188" s="15" t="s">
        <v>174</v>
      </c>
      <c r="C188" s="15" t="s">
        <v>120</v>
      </c>
      <c r="D188" s="15" t="s">
        <v>166</v>
      </c>
      <c r="E188" s="17" t="s">
        <v>165</v>
      </c>
      <c r="F188" s="15" t="n">
        <v>2008</v>
      </c>
      <c r="G188" s="15" t="n">
        <v>250</v>
      </c>
      <c r="H188" s="17"/>
      <c r="I188" s="15" t="s">
        <v>1109</v>
      </c>
      <c r="J188" s="15" t="s">
        <v>176</v>
      </c>
    </row>
    <row r="189" customFormat="false" ht="15" hidden="false" customHeight="false" outlineLevel="0" collapsed="false">
      <c r="A189" s="15" t="s">
        <v>143</v>
      </c>
      <c r="B189" s="15" t="s">
        <v>178</v>
      </c>
      <c r="C189" s="15" t="s">
        <v>120</v>
      </c>
      <c r="D189" s="15" t="s">
        <v>166</v>
      </c>
      <c r="E189" s="17" t="s">
        <v>165</v>
      </c>
      <c r="F189" s="15" t="n">
        <v>2008</v>
      </c>
      <c r="G189" s="15" t="n">
        <v>500</v>
      </c>
      <c r="H189" s="17"/>
      <c r="I189" s="15" t="s">
        <v>1110</v>
      </c>
      <c r="J189" s="15" t="s">
        <v>1111</v>
      </c>
    </row>
    <row r="190" customFormat="false" ht="15" hidden="false" customHeight="false" outlineLevel="0" collapsed="false">
      <c r="A190" s="15" t="s">
        <v>143</v>
      </c>
      <c r="B190" s="15" t="s">
        <v>178</v>
      </c>
      <c r="C190" s="15" t="s">
        <v>120</v>
      </c>
      <c r="D190" s="15" t="s">
        <v>166</v>
      </c>
      <c r="E190" s="17" t="s">
        <v>165</v>
      </c>
      <c r="F190" s="15" t="n">
        <v>2008</v>
      </c>
      <c r="G190" s="15" t="n">
        <v>500</v>
      </c>
      <c r="H190" s="17"/>
      <c r="I190" s="15" t="s">
        <v>1112</v>
      </c>
      <c r="J190" s="15" t="s">
        <v>1113</v>
      </c>
    </row>
    <row r="191" customFormat="false" ht="15" hidden="false" customHeight="false" outlineLevel="0" collapsed="false">
      <c r="A191" s="15" t="s">
        <v>143</v>
      </c>
      <c r="B191" s="15" t="s">
        <v>181</v>
      </c>
      <c r="C191" s="15" t="s">
        <v>120</v>
      </c>
      <c r="D191" s="15" t="s">
        <v>166</v>
      </c>
      <c r="E191" s="17" t="s">
        <v>165</v>
      </c>
      <c r="F191" s="15" t="n">
        <v>2008</v>
      </c>
      <c r="G191" s="15" t="n">
        <v>500</v>
      </c>
      <c r="H191" s="17"/>
      <c r="I191" s="15" t="s">
        <v>1114</v>
      </c>
      <c r="J191" s="15" t="s">
        <v>183</v>
      </c>
    </row>
    <row r="192" customFormat="false" ht="68.65" hidden="false" customHeight="false" outlineLevel="0" collapsed="false">
      <c r="A192" s="15" t="s">
        <v>143</v>
      </c>
      <c r="B192" s="15" t="s">
        <v>185</v>
      </c>
      <c r="C192" s="15" t="s">
        <v>120</v>
      </c>
      <c r="D192" s="15" t="s">
        <v>166</v>
      </c>
      <c r="E192" s="17" t="s">
        <v>186</v>
      </c>
      <c r="F192" s="15" t="n">
        <v>2024</v>
      </c>
      <c r="G192" s="15" t="n">
        <v>64000</v>
      </c>
      <c r="H192" s="17"/>
      <c r="I192" s="15" t="s">
        <v>188</v>
      </c>
      <c r="J192" s="15" t="s">
        <v>187</v>
      </c>
    </row>
    <row r="193" customFormat="false" ht="15" hidden="false" customHeight="false" outlineLevel="0" collapsed="false">
      <c r="A193" s="15" t="s">
        <v>143</v>
      </c>
      <c r="B193" s="15" t="s">
        <v>204</v>
      </c>
      <c r="C193" s="15" t="s">
        <v>120</v>
      </c>
      <c r="D193" s="15" t="s">
        <v>166</v>
      </c>
      <c r="E193" s="17" t="s">
        <v>200</v>
      </c>
      <c r="F193" s="15" t="n">
        <v>2026</v>
      </c>
      <c r="G193" s="15" t="n">
        <v>3000</v>
      </c>
      <c r="H193" s="17"/>
      <c r="I193" s="15" t="s">
        <v>206</v>
      </c>
      <c r="J193" s="15" t="s">
        <v>205</v>
      </c>
    </row>
    <row r="194" customFormat="false" ht="28.35" hidden="false" customHeight="false" outlineLevel="0" collapsed="false">
      <c r="A194" s="15" t="s">
        <v>143</v>
      </c>
      <c r="B194" s="15" t="s">
        <v>211</v>
      </c>
      <c r="C194" s="15" t="s">
        <v>120</v>
      </c>
      <c r="D194" s="15" t="s">
        <v>201</v>
      </c>
      <c r="E194" s="17" t="s">
        <v>213</v>
      </c>
      <c r="F194" s="15" t="n">
        <v>2018</v>
      </c>
      <c r="G194" s="15" t="n">
        <v>1000</v>
      </c>
      <c r="H194" s="17"/>
      <c r="I194" s="15" t="s">
        <v>1115</v>
      </c>
      <c r="J194" s="15" t="s">
        <v>214</v>
      </c>
    </row>
    <row r="195" customFormat="false" ht="15" hidden="false" customHeight="false" outlineLevel="0" collapsed="false">
      <c r="A195" s="15" t="s">
        <v>143</v>
      </c>
      <c r="B195" s="15" t="s">
        <v>220</v>
      </c>
      <c r="C195" s="15" t="s">
        <v>120</v>
      </c>
      <c r="D195" s="15" t="s">
        <v>166</v>
      </c>
      <c r="E195" s="17" t="s">
        <v>200</v>
      </c>
      <c r="F195" s="15" t="n">
        <v>2026</v>
      </c>
      <c r="G195" s="15" t="n">
        <v>11000</v>
      </c>
      <c r="H195" s="17"/>
      <c r="I195" s="15" t="s">
        <v>222</v>
      </c>
      <c r="J195" s="15" t="s">
        <v>221</v>
      </c>
    </row>
    <row r="196" customFormat="false" ht="15" hidden="false" customHeight="false" outlineLevel="0" collapsed="false">
      <c r="A196" s="15" t="s">
        <v>143</v>
      </c>
      <c r="B196" s="15" t="s">
        <v>223</v>
      </c>
      <c r="C196" s="15" t="s">
        <v>120</v>
      </c>
      <c r="D196" s="15" t="s">
        <v>225</v>
      </c>
      <c r="E196" s="17" t="s">
        <v>224</v>
      </c>
      <c r="F196" s="15" t="n">
        <v>2010</v>
      </c>
      <c r="G196" s="15" t="n">
        <v>500</v>
      </c>
      <c r="H196" s="17"/>
      <c r="I196" s="15" t="s">
        <v>227</v>
      </c>
      <c r="J196" s="15" t="s">
        <v>226</v>
      </c>
    </row>
    <row r="197" customFormat="false" ht="28.35" hidden="false" customHeight="false" outlineLevel="0" collapsed="false">
      <c r="A197" s="15" t="s">
        <v>143</v>
      </c>
      <c r="B197" s="15" t="s">
        <v>228</v>
      </c>
      <c r="C197" s="15" t="s">
        <v>120</v>
      </c>
      <c r="D197" s="15" t="s">
        <v>166</v>
      </c>
      <c r="E197" s="17" t="s">
        <v>229</v>
      </c>
      <c r="F197" s="15" t="n">
        <v>2018</v>
      </c>
      <c r="G197" s="15" t="n">
        <v>500</v>
      </c>
      <c r="H197" s="17"/>
      <c r="I197" s="15" t="s">
        <v>231</v>
      </c>
      <c r="J197" s="15" t="s">
        <v>230</v>
      </c>
    </row>
    <row r="198" customFormat="false" ht="15" hidden="false" customHeight="false" outlineLevel="0" collapsed="false">
      <c r="A198" s="15" t="s">
        <v>143</v>
      </c>
      <c r="B198" s="15" t="s">
        <v>250</v>
      </c>
      <c r="C198" s="15" t="s">
        <v>120</v>
      </c>
      <c r="D198" s="15" t="s">
        <v>166</v>
      </c>
      <c r="E198" s="17" t="s">
        <v>208</v>
      </c>
      <c r="F198" s="15" t="n">
        <v>2010</v>
      </c>
      <c r="G198" s="15" t="n">
        <v>750</v>
      </c>
      <c r="H198" s="17"/>
      <c r="I198" s="15" t="s">
        <v>1116</v>
      </c>
      <c r="J198" s="15" t="s">
        <v>1117</v>
      </c>
    </row>
    <row r="199" customFormat="false" ht="15" hidden="false" customHeight="false" outlineLevel="0" collapsed="false">
      <c r="A199" s="15" t="s">
        <v>143</v>
      </c>
      <c r="B199" s="15" t="s">
        <v>250</v>
      </c>
      <c r="C199" s="15" t="s">
        <v>120</v>
      </c>
      <c r="D199" s="15" t="s">
        <v>166</v>
      </c>
      <c r="E199" s="17" t="s">
        <v>279</v>
      </c>
      <c r="F199" s="15" t="n">
        <v>2018</v>
      </c>
      <c r="G199" s="15" t="n">
        <v>2000</v>
      </c>
      <c r="H199" s="17"/>
      <c r="I199" s="15" t="s">
        <v>1118</v>
      </c>
      <c r="J199" s="15" t="s">
        <v>953</v>
      </c>
    </row>
    <row r="200" customFormat="false" ht="41.75" hidden="false" customHeight="false" outlineLevel="0" collapsed="false">
      <c r="A200" s="15" t="s">
        <v>143</v>
      </c>
      <c r="B200" s="15" t="s">
        <v>254</v>
      </c>
      <c r="C200" s="15" t="s">
        <v>122</v>
      </c>
      <c r="D200" s="15" t="s">
        <v>195</v>
      </c>
      <c r="E200" s="17" t="s">
        <v>208</v>
      </c>
      <c r="F200" s="15" t="n">
        <v>2010</v>
      </c>
      <c r="G200" s="15" t="n">
        <v>1000</v>
      </c>
      <c r="H200" s="17" t="s">
        <v>256</v>
      </c>
      <c r="I200" s="15" t="s">
        <v>1119</v>
      </c>
      <c r="J200" s="15" t="s">
        <v>257</v>
      </c>
    </row>
    <row r="201" customFormat="false" ht="15" hidden="false" customHeight="false" outlineLevel="0" collapsed="false">
      <c r="A201" s="15" t="s">
        <v>143</v>
      </c>
      <c r="B201" s="15" t="s">
        <v>259</v>
      </c>
      <c r="C201" s="15" t="s">
        <v>120</v>
      </c>
      <c r="D201" s="15" t="s">
        <v>225</v>
      </c>
      <c r="E201" s="17" t="s">
        <v>260</v>
      </c>
      <c r="F201" s="15" t="n">
        <v>2010</v>
      </c>
      <c r="G201" s="15" t="n">
        <v>250</v>
      </c>
      <c r="H201" s="17"/>
      <c r="I201" s="15" t="s">
        <v>1120</v>
      </c>
      <c r="J201" s="15" t="s">
        <v>261</v>
      </c>
    </row>
    <row r="202" customFormat="false" ht="55.2" hidden="false" customHeight="false" outlineLevel="0" collapsed="false">
      <c r="A202" s="15" t="s">
        <v>143</v>
      </c>
      <c r="B202" s="15" t="s">
        <v>263</v>
      </c>
      <c r="C202" s="15" t="s">
        <v>120</v>
      </c>
      <c r="D202" s="15" t="s">
        <v>166</v>
      </c>
      <c r="E202" s="17" t="s">
        <v>264</v>
      </c>
      <c r="F202" s="15" t="n">
        <v>2026</v>
      </c>
      <c r="G202" s="15" t="n">
        <v>5000</v>
      </c>
      <c r="H202" s="17"/>
      <c r="I202" s="15" t="s">
        <v>1121</v>
      </c>
      <c r="J202" s="15" t="s">
        <v>265</v>
      </c>
    </row>
    <row r="203" customFormat="false" ht="15" hidden="false" customHeight="false" outlineLevel="0" collapsed="false">
      <c r="A203" s="15" t="s">
        <v>143</v>
      </c>
      <c r="B203" s="15" t="s">
        <v>267</v>
      </c>
      <c r="C203" s="15" t="s">
        <v>120</v>
      </c>
      <c r="D203" s="15" t="s">
        <v>166</v>
      </c>
      <c r="E203" s="17" t="s">
        <v>552</v>
      </c>
      <c r="F203" s="15" t="n">
        <v>2024</v>
      </c>
      <c r="G203" s="15" t="n">
        <v>500</v>
      </c>
      <c r="H203" s="17"/>
      <c r="I203" s="15" t="s">
        <v>1122</v>
      </c>
      <c r="J203" s="15" t="s">
        <v>1123</v>
      </c>
    </row>
    <row r="204" customFormat="false" ht="28.35" hidden="false" customHeight="false" outlineLevel="0" collapsed="false">
      <c r="A204" s="15" t="s">
        <v>143</v>
      </c>
      <c r="B204" s="15" t="s">
        <v>272</v>
      </c>
      <c r="C204" s="15" t="s">
        <v>120</v>
      </c>
      <c r="D204" s="15" t="s">
        <v>166</v>
      </c>
      <c r="E204" s="17" t="s">
        <v>961</v>
      </c>
      <c r="F204" s="15" t="n">
        <v>2024</v>
      </c>
      <c r="G204" s="15" t="n">
        <v>3000</v>
      </c>
      <c r="H204" s="17"/>
      <c r="I204" s="15" t="s">
        <v>1124</v>
      </c>
      <c r="J204" s="15" t="s">
        <v>963</v>
      </c>
    </row>
    <row r="205" customFormat="false" ht="15" hidden="false" customHeight="false" outlineLevel="0" collapsed="false">
      <c r="A205" s="15" t="s">
        <v>143</v>
      </c>
      <c r="B205" s="15" t="s">
        <v>277</v>
      </c>
      <c r="C205" s="15" t="s">
        <v>120</v>
      </c>
      <c r="D205" s="15" t="s">
        <v>166</v>
      </c>
      <c r="E205" s="17" t="s">
        <v>279</v>
      </c>
      <c r="F205" s="15" t="n">
        <v>2018</v>
      </c>
      <c r="G205" s="15" t="n">
        <v>7000</v>
      </c>
      <c r="H205" s="17"/>
      <c r="I205" s="15" t="s">
        <v>1125</v>
      </c>
      <c r="J205" s="15" t="s">
        <v>280</v>
      </c>
    </row>
    <row r="206" customFormat="false" ht="41.75" hidden="false" customHeight="false" outlineLevel="0" collapsed="false">
      <c r="A206" s="15" t="s">
        <v>143</v>
      </c>
      <c r="B206" s="15" t="s">
        <v>282</v>
      </c>
      <c r="C206" s="15" t="s">
        <v>120</v>
      </c>
      <c r="D206" s="15" t="s">
        <v>166</v>
      </c>
      <c r="E206" s="17" t="s">
        <v>283</v>
      </c>
      <c r="F206" s="15" t="n">
        <v>2024</v>
      </c>
      <c r="G206" s="15" t="n">
        <v>23000</v>
      </c>
      <c r="H206" s="17"/>
      <c r="I206" s="15" t="s">
        <v>285</v>
      </c>
      <c r="J206" s="15" t="s">
        <v>284</v>
      </c>
    </row>
    <row r="207" customFormat="false" ht="15" hidden="false" customHeight="false" outlineLevel="0" collapsed="false">
      <c r="A207" s="15" t="s">
        <v>143</v>
      </c>
      <c r="B207" s="15" t="s">
        <v>286</v>
      </c>
      <c r="C207" s="15" t="s">
        <v>120</v>
      </c>
      <c r="D207" s="15" t="s">
        <v>166</v>
      </c>
      <c r="E207" s="17" t="s">
        <v>279</v>
      </c>
      <c r="F207" s="15" t="n">
        <v>2012</v>
      </c>
      <c r="G207" s="15" t="n">
        <v>1000</v>
      </c>
      <c r="H207" s="17"/>
      <c r="I207" s="15" t="s">
        <v>1126</v>
      </c>
      <c r="J207" s="15" t="s">
        <v>1127</v>
      </c>
    </row>
    <row r="208" customFormat="false" ht="55.2" hidden="false" customHeight="false" outlineLevel="0" collapsed="false">
      <c r="A208" s="15" t="s">
        <v>143</v>
      </c>
      <c r="B208" s="15" t="s">
        <v>286</v>
      </c>
      <c r="C208" s="15" t="s">
        <v>120</v>
      </c>
      <c r="D208" s="15" t="s">
        <v>166</v>
      </c>
      <c r="E208" s="17" t="s">
        <v>287</v>
      </c>
      <c r="F208" s="15" t="n">
        <v>2025</v>
      </c>
      <c r="G208" s="15" t="n">
        <v>3000</v>
      </c>
      <c r="H208" s="17"/>
      <c r="I208" s="15" t="s">
        <v>1128</v>
      </c>
      <c r="J208" s="15" t="s">
        <v>965</v>
      </c>
    </row>
    <row r="209" customFormat="false" ht="28.35" hidden="false" customHeight="false" outlineLevel="0" collapsed="false">
      <c r="A209" s="15" t="s">
        <v>143</v>
      </c>
      <c r="B209" s="15" t="s">
        <v>294</v>
      </c>
      <c r="C209" s="15" t="s">
        <v>120</v>
      </c>
      <c r="D209" s="15" t="s">
        <v>166</v>
      </c>
      <c r="E209" s="17" t="s">
        <v>296</v>
      </c>
      <c r="F209" s="15" t="n">
        <v>2018</v>
      </c>
      <c r="G209" s="15" t="n">
        <v>6000</v>
      </c>
      <c r="H209" s="17"/>
      <c r="I209" s="15" t="s">
        <v>1129</v>
      </c>
      <c r="J209" s="15" t="s">
        <v>297</v>
      </c>
    </row>
    <row r="210" customFormat="false" ht="15" hidden="false" customHeight="false" outlineLevel="0" collapsed="false">
      <c r="A210" s="15" t="s">
        <v>143</v>
      </c>
      <c r="B210" s="15" t="s">
        <v>303</v>
      </c>
      <c r="C210" s="15" t="s">
        <v>120</v>
      </c>
      <c r="D210" s="15" t="s">
        <v>166</v>
      </c>
      <c r="E210" s="17" t="s">
        <v>305</v>
      </c>
      <c r="F210" s="15" t="n">
        <v>2026</v>
      </c>
      <c r="G210" s="15" t="n">
        <v>250</v>
      </c>
      <c r="H210" s="17"/>
      <c r="I210" s="15" t="s">
        <v>1130</v>
      </c>
      <c r="J210" s="15" t="s">
        <v>306</v>
      </c>
    </row>
    <row r="211" customFormat="false" ht="15" hidden="false" customHeight="false" outlineLevel="0" collapsed="false">
      <c r="A211" s="15" t="s">
        <v>143</v>
      </c>
      <c r="B211" s="15" t="s">
        <v>308</v>
      </c>
      <c r="C211" s="15" t="s">
        <v>120</v>
      </c>
      <c r="D211" s="15" t="s">
        <v>225</v>
      </c>
      <c r="E211" s="17" t="s">
        <v>279</v>
      </c>
      <c r="F211" s="15" t="n">
        <v>2012</v>
      </c>
      <c r="G211" s="15" t="n">
        <v>500</v>
      </c>
      <c r="H211" s="17"/>
      <c r="I211" s="15" t="s">
        <v>310</v>
      </c>
      <c r="J211" s="15" t="s">
        <v>309</v>
      </c>
    </row>
    <row r="212" customFormat="false" ht="28.35" hidden="false" customHeight="false" outlineLevel="0" collapsed="false">
      <c r="A212" s="15" t="s">
        <v>143</v>
      </c>
      <c r="B212" s="15" t="s">
        <v>311</v>
      </c>
      <c r="C212" s="15" t="s">
        <v>122</v>
      </c>
      <c r="D212" s="15" t="s">
        <v>195</v>
      </c>
      <c r="E212" s="17" t="s">
        <v>260</v>
      </c>
      <c r="F212" s="15" t="n">
        <v>2014</v>
      </c>
      <c r="G212" s="15" t="n">
        <v>250</v>
      </c>
      <c r="H212" s="17" t="s">
        <v>313</v>
      </c>
      <c r="I212" s="15" t="s">
        <v>1131</v>
      </c>
      <c r="J212" s="15" t="s">
        <v>314</v>
      </c>
    </row>
    <row r="213" customFormat="false" ht="15" hidden="false" customHeight="false" outlineLevel="0" collapsed="false">
      <c r="A213" s="15" t="s">
        <v>143</v>
      </c>
      <c r="B213" s="15" t="s">
        <v>321</v>
      </c>
      <c r="C213" s="15" t="s">
        <v>120</v>
      </c>
      <c r="D213" s="15" t="s">
        <v>166</v>
      </c>
      <c r="E213" s="17" t="s">
        <v>260</v>
      </c>
      <c r="F213" s="15" t="n">
        <v>2014</v>
      </c>
      <c r="G213" s="15" t="n">
        <v>1000</v>
      </c>
      <c r="H213" s="17"/>
      <c r="I213" s="15" t="s">
        <v>323</v>
      </c>
      <c r="J213" s="15" t="s">
        <v>322</v>
      </c>
    </row>
    <row r="214" customFormat="false" ht="15" hidden="false" customHeight="false" outlineLevel="0" collapsed="false">
      <c r="A214" s="15" t="s">
        <v>143</v>
      </c>
      <c r="B214" s="15" t="s">
        <v>324</v>
      </c>
      <c r="C214" s="15" t="s">
        <v>120</v>
      </c>
      <c r="D214" s="15" t="s">
        <v>166</v>
      </c>
      <c r="E214" s="17" t="s">
        <v>260</v>
      </c>
      <c r="F214" s="15" t="n">
        <v>2014</v>
      </c>
      <c r="G214" s="15" t="n">
        <v>250</v>
      </c>
      <c r="H214" s="17"/>
      <c r="I214" s="15" t="s">
        <v>1132</v>
      </c>
      <c r="J214" s="15" t="s">
        <v>326</v>
      </c>
    </row>
    <row r="215" customFormat="false" ht="28.35" hidden="false" customHeight="false" outlineLevel="0" collapsed="false">
      <c r="A215" s="15" t="s">
        <v>143</v>
      </c>
      <c r="B215" s="15" t="s">
        <v>332</v>
      </c>
      <c r="C215" s="15" t="s">
        <v>120</v>
      </c>
      <c r="D215" s="15" t="s">
        <v>166</v>
      </c>
      <c r="E215" s="17" t="s">
        <v>334</v>
      </c>
      <c r="F215" s="15" t="n">
        <v>2018</v>
      </c>
      <c r="G215" s="15" t="n">
        <v>8000</v>
      </c>
      <c r="H215" s="17"/>
      <c r="I215" s="15" t="s">
        <v>1133</v>
      </c>
      <c r="J215" s="15" t="s">
        <v>335</v>
      </c>
    </row>
    <row r="216" customFormat="false" ht="15" hidden="false" customHeight="false" outlineLevel="0" collapsed="false">
      <c r="A216" s="15" t="s">
        <v>143</v>
      </c>
      <c r="B216" s="15" t="s">
        <v>351</v>
      </c>
      <c r="C216" s="15" t="s">
        <v>120</v>
      </c>
      <c r="D216" s="15" t="s">
        <v>166</v>
      </c>
      <c r="E216" s="17" t="s">
        <v>165</v>
      </c>
      <c r="F216" s="15" t="n">
        <v>2016</v>
      </c>
      <c r="G216" s="15" t="n">
        <v>250</v>
      </c>
      <c r="H216" s="17"/>
      <c r="I216" s="15" t="s">
        <v>353</v>
      </c>
      <c r="J216" s="15" t="s">
        <v>352</v>
      </c>
    </row>
    <row r="217" customFormat="false" ht="28.35" hidden="false" customHeight="false" outlineLevel="0" collapsed="false">
      <c r="A217" s="15" t="s">
        <v>143</v>
      </c>
      <c r="B217" s="15" t="s">
        <v>354</v>
      </c>
      <c r="C217" s="15" t="s">
        <v>120</v>
      </c>
      <c r="D217" s="15" t="s">
        <v>166</v>
      </c>
      <c r="E217" s="17" t="s">
        <v>355</v>
      </c>
      <c r="F217" s="15" t="n">
        <v>2018</v>
      </c>
      <c r="G217" s="15" t="n">
        <v>5000</v>
      </c>
      <c r="H217" s="17"/>
      <c r="I217" s="15" t="s">
        <v>357</v>
      </c>
      <c r="J217" s="15" t="s">
        <v>356</v>
      </c>
    </row>
    <row r="218" customFormat="false" ht="15" hidden="false" customHeight="false" outlineLevel="0" collapsed="false">
      <c r="A218" s="15" t="s">
        <v>143</v>
      </c>
      <c r="B218" s="15" t="s">
        <v>358</v>
      </c>
      <c r="C218" s="15" t="s">
        <v>120</v>
      </c>
      <c r="D218" s="15" t="s">
        <v>166</v>
      </c>
      <c r="E218" s="17" t="s">
        <v>552</v>
      </c>
      <c r="F218" s="15" t="n">
        <v>2024</v>
      </c>
      <c r="G218" s="15" t="n">
        <v>500</v>
      </c>
      <c r="H218" s="17"/>
      <c r="I218" s="15" t="s">
        <v>1134</v>
      </c>
      <c r="J218" s="15" t="s">
        <v>1064</v>
      </c>
    </row>
    <row r="219" customFormat="false" ht="15" hidden="false" customHeight="false" outlineLevel="0" collapsed="false">
      <c r="A219" s="15" t="s">
        <v>143</v>
      </c>
      <c r="B219" s="15" t="s">
        <v>375</v>
      </c>
      <c r="C219" s="15" t="s">
        <v>120</v>
      </c>
      <c r="D219" s="15" t="s">
        <v>166</v>
      </c>
      <c r="E219" s="17" t="s">
        <v>279</v>
      </c>
      <c r="F219" s="15" t="n">
        <v>2018</v>
      </c>
      <c r="G219" s="15" t="n">
        <v>12000</v>
      </c>
      <c r="H219" s="17"/>
      <c r="I219" s="15" t="s">
        <v>377</v>
      </c>
      <c r="J219" s="15" t="s">
        <v>376</v>
      </c>
    </row>
    <row r="220" customFormat="false" ht="15" hidden="false" customHeight="false" outlineLevel="0" collapsed="false">
      <c r="A220" s="15" t="s">
        <v>143</v>
      </c>
      <c r="B220" s="15" t="s">
        <v>385</v>
      </c>
      <c r="C220" s="15" t="s">
        <v>120</v>
      </c>
      <c r="D220" s="15" t="s">
        <v>166</v>
      </c>
      <c r="E220" s="17" t="s">
        <v>386</v>
      </c>
      <c r="F220" s="15" t="n">
        <v>2016</v>
      </c>
      <c r="G220" s="15" t="n">
        <v>1000</v>
      </c>
      <c r="H220" s="17"/>
      <c r="I220" s="15" t="s">
        <v>388</v>
      </c>
      <c r="J220" s="15" t="s">
        <v>387</v>
      </c>
    </row>
    <row r="221" customFormat="false" ht="15" hidden="false" customHeight="false" outlineLevel="0" collapsed="false">
      <c r="A221" s="15" t="s">
        <v>143</v>
      </c>
      <c r="B221" s="15" t="s">
        <v>389</v>
      </c>
      <c r="C221" s="15" t="s">
        <v>120</v>
      </c>
      <c r="D221" s="15" t="s">
        <v>166</v>
      </c>
      <c r="E221" s="17" t="s">
        <v>390</v>
      </c>
      <c r="F221" s="15" t="n">
        <v>2024</v>
      </c>
      <c r="G221" s="15" t="n">
        <v>250</v>
      </c>
      <c r="H221" s="17"/>
      <c r="I221" s="15" t="s">
        <v>392</v>
      </c>
      <c r="J221" s="15" t="s">
        <v>391</v>
      </c>
    </row>
    <row r="222" customFormat="false" ht="15" hidden="false" customHeight="false" outlineLevel="0" collapsed="false">
      <c r="A222" s="15" t="s">
        <v>143</v>
      </c>
      <c r="B222" s="15" t="s">
        <v>393</v>
      </c>
      <c r="C222" s="15" t="s">
        <v>120</v>
      </c>
      <c r="D222" s="15" t="s">
        <v>166</v>
      </c>
      <c r="E222" s="17" t="s">
        <v>279</v>
      </c>
      <c r="F222" s="15" t="n">
        <v>2018</v>
      </c>
      <c r="G222" s="15" t="n">
        <v>1000</v>
      </c>
      <c r="H222" s="17"/>
      <c r="I222" s="15" t="s">
        <v>1135</v>
      </c>
      <c r="J222" s="15" t="s">
        <v>394</v>
      </c>
    </row>
    <row r="223" customFormat="false" ht="15" hidden="false" customHeight="false" outlineLevel="0" collapsed="false">
      <c r="A223" s="15" t="s">
        <v>143</v>
      </c>
      <c r="B223" s="15" t="s">
        <v>405</v>
      </c>
      <c r="C223" s="15" t="s">
        <v>120</v>
      </c>
      <c r="D223" s="15" t="s">
        <v>166</v>
      </c>
      <c r="E223" s="17" t="s">
        <v>279</v>
      </c>
      <c r="F223" s="15" t="n">
        <v>2018</v>
      </c>
      <c r="G223" s="15" t="n">
        <v>12000</v>
      </c>
      <c r="H223" s="17"/>
      <c r="I223" s="15" t="s">
        <v>1136</v>
      </c>
      <c r="J223" s="15" t="s">
        <v>1028</v>
      </c>
    </row>
    <row r="224" customFormat="false" ht="15" hidden="false" customHeight="false" outlineLevel="0" collapsed="false">
      <c r="A224" s="15" t="s">
        <v>143</v>
      </c>
      <c r="B224" s="15" t="s">
        <v>408</v>
      </c>
      <c r="C224" s="15" t="s">
        <v>120</v>
      </c>
      <c r="D224" s="15" t="s">
        <v>166</v>
      </c>
      <c r="E224" s="17" t="s">
        <v>279</v>
      </c>
      <c r="F224" s="15" t="n">
        <v>2018</v>
      </c>
      <c r="G224" s="15" t="n">
        <v>13000</v>
      </c>
      <c r="H224" s="17"/>
      <c r="I224" s="15" t="s">
        <v>410</v>
      </c>
      <c r="J224" s="15" t="s">
        <v>409</v>
      </c>
    </row>
    <row r="225" customFormat="false" ht="15" hidden="false" customHeight="false" outlineLevel="0" collapsed="false">
      <c r="A225" s="15" t="s">
        <v>143</v>
      </c>
      <c r="B225" s="15" t="s">
        <v>411</v>
      </c>
      <c r="C225" s="15" t="s">
        <v>120</v>
      </c>
      <c r="D225" s="15" t="s">
        <v>166</v>
      </c>
      <c r="E225" s="17" t="s">
        <v>279</v>
      </c>
      <c r="F225" s="15" t="n">
        <v>2018</v>
      </c>
      <c r="G225" s="15" t="n">
        <v>250</v>
      </c>
      <c r="H225" s="17"/>
      <c r="I225" s="15" t="s">
        <v>413</v>
      </c>
      <c r="J225" s="15" t="s">
        <v>412</v>
      </c>
    </row>
    <row r="226" customFormat="false" ht="28.35" hidden="false" customHeight="false" outlineLevel="0" collapsed="false">
      <c r="A226" s="15" t="s">
        <v>143</v>
      </c>
      <c r="B226" s="15" t="s">
        <v>417</v>
      </c>
      <c r="C226" s="15" t="s">
        <v>120</v>
      </c>
      <c r="D226" s="15" t="s">
        <v>166</v>
      </c>
      <c r="E226" s="17" t="s">
        <v>418</v>
      </c>
      <c r="F226" s="15" t="n">
        <v>2020</v>
      </c>
      <c r="G226" s="15" t="n">
        <v>35000</v>
      </c>
      <c r="H226" s="17"/>
      <c r="I226" s="15" t="s">
        <v>420</v>
      </c>
      <c r="J226" s="15" t="s">
        <v>419</v>
      </c>
    </row>
    <row r="227" customFormat="false" ht="15" hidden="false" customHeight="false" outlineLevel="0" collapsed="false">
      <c r="A227" s="15" t="s">
        <v>143</v>
      </c>
      <c r="B227" s="15" t="s">
        <v>421</v>
      </c>
      <c r="C227" s="15" t="s">
        <v>120</v>
      </c>
      <c r="D227" s="15" t="s">
        <v>166</v>
      </c>
      <c r="E227" s="17" t="s">
        <v>279</v>
      </c>
      <c r="F227" s="15" t="n">
        <v>2018</v>
      </c>
      <c r="G227" s="15" t="n">
        <v>500</v>
      </c>
      <c r="H227" s="17"/>
      <c r="I227" s="15" t="s">
        <v>1137</v>
      </c>
      <c r="J227" s="15" t="s">
        <v>423</v>
      </c>
    </row>
    <row r="228" customFormat="false" ht="15" hidden="false" customHeight="false" outlineLevel="0" collapsed="false">
      <c r="A228" s="15" t="s">
        <v>143</v>
      </c>
      <c r="B228" s="15" t="s">
        <v>425</v>
      </c>
      <c r="C228" s="15" t="s">
        <v>120</v>
      </c>
      <c r="D228" s="15" t="s">
        <v>166</v>
      </c>
      <c r="E228" s="17" t="s">
        <v>279</v>
      </c>
      <c r="F228" s="15" t="n">
        <v>2018</v>
      </c>
      <c r="G228" s="15" t="n">
        <v>3000</v>
      </c>
      <c r="H228" s="17"/>
      <c r="I228" s="15" t="s">
        <v>427</v>
      </c>
      <c r="J228" s="15" t="s">
        <v>426</v>
      </c>
    </row>
    <row r="229" customFormat="false" ht="28.35" hidden="false" customHeight="false" outlineLevel="0" collapsed="false">
      <c r="A229" s="15" t="s">
        <v>143</v>
      </c>
      <c r="B229" s="15" t="s">
        <v>431</v>
      </c>
      <c r="C229" s="15" t="s">
        <v>120</v>
      </c>
      <c r="D229" s="15" t="s">
        <v>166</v>
      </c>
      <c r="E229" s="17" t="s">
        <v>432</v>
      </c>
      <c r="F229" s="15" t="n">
        <v>2026</v>
      </c>
      <c r="G229" s="15" t="n">
        <v>3000</v>
      </c>
      <c r="H229" s="17"/>
      <c r="I229" s="15" t="s">
        <v>1138</v>
      </c>
      <c r="J229" s="15" t="s">
        <v>433</v>
      </c>
    </row>
    <row r="230" customFormat="false" ht="15" hidden="false" customHeight="false" outlineLevel="0" collapsed="false">
      <c r="A230" s="15" t="s">
        <v>143</v>
      </c>
      <c r="B230" s="15" t="s">
        <v>447</v>
      </c>
      <c r="C230" s="15" t="s">
        <v>120</v>
      </c>
      <c r="D230" s="15" t="s">
        <v>166</v>
      </c>
      <c r="E230" s="17" t="s">
        <v>279</v>
      </c>
      <c r="F230" s="15" t="n">
        <v>2018</v>
      </c>
      <c r="G230" s="15" t="n">
        <v>3000</v>
      </c>
      <c r="H230" s="17"/>
      <c r="I230" s="15" t="s">
        <v>1139</v>
      </c>
      <c r="J230" s="15" t="s">
        <v>448</v>
      </c>
    </row>
    <row r="231" customFormat="false" ht="15" hidden="false" customHeight="false" outlineLevel="0" collapsed="false">
      <c r="A231" s="15" t="s">
        <v>143</v>
      </c>
      <c r="B231" s="15" t="s">
        <v>456</v>
      </c>
      <c r="C231" s="15" t="s">
        <v>120</v>
      </c>
      <c r="D231" s="15" t="s">
        <v>166</v>
      </c>
      <c r="E231" s="17" t="s">
        <v>279</v>
      </c>
      <c r="F231" s="15" t="n">
        <v>2018</v>
      </c>
      <c r="G231" s="15" t="n">
        <v>250</v>
      </c>
      <c r="H231" s="17"/>
      <c r="I231" s="15" t="s">
        <v>1140</v>
      </c>
      <c r="J231" s="15" t="s">
        <v>457</v>
      </c>
    </row>
    <row r="232" customFormat="false" ht="28.35" hidden="false" customHeight="false" outlineLevel="0" collapsed="false">
      <c r="A232" s="15" t="s">
        <v>143</v>
      </c>
      <c r="B232" s="15" t="s">
        <v>459</v>
      </c>
      <c r="C232" s="15" t="s">
        <v>120</v>
      </c>
      <c r="D232" s="15" t="s">
        <v>166</v>
      </c>
      <c r="E232" s="17" t="s">
        <v>418</v>
      </c>
      <c r="F232" s="15" t="n">
        <v>2024</v>
      </c>
      <c r="G232" s="15" t="n">
        <v>4000</v>
      </c>
      <c r="H232" s="17"/>
      <c r="I232" s="15" t="s">
        <v>1141</v>
      </c>
      <c r="J232" s="15" t="s">
        <v>461</v>
      </c>
    </row>
    <row r="233" customFormat="false" ht="41.75" hidden="false" customHeight="false" outlineLevel="0" collapsed="false">
      <c r="A233" s="15" t="s">
        <v>143</v>
      </c>
      <c r="B233" s="15" t="s">
        <v>463</v>
      </c>
      <c r="C233" s="15" t="s">
        <v>120</v>
      </c>
      <c r="D233" s="15" t="s">
        <v>166</v>
      </c>
      <c r="E233" s="17" t="s">
        <v>464</v>
      </c>
      <c r="F233" s="15" t="n">
        <v>2026</v>
      </c>
      <c r="G233" s="15" t="n">
        <v>3000</v>
      </c>
      <c r="H233" s="17"/>
      <c r="I233" s="15" t="s">
        <v>466</v>
      </c>
      <c r="J233" s="15" t="s">
        <v>465</v>
      </c>
    </row>
    <row r="234" customFormat="false" ht="15" hidden="false" customHeight="false" outlineLevel="0" collapsed="false">
      <c r="A234" s="15" t="s">
        <v>143</v>
      </c>
      <c r="B234" s="15" t="s">
        <v>467</v>
      </c>
      <c r="C234" s="15" t="s">
        <v>120</v>
      </c>
      <c r="D234" s="15" t="s">
        <v>166</v>
      </c>
      <c r="E234" s="17" t="s">
        <v>279</v>
      </c>
      <c r="F234" s="15" t="n">
        <v>2018</v>
      </c>
      <c r="G234" s="15" t="n">
        <v>1000</v>
      </c>
      <c r="H234" s="17"/>
      <c r="I234" s="15" t="s">
        <v>469</v>
      </c>
      <c r="J234" s="15" t="s">
        <v>468</v>
      </c>
    </row>
    <row r="235" customFormat="false" ht="15" hidden="false" customHeight="false" outlineLevel="0" collapsed="false">
      <c r="A235" s="15" t="s">
        <v>143</v>
      </c>
      <c r="B235" s="15" t="s">
        <v>470</v>
      </c>
      <c r="C235" s="15" t="s">
        <v>120</v>
      </c>
      <c r="D235" s="15" t="s">
        <v>166</v>
      </c>
      <c r="E235" s="17" t="s">
        <v>279</v>
      </c>
      <c r="F235" s="15" t="n">
        <v>2018</v>
      </c>
      <c r="G235" s="15" t="n">
        <v>500</v>
      </c>
      <c r="H235" s="17"/>
      <c r="I235" s="15" t="s">
        <v>1142</v>
      </c>
      <c r="J235" s="15" t="s">
        <v>471</v>
      </c>
    </row>
    <row r="236" customFormat="false" ht="15" hidden="false" customHeight="false" outlineLevel="0" collapsed="false">
      <c r="A236" s="15" t="s">
        <v>143</v>
      </c>
      <c r="B236" s="15" t="s">
        <v>473</v>
      </c>
      <c r="C236" s="15" t="s">
        <v>120</v>
      </c>
      <c r="D236" s="15" t="s">
        <v>166</v>
      </c>
      <c r="E236" s="17" t="s">
        <v>475</v>
      </c>
      <c r="F236" s="15" t="n">
        <v>2018</v>
      </c>
      <c r="G236" s="15" t="n">
        <v>250</v>
      </c>
      <c r="H236" s="17"/>
      <c r="I236" s="15" t="s">
        <v>1143</v>
      </c>
      <c r="J236" s="15" t="s">
        <v>476</v>
      </c>
    </row>
    <row r="237" customFormat="false" ht="41.75" hidden="false" customHeight="false" outlineLevel="0" collapsed="false">
      <c r="A237" s="15" t="s">
        <v>143</v>
      </c>
      <c r="B237" s="15" t="s">
        <v>478</v>
      </c>
      <c r="C237" s="15" t="s">
        <v>122</v>
      </c>
      <c r="D237" s="15" t="s">
        <v>195</v>
      </c>
      <c r="E237" s="17" t="s">
        <v>279</v>
      </c>
      <c r="F237" s="15" t="n">
        <v>2018</v>
      </c>
      <c r="G237" s="15" t="n">
        <v>1000</v>
      </c>
      <c r="H237" s="17" t="s">
        <v>479</v>
      </c>
      <c r="I237" s="15" t="s">
        <v>1144</v>
      </c>
      <c r="J237" s="15" t="s">
        <v>480</v>
      </c>
    </row>
    <row r="238" customFormat="false" ht="15" hidden="false" customHeight="false" outlineLevel="0" collapsed="false">
      <c r="A238" s="15" t="s">
        <v>143</v>
      </c>
      <c r="B238" s="15" t="s">
        <v>482</v>
      </c>
      <c r="C238" s="15" t="s">
        <v>120</v>
      </c>
      <c r="D238" s="15" t="s">
        <v>166</v>
      </c>
      <c r="E238" s="17" t="s">
        <v>279</v>
      </c>
      <c r="F238" s="15" t="n">
        <v>2018</v>
      </c>
      <c r="G238" s="15" t="n">
        <v>1000</v>
      </c>
      <c r="H238" s="17"/>
      <c r="I238" s="15" t="s">
        <v>1145</v>
      </c>
      <c r="J238" s="15" t="s">
        <v>484</v>
      </c>
    </row>
    <row r="239" customFormat="false" ht="15" hidden="false" customHeight="false" outlineLevel="0" collapsed="false">
      <c r="A239" s="15" t="s">
        <v>143</v>
      </c>
      <c r="B239" s="15" t="s">
        <v>486</v>
      </c>
      <c r="C239" s="15" t="s">
        <v>120</v>
      </c>
      <c r="D239" s="15" t="s">
        <v>166</v>
      </c>
      <c r="E239" s="17" t="s">
        <v>279</v>
      </c>
      <c r="F239" s="15" t="n">
        <v>2018</v>
      </c>
      <c r="G239" s="15" t="n">
        <v>500</v>
      </c>
      <c r="H239" s="17"/>
      <c r="I239" s="15" t="s">
        <v>488</v>
      </c>
      <c r="J239" s="15" t="s">
        <v>487</v>
      </c>
    </row>
    <row r="240" customFormat="false" ht="15" hidden="false" customHeight="false" outlineLevel="0" collapsed="false">
      <c r="A240" s="15" t="s">
        <v>143</v>
      </c>
      <c r="B240" s="15" t="s">
        <v>492</v>
      </c>
      <c r="C240" s="15" t="s">
        <v>120</v>
      </c>
      <c r="D240" s="15" t="s">
        <v>166</v>
      </c>
      <c r="E240" s="17" t="s">
        <v>279</v>
      </c>
      <c r="F240" s="15" t="n">
        <v>2018</v>
      </c>
      <c r="G240" s="15" t="n">
        <v>25000</v>
      </c>
      <c r="H240" s="17"/>
      <c r="I240" s="15" t="s">
        <v>1146</v>
      </c>
      <c r="J240" s="15" t="s">
        <v>493</v>
      </c>
    </row>
    <row r="241" customFormat="false" ht="15" hidden="false" customHeight="false" outlineLevel="0" collapsed="false">
      <c r="A241" s="15" t="s">
        <v>143</v>
      </c>
      <c r="B241" s="15" t="s">
        <v>495</v>
      </c>
      <c r="C241" s="15" t="s">
        <v>120</v>
      </c>
      <c r="D241" s="15" t="s">
        <v>166</v>
      </c>
      <c r="E241" s="17" t="s">
        <v>279</v>
      </c>
      <c r="F241" s="15" t="n">
        <v>2018</v>
      </c>
      <c r="G241" s="15" t="n">
        <v>3000</v>
      </c>
      <c r="H241" s="17"/>
      <c r="I241" s="15" t="s">
        <v>1147</v>
      </c>
      <c r="J241" s="15" t="s">
        <v>496</v>
      </c>
    </row>
    <row r="242" customFormat="false" ht="15" hidden="false" customHeight="false" outlineLevel="0" collapsed="false">
      <c r="A242" s="15" t="s">
        <v>143</v>
      </c>
      <c r="B242" s="15" t="s">
        <v>501</v>
      </c>
      <c r="C242" s="15" t="s">
        <v>120</v>
      </c>
      <c r="D242" s="15" t="s">
        <v>166</v>
      </c>
      <c r="E242" s="17" t="s">
        <v>279</v>
      </c>
      <c r="F242" s="15" t="n">
        <v>2018</v>
      </c>
      <c r="G242" s="15" t="n">
        <v>1000</v>
      </c>
      <c r="H242" s="17"/>
      <c r="I242" s="15" t="s">
        <v>1148</v>
      </c>
      <c r="J242" s="15" t="s">
        <v>502</v>
      </c>
    </row>
    <row r="243" customFormat="false" ht="28.35" hidden="false" customHeight="false" outlineLevel="0" collapsed="false">
      <c r="A243" s="15" t="s">
        <v>143</v>
      </c>
      <c r="B243" s="15" t="s">
        <v>507</v>
      </c>
      <c r="C243" s="15" t="s">
        <v>120</v>
      </c>
      <c r="D243" s="15" t="s">
        <v>508</v>
      </c>
      <c r="E243" s="17" t="s">
        <v>418</v>
      </c>
      <c r="F243" s="15" t="n">
        <v>2022</v>
      </c>
      <c r="G243" s="15" t="n">
        <v>15000</v>
      </c>
      <c r="H243" s="17"/>
      <c r="I243" s="15" t="s">
        <v>1149</v>
      </c>
      <c r="J243" s="15" t="s">
        <v>509</v>
      </c>
    </row>
    <row r="244" customFormat="false" ht="28.35" hidden="false" customHeight="false" outlineLevel="0" collapsed="false">
      <c r="A244" s="15" t="s">
        <v>143</v>
      </c>
      <c r="B244" s="15" t="s">
        <v>511</v>
      </c>
      <c r="C244" s="15" t="s">
        <v>120</v>
      </c>
      <c r="D244" s="15" t="s">
        <v>166</v>
      </c>
      <c r="E244" s="17" t="s">
        <v>512</v>
      </c>
      <c r="F244" s="15" t="n">
        <v>2026</v>
      </c>
      <c r="G244" s="15" t="n">
        <v>16000</v>
      </c>
      <c r="H244" s="17"/>
      <c r="I244" s="15" t="s">
        <v>514</v>
      </c>
      <c r="J244" s="15" t="s">
        <v>513</v>
      </c>
    </row>
    <row r="245" customFormat="false" ht="15" hidden="false" customHeight="false" outlineLevel="0" collapsed="false">
      <c r="A245" s="15" t="s">
        <v>143</v>
      </c>
      <c r="B245" s="15" t="s">
        <v>523</v>
      </c>
      <c r="C245" s="15" t="s">
        <v>120</v>
      </c>
      <c r="D245" s="15" t="s">
        <v>166</v>
      </c>
      <c r="E245" s="17" t="s">
        <v>475</v>
      </c>
      <c r="F245" s="15" t="n">
        <v>2022</v>
      </c>
      <c r="G245" s="15" t="n">
        <v>250</v>
      </c>
      <c r="H245" s="17"/>
      <c r="I245" s="15" t="s">
        <v>525</v>
      </c>
      <c r="J245" s="15" t="s">
        <v>524</v>
      </c>
    </row>
    <row r="246" customFormat="false" ht="15" hidden="false" customHeight="false" outlineLevel="0" collapsed="false">
      <c r="A246" s="15" t="s">
        <v>143</v>
      </c>
      <c r="B246" s="15" t="s">
        <v>526</v>
      </c>
      <c r="C246" s="15" t="s">
        <v>120</v>
      </c>
      <c r="D246" s="15" t="s">
        <v>166</v>
      </c>
      <c r="E246" s="17" t="s">
        <v>475</v>
      </c>
      <c r="F246" s="15" t="n">
        <v>2022</v>
      </c>
      <c r="G246" s="15" t="n">
        <v>250</v>
      </c>
      <c r="H246" s="17"/>
      <c r="I246" s="15" t="s">
        <v>1150</v>
      </c>
      <c r="J246" s="15" t="s">
        <v>1103</v>
      </c>
    </row>
    <row r="247" customFormat="false" ht="15" hidden="false" customHeight="false" outlineLevel="0" collapsed="false">
      <c r="A247" s="15" t="s">
        <v>143</v>
      </c>
      <c r="B247" s="15" t="s">
        <v>526</v>
      </c>
      <c r="C247" s="15" t="s">
        <v>120</v>
      </c>
      <c r="D247" s="15" t="s">
        <v>166</v>
      </c>
      <c r="E247" s="17" t="s">
        <v>475</v>
      </c>
      <c r="F247" s="15" t="n">
        <v>2022</v>
      </c>
      <c r="G247" s="15" t="n">
        <v>250</v>
      </c>
      <c r="H247" s="17"/>
      <c r="I247" s="15" t="s">
        <v>1151</v>
      </c>
      <c r="J247" s="15" t="s">
        <v>1152</v>
      </c>
    </row>
    <row r="248" customFormat="false" ht="15" hidden="false" customHeight="false" outlineLevel="0" collapsed="false">
      <c r="A248" s="15" t="s">
        <v>143</v>
      </c>
      <c r="B248" s="15" t="s">
        <v>529</v>
      </c>
      <c r="C248" s="15" t="s">
        <v>120</v>
      </c>
      <c r="D248" s="15" t="s">
        <v>166</v>
      </c>
      <c r="E248" s="17" t="s">
        <v>475</v>
      </c>
      <c r="F248" s="15" t="n">
        <v>2026</v>
      </c>
      <c r="G248" s="15" t="n">
        <v>5000</v>
      </c>
      <c r="H248" s="17"/>
      <c r="I248" s="15" t="s">
        <v>531</v>
      </c>
      <c r="J248" s="15" t="s">
        <v>530</v>
      </c>
    </row>
    <row r="249" customFormat="false" ht="15" hidden="false" customHeight="false" outlineLevel="0" collapsed="false">
      <c r="A249" s="15" t="s">
        <v>143</v>
      </c>
      <c r="B249" s="15" t="s">
        <v>535</v>
      </c>
      <c r="C249" s="15" t="s">
        <v>120</v>
      </c>
      <c r="D249" s="15" t="s">
        <v>166</v>
      </c>
      <c r="E249" s="17" t="s">
        <v>475</v>
      </c>
      <c r="F249" s="15" t="n">
        <v>2026</v>
      </c>
      <c r="G249" s="15" t="n">
        <v>1000</v>
      </c>
      <c r="H249" s="17"/>
      <c r="I249" s="15" t="s">
        <v>537</v>
      </c>
      <c r="J249" s="15" t="s">
        <v>536</v>
      </c>
    </row>
    <row r="250" customFormat="false" ht="28.35" hidden="false" customHeight="false" outlineLevel="0" collapsed="false">
      <c r="A250" s="15" t="s">
        <v>143</v>
      </c>
      <c r="B250" s="15" t="s">
        <v>538</v>
      </c>
      <c r="C250" s="15" t="s">
        <v>120</v>
      </c>
      <c r="D250" s="15" t="s">
        <v>201</v>
      </c>
      <c r="E250" s="17" t="s">
        <v>539</v>
      </c>
      <c r="F250" s="15" t="n">
        <v>2026</v>
      </c>
      <c r="G250" s="15" t="n">
        <v>6000</v>
      </c>
      <c r="H250" s="17"/>
      <c r="I250" s="15" t="s">
        <v>1153</v>
      </c>
      <c r="J250" s="15" t="s">
        <v>540</v>
      </c>
    </row>
    <row r="251" customFormat="false" ht="15" hidden="false" customHeight="false" outlineLevel="0" collapsed="false">
      <c r="A251" s="15" t="s">
        <v>143</v>
      </c>
      <c r="B251" s="15" t="s">
        <v>542</v>
      </c>
      <c r="C251" s="15" t="s">
        <v>120</v>
      </c>
      <c r="D251" s="15" t="s">
        <v>166</v>
      </c>
      <c r="E251" s="17" t="s">
        <v>475</v>
      </c>
      <c r="F251" s="15" t="n">
        <v>2022</v>
      </c>
      <c r="G251" s="15" t="n">
        <v>500</v>
      </c>
      <c r="H251" s="17"/>
      <c r="I251" s="15" t="s">
        <v>544</v>
      </c>
      <c r="J251" s="15" t="s">
        <v>543</v>
      </c>
    </row>
    <row r="252" customFormat="false" ht="15" hidden="false" customHeight="false" outlineLevel="0" collapsed="false">
      <c r="A252" s="15" t="s">
        <v>143</v>
      </c>
      <c r="B252" s="15" t="s">
        <v>545</v>
      </c>
      <c r="C252" s="15" t="s">
        <v>120</v>
      </c>
      <c r="D252" s="15" t="s">
        <v>166</v>
      </c>
      <c r="E252" s="17" t="s">
        <v>475</v>
      </c>
      <c r="F252" s="15" t="n">
        <v>2022</v>
      </c>
      <c r="G252" s="15" t="n">
        <v>5000</v>
      </c>
      <c r="H252" s="17"/>
      <c r="I252" s="15" t="s">
        <v>547</v>
      </c>
      <c r="J252" s="15" t="s">
        <v>546</v>
      </c>
    </row>
    <row r="253" customFormat="false" ht="15" hidden="false" customHeight="false" outlineLevel="0" collapsed="false">
      <c r="A253" s="15" t="s">
        <v>143</v>
      </c>
      <c r="B253" s="15" t="s">
        <v>548</v>
      </c>
      <c r="C253" s="15" t="s">
        <v>120</v>
      </c>
      <c r="D253" s="15" t="s">
        <v>225</v>
      </c>
      <c r="E253" s="17" t="s">
        <v>475</v>
      </c>
      <c r="F253" s="15" t="n">
        <v>2022</v>
      </c>
      <c r="G253" s="15" t="n">
        <v>500</v>
      </c>
      <c r="H253" s="17"/>
      <c r="I253" s="15" t="s">
        <v>550</v>
      </c>
      <c r="J253" s="15" t="s">
        <v>549</v>
      </c>
    </row>
    <row r="254" customFormat="false" ht="15" hidden="false" customHeight="false" outlineLevel="0" collapsed="false">
      <c r="A254" s="15" t="s">
        <v>143</v>
      </c>
      <c r="B254" s="15" t="s">
        <v>561</v>
      </c>
      <c r="C254" s="15" t="s">
        <v>120</v>
      </c>
      <c r="D254" s="15" t="s">
        <v>166</v>
      </c>
      <c r="E254" s="17" t="s">
        <v>562</v>
      </c>
      <c r="F254" s="15" t="n">
        <v>2024</v>
      </c>
      <c r="G254" s="15" t="n">
        <v>250</v>
      </c>
      <c r="H254" s="17"/>
      <c r="I254" s="15" t="s">
        <v>1154</v>
      </c>
      <c r="J254" s="15" t="s">
        <v>563</v>
      </c>
    </row>
    <row r="255" customFormat="false" ht="15" hidden="false" customHeight="false" outlineLevel="0" collapsed="false">
      <c r="A255" s="15" t="s">
        <v>143</v>
      </c>
      <c r="B255" s="15" t="s">
        <v>565</v>
      </c>
      <c r="C255" s="15" t="s">
        <v>120</v>
      </c>
      <c r="D255" s="15" t="s">
        <v>166</v>
      </c>
      <c r="E255" s="17" t="s">
        <v>552</v>
      </c>
      <c r="F255" s="15" t="n">
        <v>2024</v>
      </c>
      <c r="G255" s="15" t="n">
        <v>250</v>
      </c>
      <c r="H255" s="17"/>
      <c r="I255" s="15" t="s">
        <v>567</v>
      </c>
      <c r="J255" s="15" t="s">
        <v>566</v>
      </c>
    </row>
    <row r="256" customFormat="false" ht="41.75" hidden="false" customHeight="false" outlineLevel="0" collapsed="false">
      <c r="A256" s="15" t="s">
        <v>143</v>
      </c>
      <c r="B256" s="15" t="s">
        <v>572</v>
      </c>
      <c r="C256" s="15" t="s">
        <v>120</v>
      </c>
      <c r="D256" s="15" t="s">
        <v>201</v>
      </c>
      <c r="E256" s="17" t="s">
        <v>573</v>
      </c>
      <c r="F256" s="15" t="n">
        <v>2026</v>
      </c>
      <c r="G256" s="15" t="n">
        <v>19000</v>
      </c>
      <c r="H256" s="17"/>
      <c r="I256" s="15" t="s">
        <v>1155</v>
      </c>
      <c r="J256" s="15" t="s">
        <v>574</v>
      </c>
    </row>
    <row r="257" customFormat="false" ht="41.75" hidden="false" customHeight="false" outlineLevel="0" collapsed="false">
      <c r="A257" s="15" t="s">
        <v>143</v>
      </c>
      <c r="B257" s="15" t="s">
        <v>581</v>
      </c>
      <c r="C257" s="15" t="s">
        <v>120</v>
      </c>
      <c r="D257" s="15" t="s">
        <v>166</v>
      </c>
      <c r="E257" s="17" t="s">
        <v>582</v>
      </c>
      <c r="F257" s="15" t="n">
        <v>2026</v>
      </c>
      <c r="G257" s="15" t="n">
        <v>65000</v>
      </c>
      <c r="H257" s="17"/>
      <c r="I257" s="15" t="s">
        <v>1156</v>
      </c>
      <c r="J257" s="15" t="s">
        <v>583</v>
      </c>
    </row>
    <row r="258" customFormat="false" ht="15" hidden="false" customHeight="false" outlineLevel="0" collapsed="false">
      <c r="A258" s="15" t="s">
        <v>143</v>
      </c>
      <c r="B258" s="15" t="s">
        <v>592</v>
      </c>
      <c r="C258" s="15" t="s">
        <v>120</v>
      </c>
      <c r="D258" s="15" t="s">
        <v>166</v>
      </c>
      <c r="E258" s="17" t="s">
        <v>593</v>
      </c>
      <c r="F258" s="15" t="n">
        <v>2026</v>
      </c>
      <c r="G258" s="15" t="n">
        <v>10000</v>
      </c>
      <c r="H258" s="17"/>
      <c r="I258" s="15" t="s">
        <v>595</v>
      </c>
      <c r="J258" s="15" t="s">
        <v>594</v>
      </c>
    </row>
    <row r="259" customFormat="false" ht="15" hidden="false" customHeight="false" outlineLevel="0" collapsed="false">
      <c r="A259" s="15" t="s">
        <v>143</v>
      </c>
      <c r="B259" s="15" t="s">
        <v>596</v>
      </c>
      <c r="C259" s="15" t="s">
        <v>120</v>
      </c>
      <c r="D259" s="15" t="s">
        <v>166</v>
      </c>
      <c r="E259" s="17" t="s">
        <v>593</v>
      </c>
      <c r="F259" s="15" t="n">
        <v>2026</v>
      </c>
      <c r="G259" s="15" t="n">
        <v>2000</v>
      </c>
      <c r="H259" s="17"/>
      <c r="I259" s="15" t="s">
        <v>598</v>
      </c>
      <c r="J259" s="15" t="s">
        <v>597</v>
      </c>
    </row>
    <row r="260" customFormat="false" ht="28.35" hidden="false" customHeight="false" outlineLevel="0" collapsed="false">
      <c r="A260" s="15" t="s">
        <v>143</v>
      </c>
      <c r="B260" s="15" t="s">
        <v>599</v>
      </c>
      <c r="C260" s="15" t="s">
        <v>120</v>
      </c>
      <c r="D260" s="15" t="s">
        <v>166</v>
      </c>
      <c r="E260" s="17" t="s">
        <v>600</v>
      </c>
      <c r="F260" s="15" t="n">
        <v>2026</v>
      </c>
      <c r="G260" s="15" t="n">
        <v>5000</v>
      </c>
      <c r="H260" s="17"/>
      <c r="I260" s="15" t="s">
        <v>602</v>
      </c>
      <c r="J260" s="15" t="s">
        <v>601</v>
      </c>
    </row>
    <row r="261" customFormat="false" ht="15" hidden="false" customHeight="false" outlineLevel="0" collapsed="false">
      <c r="A261" s="15" t="s">
        <v>143</v>
      </c>
      <c r="B261" s="15" t="s">
        <v>603</v>
      </c>
      <c r="C261" s="15" t="s">
        <v>120</v>
      </c>
      <c r="D261" s="15" t="s">
        <v>225</v>
      </c>
      <c r="E261" s="17" t="s">
        <v>593</v>
      </c>
      <c r="F261" s="15" t="n">
        <v>2026</v>
      </c>
      <c r="G261" s="15" t="n">
        <v>5000</v>
      </c>
      <c r="H261" s="17"/>
      <c r="I261" s="15" t="s">
        <v>1157</v>
      </c>
      <c r="J261" s="15" t="s">
        <v>604</v>
      </c>
    </row>
    <row r="262" customFormat="false" ht="15" hidden="false" customHeight="false" outlineLevel="0" collapsed="false">
      <c r="A262" s="15" t="s">
        <v>143</v>
      </c>
      <c r="B262" s="15" t="s">
        <v>610</v>
      </c>
      <c r="C262" s="15" t="s">
        <v>120</v>
      </c>
      <c r="D262" s="15" t="s">
        <v>166</v>
      </c>
      <c r="E262" s="17" t="s">
        <v>612</v>
      </c>
      <c r="F262" s="15" t="n">
        <v>2026</v>
      </c>
      <c r="G262" s="15" t="n">
        <v>3000</v>
      </c>
      <c r="H262" s="17"/>
      <c r="I262" s="15" t="s">
        <v>1158</v>
      </c>
      <c r="J262" s="15" t="s">
        <v>613</v>
      </c>
    </row>
    <row r="263" customFormat="false" ht="15" hidden="false" customHeight="false" outlineLevel="0" collapsed="false">
      <c r="A263" s="15" t="s">
        <v>143</v>
      </c>
      <c r="B263" s="15" t="s">
        <v>621</v>
      </c>
      <c r="C263" s="15" t="s">
        <v>120</v>
      </c>
      <c r="D263" s="15" t="s">
        <v>166</v>
      </c>
      <c r="E263" s="17" t="s">
        <v>475</v>
      </c>
      <c r="F263" s="15" t="n">
        <v>2026</v>
      </c>
      <c r="G263" s="15" t="n">
        <v>250</v>
      </c>
      <c r="H263" s="17"/>
      <c r="I263" s="15" t="s">
        <v>1159</v>
      </c>
      <c r="J263" s="15" t="s">
        <v>622</v>
      </c>
    </row>
    <row r="264" customFormat="false" ht="15" hidden="false" customHeight="false" outlineLevel="0" collapsed="false">
      <c r="A264" s="15" t="s">
        <v>143</v>
      </c>
      <c r="B264" s="15" t="s">
        <v>630</v>
      </c>
      <c r="C264" s="15" t="s">
        <v>120</v>
      </c>
      <c r="D264" s="15" t="s">
        <v>166</v>
      </c>
      <c r="E264" s="17" t="s">
        <v>475</v>
      </c>
      <c r="F264" s="15" t="n">
        <v>2026</v>
      </c>
      <c r="G264" s="15" t="n">
        <v>250</v>
      </c>
      <c r="H264" s="17"/>
      <c r="I264" s="15" t="s">
        <v>1160</v>
      </c>
      <c r="J264" s="15" t="s">
        <v>631</v>
      </c>
    </row>
    <row r="265" customFormat="false" ht="15" hidden="false" customHeight="false" outlineLevel="0" collapsed="false">
      <c r="A265" s="15" t="s">
        <v>143</v>
      </c>
      <c r="B265" s="15" t="s">
        <v>633</v>
      </c>
      <c r="C265" s="15" t="s">
        <v>120</v>
      </c>
      <c r="D265" s="15" t="s">
        <v>166</v>
      </c>
      <c r="E265" s="17" t="s">
        <v>475</v>
      </c>
      <c r="F265" s="15" t="n">
        <v>2026</v>
      </c>
      <c r="G265" s="15" t="n">
        <v>250</v>
      </c>
      <c r="H265" s="17"/>
      <c r="I265" s="15" t="s">
        <v>635</v>
      </c>
      <c r="J265" s="15" t="s">
        <v>634</v>
      </c>
    </row>
    <row r="266" customFormat="false" ht="15" hidden="false" customHeight="false" outlineLevel="0" collapsed="false">
      <c r="A266" s="15" t="s">
        <v>143</v>
      </c>
      <c r="B266" s="15" t="s">
        <v>639</v>
      </c>
      <c r="C266" s="15" t="s">
        <v>120</v>
      </c>
      <c r="D266" s="15" t="s">
        <v>166</v>
      </c>
      <c r="E266" s="17" t="s">
        <v>475</v>
      </c>
      <c r="F266" s="15" t="n">
        <v>2026</v>
      </c>
      <c r="G266" s="15" t="n">
        <v>500</v>
      </c>
      <c r="H266" s="17"/>
      <c r="I266" s="15" t="s">
        <v>641</v>
      </c>
      <c r="J266" s="15" t="s">
        <v>640</v>
      </c>
    </row>
    <row r="267" customFormat="false" ht="15" hidden="false" customHeight="false" outlineLevel="0" collapsed="false">
      <c r="A267" s="15" t="s">
        <v>143</v>
      </c>
      <c r="B267" s="15" t="s">
        <v>649</v>
      </c>
      <c r="C267" s="15" t="s">
        <v>120</v>
      </c>
      <c r="D267" s="15" t="s">
        <v>166</v>
      </c>
      <c r="E267" s="17" t="s">
        <v>475</v>
      </c>
      <c r="F267" s="15" t="n">
        <v>2026</v>
      </c>
      <c r="G267" s="15" t="n">
        <v>250</v>
      </c>
      <c r="H267" s="17"/>
      <c r="I267" s="15" t="s">
        <v>651</v>
      </c>
      <c r="J267" s="15" t="s">
        <v>650</v>
      </c>
    </row>
  </sheetData>
  <mergeCells count="1">
    <mergeCell ref="A1:H1"/>
  </mergeCells>
  <hyperlinks>
    <hyperlink ref="A2" r:id="rId1" location="'Start%20here'!A1" display="← Back to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8F99"/>
    <pageSetUpPr fitToPage="false"/>
  </sheetPr>
  <dimension ref="A1:H4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3" min="3" style="0" width="22"/>
    <col collapsed="false" customWidth="true" hidden="false" outlineLevel="0" max="4" min="4" style="0" width="44"/>
    <col collapsed="false" customWidth="true" hidden="false" outlineLevel="0" max="5" min="5" style="0" width="10"/>
    <col collapsed="false" customWidth="true" hidden="false" outlineLevel="0" max="6" min="6" style="0" width="12"/>
    <col collapsed="false" customWidth="true" hidden="false" outlineLevel="0" max="7" min="7" style="0" width="30"/>
    <col collapsed="false" customWidth="true" hidden="false" outlineLevel="0" max="8" min="8" style="0" width="40"/>
  </cols>
  <sheetData>
    <row r="1" customFormat="false" ht="42" hidden="false" customHeight="true" outlineLevel="0" collapsed="false">
      <c r="A1" s="12" t="s">
        <v>1161</v>
      </c>
      <c r="B1" s="12"/>
      <c r="C1" s="12"/>
      <c r="D1" s="12"/>
      <c r="E1" s="12"/>
      <c r="F1" s="12"/>
      <c r="G1" s="12"/>
      <c r="H1" s="12"/>
    </row>
    <row r="2" customFormat="false" ht="15" hidden="false" customHeight="false" outlineLevel="0" collapsed="false">
      <c r="A2" s="13" t="s">
        <v>129</v>
      </c>
    </row>
    <row r="4" customFormat="false" ht="33.75" hidden="false" customHeight="true" outlineLevel="0" collapsed="false">
      <c r="A4" s="14" t="s">
        <v>130</v>
      </c>
      <c r="B4" s="14" t="s">
        <v>110</v>
      </c>
      <c r="C4" s="14" t="s">
        <v>158</v>
      </c>
      <c r="D4" s="14" t="s">
        <v>653</v>
      </c>
      <c r="E4" s="14" t="s">
        <v>1162</v>
      </c>
      <c r="F4" s="14" t="s">
        <v>1163</v>
      </c>
      <c r="G4" s="14" t="s">
        <v>946</v>
      </c>
      <c r="H4" s="14" t="s">
        <v>1164</v>
      </c>
    </row>
    <row r="5" customFormat="false" ht="15" hidden="false" customHeight="false" outlineLevel="0" collapsed="false">
      <c r="A5" s="15" t="s">
        <v>137</v>
      </c>
      <c r="B5" s="15" t="s">
        <v>254</v>
      </c>
      <c r="C5" s="15" t="s">
        <v>166</v>
      </c>
      <c r="D5" s="17" t="s">
        <v>695</v>
      </c>
      <c r="E5" s="15" t="n">
        <v>2023</v>
      </c>
      <c r="F5" s="15" t="n">
        <v>250</v>
      </c>
      <c r="G5" s="15" t="s">
        <v>1165</v>
      </c>
      <c r="H5" s="15" t="s">
        <v>1166</v>
      </c>
    </row>
    <row r="6" customFormat="false" ht="15" hidden="false" customHeight="false" outlineLevel="0" collapsed="false">
      <c r="A6" s="15" t="s">
        <v>137</v>
      </c>
      <c r="B6" s="15" t="s">
        <v>372</v>
      </c>
      <c r="C6" s="15" t="s">
        <v>225</v>
      </c>
      <c r="D6" s="17" t="s">
        <v>664</v>
      </c>
      <c r="E6" s="15" t="n">
        <v>2026</v>
      </c>
      <c r="F6" s="15" t="n">
        <v>750</v>
      </c>
      <c r="G6" s="15" t="s">
        <v>1167</v>
      </c>
      <c r="H6" s="15" t="s">
        <v>1168</v>
      </c>
    </row>
    <row r="7" customFormat="false" ht="15" hidden="false" customHeight="false" outlineLevel="0" collapsed="false">
      <c r="A7" s="15" t="s">
        <v>137</v>
      </c>
      <c r="B7" s="15" t="s">
        <v>572</v>
      </c>
      <c r="C7" s="15" t="s">
        <v>166</v>
      </c>
      <c r="D7" s="17" t="s">
        <v>667</v>
      </c>
      <c r="E7" s="15" t="n">
        <v>2024</v>
      </c>
      <c r="F7" s="15" t="n">
        <v>1000</v>
      </c>
      <c r="G7" s="15" t="s">
        <v>1169</v>
      </c>
      <c r="H7" s="15" t="s">
        <v>1170</v>
      </c>
    </row>
    <row r="8" customFormat="false" ht="28.35" hidden="false" customHeight="false" outlineLevel="0" collapsed="false">
      <c r="A8" s="15" t="s">
        <v>137</v>
      </c>
      <c r="B8" s="15" t="s">
        <v>639</v>
      </c>
      <c r="C8" s="15" t="s">
        <v>166</v>
      </c>
      <c r="D8" s="17" t="s">
        <v>823</v>
      </c>
      <c r="E8" s="15" t="n">
        <v>2024</v>
      </c>
      <c r="F8" s="15" t="n">
        <v>2000</v>
      </c>
      <c r="G8" s="15" t="s">
        <v>1171</v>
      </c>
      <c r="H8" s="15" t="s">
        <v>1172</v>
      </c>
    </row>
    <row r="9" customFormat="false" ht="41.75" hidden="false" customHeight="false" outlineLevel="0" collapsed="false">
      <c r="A9" s="15" t="s">
        <v>137</v>
      </c>
      <c r="B9" s="15" t="s">
        <v>678</v>
      </c>
      <c r="C9" s="15" t="s">
        <v>166</v>
      </c>
      <c r="D9" s="17" t="s">
        <v>679</v>
      </c>
      <c r="E9" s="15" t="n">
        <v>2024</v>
      </c>
      <c r="F9" s="15" t="n">
        <v>2000</v>
      </c>
      <c r="G9" s="15" t="s">
        <v>1173</v>
      </c>
      <c r="H9" s="15" t="s">
        <v>1174</v>
      </c>
    </row>
    <row r="10" customFormat="false" ht="15" hidden="false" customHeight="false" outlineLevel="0" collapsed="false">
      <c r="A10" s="15" t="s">
        <v>137</v>
      </c>
      <c r="B10" s="15" t="s">
        <v>678</v>
      </c>
      <c r="C10" s="15" t="s">
        <v>166</v>
      </c>
      <c r="D10" s="17" t="s">
        <v>664</v>
      </c>
      <c r="E10" s="15" t="n">
        <v>2025</v>
      </c>
      <c r="F10" s="15" t="n">
        <v>500</v>
      </c>
      <c r="G10" s="15" t="s">
        <v>1175</v>
      </c>
      <c r="H10" s="15" t="s">
        <v>1176</v>
      </c>
    </row>
    <row r="11" customFormat="false" ht="28.35" hidden="false" customHeight="false" outlineLevel="0" collapsed="false">
      <c r="A11" s="15" t="s">
        <v>137</v>
      </c>
      <c r="B11" s="15" t="s">
        <v>682</v>
      </c>
      <c r="C11" s="15" t="s">
        <v>225</v>
      </c>
      <c r="D11" s="17" t="s">
        <v>674</v>
      </c>
      <c r="E11" s="15" t="n">
        <v>2024</v>
      </c>
      <c r="F11" s="15" t="n">
        <v>1000</v>
      </c>
      <c r="G11" s="15" t="s">
        <v>1177</v>
      </c>
      <c r="H11" s="15" t="s">
        <v>1178</v>
      </c>
    </row>
    <row r="12" customFormat="false" ht="41.75" hidden="false" customHeight="false" outlineLevel="0" collapsed="false">
      <c r="A12" s="15" t="s">
        <v>137</v>
      </c>
      <c r="B12" s="15" t="s">
        <v>685</v>
      </c>
      <c r="C12" s="15" t="s">
        <v>166</v>
      </c>
      <c r="D12" s="17" t="s">
        <v>679</v>
      </c>
      <c r="E12" s="15" t="n">
        <v>2026</v>
      </c>
      <c r="F12" s="15" t="n">
        <v>1000</v>
      </c>
      <c r="G12" s="15" t="s">
        <v>1179</v>
      </c>
      <c r="H12" s="15" t="s">
        <v>1180</v>
      </c>
    </row>
    <row r="13" customFormat="false" ht="41.75" hidden="false" customHeight="false" outlineLevel="0" collapsed="false">
      <c r="A13" s="15" t="s">
        <v>137</v>
      </c>
      <c r="B13" s="15" t="s">
        <v>690</v>
      </c>
      <c r="C13" s="15" t="s">
        <v>166</v>
      </c>
      <c r="D13" s="17" t="s">
        <v>660</v>
      </c>
      <c r="E13" s="15" t="n">
        <v>2024</v>
      </c>
      <c r="F13" s="15" t="n">
        <v>4000</v>
      </c>
      <c r="G13" s="15" t="s">
        <v>1181</v>
      </c>
      <c r="H13" s="15" t="s">
        <v>1182</v>
      </c>
    </row>
    <row r="14" customFormat="false" ht="15" hidden="false" customHeight="false" outlineLevel="0" collapsed="false">
      <c r="A14" s="15" t="s">
        <v>137</v>
      </c>
      <c r="B14" s="15" t="s">
        <v>692</v>
      </c>
      <c r="C14" s="15" t="s">
        <v>225</v>
      </c>
      <c r="D14" s="17" t="s">
        <v>693</v>
      </c>
      <c r="E14" s="15" t="n">
        <v>2022</v>
      </c>
      <c r="F14" s="15" t="n">
        <v>500</v>
      </c>
      <c r="G14" s="15" t="s">
        <v>1183</v>
      </c>
      <c r="H14" s="15" t="s">
        <v>1184</v>
      </c>
    </row>
    <row r="15" customFormat="false" ht="15" hidden="false" customHeight="false" outlineLevel="0" collapsed="false">
      <c r="A15" s="15" t="s">
        <v>137</v>
      </c>
      <c r="B15" s="15" t="s">
        <v>717</v>
      </c>
      <c r="C15" s="15" t="s">
        <v>166</v>
      </c>
      <c r="D15" s="17" t="s">
        <v>718</v>
      </c>
      <c r="E15" s="15" t="n">
        <v>2026</v>
      </c>
      <c r="F15" s="15" t="n">
        <v>750</v>
      </c>
      <c r="G15" s="15" t="s">
        <v>1185</v>
      </c>
      <c r="H15" s="15" t="s">
        <v>1186</v>
      </c>
    </row>
    <row r="16" customFormat="false" ht="15" hidden="false" customHeight="false" outlineLevel="0" collapsed="false">
      <c r="A16" s="15" t="s">
        <v>137</v>
      </c>
      <c r="B16" s="15" t="s">
        <v>728</v>
      </c>
      <c r="C16" s="15" t="s">
        <v>166</v>
      </c>
      <c r="D16" s="17" t="s">
        <v>662</v>
      </c>
      <c r="E16" s="15" t="n">
        <v>2022</v>
      </c>
      <c r="F16" s="15" t="n">
        <v>500</v>
      </c>
      <c r="G16" s="15" t="s">
        <v>1187</v>
      </c>
      <c r="H16" s="15" t="s">
        <v>1188</v>
      </c>
    </row>
    <row r="17" customFormat="false" ht="15" hidden="false" customHeight="false" outlineLevel="0" collapsed="false">
      <c r="A17" s="15" t="s">
        <v>137</v>
      </c>
      <c r="B17" s="15" t="s">
        <v>729</v>
      </c>
      <c r="C17" s="15" t="s">
        <v>166</v>
      </c>
      <c r="D17" s="17" t="s">
        <v>655</v>
      </c>
      <c r="E17" s="15" t="n">
        <v>2022</v>
      </c>
      <c r="F17" s="15" t="n">
        <v>500</v>
      </c>
      <c r="G17" s="15" t="s">
        <v>1189</v>
      </c>
      <c r="H17" s="15" t="s">
        <v>1190</v>
      </c>
    </row>
    <row r="18" customFormat="false" ht="15" hidden="false" customHeight="false" outlineLevel="0" collapsed="false">
      <c r="A18" s="15" t="s">
        <v>137</v>
      </c>
      <c r="B18" s="15" t="s">
        <v>730</v>
      </c>
      <c r="C18" s="15" t="s">
        <v>201</v>
      </c>
      <c r="D18" s="17" t="s">
        <v>718</v>
      </c>
      <c r="E18" s="15" t="n">
        <v>2022</v>
      </c>
      <c r="F18" s="15" t="n">
        <v>1000</v>
      </c>
      <c r="G18" s="15" t="s">
        <v>1191</v>
      </c>
      <c r="H18" s="15" t="s">
        <v>1192</v>
      </c>
    </row>
    <row r="19" customFormat="false" ht="28.35" hidden="false" customHeight="false" outlineLevel="0" collapsed="false">
      <c r="A19" s="15" t="s">
        <v>137</v>
      </c>
      <c r="B19" s="15" t="s">
        <v>759</v>
      </c>
      <c r="C19" s="15" t="s">
        <v>201</v>
      </c>
      <c r="D19" s="17" t="s">
        <v>760</v>
      </c>
      <c r="E19" s="15" t="n">
        <v>2024</v>
      </c>
      <c r="F19" s="15" t="n">
        <v>750</v>
      </c>
      <c r="G19" s="15" t="s">
        <v>1193</v>
      </c>
      <c r="H19" s="15" t="s">
        <v>1194</v>
      </c>
    </row>
    <row r="20" customFormat="false" ht="15" hidden="false" customHeight="false" outlineLevel="0" collapsed="false">
      <c r="A20" s="15" t="s">
        <v>137</v>
      </c>
      <c r="B20" s="15" t="s">
        <v>773</v>
      </c>
      <c r="C20" s="15" t="s">
        <v>166</v>
      </c>
      <c r="D20" s="17" t="s">
        <v>667</v>
      </c>
      <c r="E20" s="15" t="n">
        <v>2024</v>
      </c>
      <c r="F20" s="15" t="n">
        <v>250</v>
      </c>
      <c r="G20" s="15" t="s">
        <v>1195</v>
      </c>
      <c r="H20" s="15" t="s">
        <v>1196</v>
      </c>
    </row>
    <row r="21" customFormat="false" ht="15" hidden="false" customHeight="false" outlineLevel="0" collapsed="false">
      <c r="A21" s="15" t="s">
        <v>137</v>
      </c>
      <c r="B21" s="15" t="s">
        <v>780</v>
      </c>
      <c r="C21" s="15" t="s">
        <v>166</v>
      </c>
      <c r="D21" s="17" t="s">
        <v>655</v>
      </c>
      <c r="E21" s="15" t="n">
        <v>2024</v>
      </c>
      <c r="F21" s="15" t="n">
        <v>2000</v>
      </c>
      <c r="G21" s="15" t="s">
        <v>1197</v>
      </c>
      <c r="H21" s="15" t="s">
        <v>1198</v>
      </c>
    </row>
    <row r="22" customFormat="false" ht="28.35" hidden="false" customHeight="false" outlineLevel="0" collapsed="false">
      <c r="A22" s="15" t="s">
        <v>137</v>
      </c>
      <c r="B22" s="15" t="s">
        <v>817</v>
      </c>
      <c r="C22" s="15" t="s">
        <v>166</v>
      </c>
      <c r="D22" s="17" t="s">
        <v>760</v>
      </c>
      <c r="E22" s="15" t="n">
        <v>2024</v>
      </c>
      <c r="F22" s="15" t="n">
        <v>2000</v>
      </c>
      <c r="G22" s="15" t="s">
        <v>1199</v>
      </c>
      <c r="H22" s="15" t="s">
        <v>1200</v>
      </c>
    </row>
    <row r="23" customFormat="false" ht="28.35" hidden="false" customHeight="false" outlineLevel="0" collapsed="false">
      <c r="A23" s="15" t="s">
        <v>137</v>
      </c>
      <c r="B23" s="15" t="s">
        <v>822</v>
      </c>
      <c r="C23" s="15" t="s">
        <v>166</v>
      </c>
      <c r="D23" s="17" t="s">
        <v>823</v>
      </c>
      <c r="E23" s="15" t="n">
        <v>2024</v>
      </c>
      <c r="F23" s="15" t="n">
        <v>3000</v>
      </c>
      <c r="G23" s="15" t="s">
        <v>1201</v>
      </c>
      <c r="H23" s="15" t="s">
        <v>1202</v>
      </c>
    </row>
    <row r="24" customFormat="false" ht="15" hidden="false" customHeight="false" outlineLevel="0" collapsed="false">
      <c r="A24" s="15" t="s">
        <v>137</v>
      </c>
      <c r="B24" s="15" t="s">
        <v>824</v>
      </c>
      <c r="C24" s="15" t="s">
        <v>166</v>
      </c>
      <c r="D24" s="17" t="s">
        <v>662</v>
      </c>
      <c r="E24" s="15" t="n">
        <v>2024</v>
      </c>
      <c r="F24" s="15" t="n">
        <v>250</v>
      </c>
      <c r="G24" s="15" t="s">
        <v>1203</v>
      </c>
      <c r="H24" s="15" t="s">
        <v>1204</v>
      </c>
    </row>
    <row r="25" customFormat="false" ht="15" hidden="false" customHeight="false" outlineLevel="0" collapsed="false">
      <c r="A25" s="15" t="s">
        <v>137</v>
      </c>
      <c r="B25" s="15" t="s">
        <v>828</v>
      </c>
      <c r="C25" s="15" t="s">
        <v>166</v>
      </c>
      <c r="D25" s="17" t="s">
        <v>658</v>
      </c>
      <c r="E25" s="15" t="n">
        <v>2024</v>
      </c>
      <c r="F25" s="15" t="n">
        <v>250</v>
      </c>
      <c r="G25" s="15" t="s">
        <v>1205</v>
      </c>
      <c r="H25" s="15" t="s">
        <v>1206</v>
      </c>
    </row>
    <row r="26" customFormat="false" ht="28.35" hidden="false" customHeight="false" outlineLevel="0" collapsed="false">
      <c r="A26" s="15" t="s">
        <v>137</v>
      </c>
      <c r="B26" s="15" t="s">
        <v>832</v>
      </c>
      <c r="C26" s="15" t="s">
        <v>166</v>
      </c>
      <c r="D26" s="17" t="s">
        <v>724</v>
      </c>
      <c r="E26" s="15" t="n">
        <v>2024</v>
      </c>
      <c r="F26" s="15" t="n">
        <v>3000</v>
      </c>
      <c r="G26" s="15" t="s">
        <v>1207</v>
      </c>
      <c r="H26" s="15" t="s">
        <v>1208</v>
      </c>
    </row>
    <row r="27" customFormat="false" ht="15" hidden="false" customHeight="false" outlineLevel="0" collapsed="false">
      <c r="A27" s="15" t="s">
        <v>137</v>
      </c>
      <c r="B27" s="15" t="s">
        <v>837</v>
      </c>
      <c r="C27" s="15" t="s">
        <v>166</v>
      </c>
      <c r="D27" s="17" t="s">
        <v>704</v>
      </c>
      <c r="E27" s="15" t="n">
        <v>2023</v>
      </c>
      <c r="F27" s="15" t="n">
        <v>500</v>
      </c>
      <c r="G27" s="15" t="s">
        <v>1209</v>
      </c>
      <c r="H27" s="15" t="s">
        <v>1210</v>
      </c>
    </row>
    <row r="28" customFormat="false" ht="15" hidden="false" customHeight="false" outlineLevel="0" collapsed="false">
      <c r="A28" s="15" t="s">
        <v>137</v>
      </c>
      <c r="B28" s="15" t="s">
        <v>840</v>
      </c>
      <c r="C28" s="15" t="s">
        <v>166</v>
      </c>
      <c r="D28" s="17" t="s">
        <v>655</v>
      </c>
      <c r="E28" s="15" t="n">
        <v>2022</v>
      </c>
      <c r="F28" s="15" t="n">
        <v>500</v>
      </c>
      <c r="G28" s="15" t="s">
        <v>1211</v>
      </c>
      <c r="H28" s="15" t="s">
        <v>1212</v>
      </c>
    </row>
    <row r="29" customFormat="false" ht="28.35" hidden="false" customHeight="false" outlineLevel="0" collapsed="false">
      <c r="A29" s="15" t="s">
        <v>137</v>
      </c>
      <c r="B29" s="15" t="s">
        <v>847</v>
      </c>
      <c r="C29" s="15" t="s">
        <v>166</v>
      </c>
      <c r="D29" s="17" t="s">
        <v>765</v>
      </c>
      <c r="E29" s="15" t="n">
        <v>2024</v>
      </c>
      <c r="F29" s="15" t="n">
        <v>7000</v>
      </c>
      <c r="G29" s="15" t="s">
        <v>1213</v>
      </c>
      <c r="H29" s="15" t="s">
        <v>1214</v>
      </c>
    </row>
    <row r="30" customFormat="false" ht="15" hidden="false" customHeight="false" outlineLevel="0" collapsed="false">
      <c r="A30" s="15" t="s">
        <v>137</v>
      </c>
      <c r="B30" s="15" t="s">
        <v>853</v>
      </c>
      <c r="C30" s="15" t="s">
        <v>166</v>
      </c>
      <c r="D30" s="17" t="s">
        <v>655</v>
      </c>
      <c r="E30" s="15" t="n">
        <v>2024</v>
      </c>
      <c r="F30" s="15" t="n">
        <v>500</v>
      </c>
      <c r="G30" s="15" t="s">
        <v>1215</v>
      </c>
      <c r="H30" s="15" t="s">
        <v>1216</v>
      </c>
    </row>
    <row r="31" customFormat="false" ht="15" hidden="false" customHeight="false" outlineLevel="0" collapsed="false">
      <c r="A31" s="15" t="s">
        <v>137</v>
      </c>
      <c r="B31" s="15" t="s">
        <v>856</v>
      </c>
      <c r="C31" s="15" t="s">
        <v>166</v>
      </c>
      <c r="D31" s="17" t="s">
        <v>695</v>
      </c>
      <c r="E31" s="15" t="n">
        <v>2022</v>
      </c>
      <c r="F31" s="15" t="n">
        <v>250</v>
      </c>
      <c r="G31" s="15" t="s">
        <v>1217</v>
      </c>
      <c r="H31" s="15" t="s">
        <v>1218</v>
      </c>
    </row>
    <row r="32" customFormat="false" ht="15" hidden="false" customHeight="false" outlineLevel="0" collapsed="false">
      <c r="A32" s="15" t="s">
        <v>137</v>
      </c>
      <c r="B32" s="15" t="s">
        <v>858</v>
      </c>
      <c r="C32" s="15" t="s">
        <v>166</v>
      </c>
      <c r="D32" s="17" t="s">
        <v>655</v>
      </c>
      <c r="E32" s="15" t="n">
        <v>2024</v>
      </c>
      <c r="F32" s="15" t="n">
        <v>750</v>
      </c>
      <c r="G32" s="15" t="s">
        <v>1219</v>
      </c>
      <c r="H32" s="15" t="s">
        <v>1220</v>
      </c>
    </row>
    <row r="33" customFormat="false" ht="28.35" hidden="false" customHeight="false" outlineLevel="0" collapsed="false">
      <c r="A33" s="15" t="s">
        <v>137</v>
      </c>
      <c r="B33" s="15" t="s">
        <v>868</v>
      </c>
      <c r="C33" s="15" t="s">
        <v>166</v>
      </c>
      <c r="D33" s="17" t="s">
        <v>869</v>
      </c>
      <c r="E33" s="15" t="n">
        <v>2024</v>
      </c>
      <c r="F33" s="15" t="n">
        <v>500</v>
      </c>
      <c r="G33" s="15" t="s">
        <v>1221</v>
      </c>
      <c r="H33" s="15" t="s">
        <v>1222</v>
      </c>
    </row>
    <row r="34" customFormat="false" ht="15" hidden="false" customHeight="false" outlineLevel="0" collapsed="false">
      <c r="A34" s="15" t="s">
        <v>137</v>
      </c>
      <c r="B34" s="15" t="s">
        <v>871</v>
      </c>
      <c r="C34" s="15" t="s">
        <v>166</v>
      </c>
      <c r="D34" s="17" t="s">
        <v>700</v>
      </c>
      <c r="E34" s="15" t="n">
        <v>2023</v>
      </c>
      <c r="F34" s="15" t="n">
        <v>500</v>
      </c>
      <c r="G34" s="15" t="s">
        <v>1223</v>
      </c>
      <c r="H34" s="15" t="s">
        <v>1224</v>
      </c>
    </row>
    <row r="35" customFormat="false" ht="15" hidden="false" customHeight="false" outlineLevel="0" collapsed="false">
      <c r="A35" s="15" t="s">
        <v>137</v>
      </c>
      <c r="B35" s="15" t="s">
        <v>885</v>
      </c>
      <c r="C35" s="15" t="s">
        <v>166</v>
      </c>
      <c r="D35" s="17" t="s">
        <v>658</v>
      </c>
      <c r="E35" s="15" t="n">
        <v>2024</v>
      </c>
      <c r="F35" s="15" t="n">
        <v>500</v>
      </c>
      <c r="G35" s="15" t="s">
        <v>1225</v>
      </c>
      <c r="H35" s="15" t="s">
        <v>1226</v>
      </c>
    </row>
    <row r="36" customFormat="false" ht="15" hidden="false" customHeight="false" outlineLevel="0" collapsed="false">
      <c r="A36" s="15" t="s">
        <v>137</v>
      </c>
      <c r="B36" s="15" t="s">
        <v>891</v>
      </c>
      <c r="C36" s="15" t="s">
        <v>166</v>
      </c>
      <c r="D36" s="17" t="s">
        <v>662</v>
      </c>
      <c r="E36" s="15" t="n">
        <v>2024</v>
      </c>
      <c r="F36" s="15" t="n">
        <v>250</v>
      </c>
      <c r="G36" s="15" t="s">
        <v>1227</v>
      </c>
      <c r="H36" s="15" t="s">
        <v>1228</v>
      </c>
    </row>
    <row r="37" customFormat="false" ht="15" hidden="false" customHeight="false" outlineLevel="0" collapsed="false">
      <c r="A37" s="15" t="s">
        <v>137</v>
      </c>
      <c r="B37" s="15" t="s">
        <v>891</v>
      </c>
      <c r="C37" s="15" t="s">
        <v>166</v>
      </c>
      <c r="D37" s="17" t="s">
        <v>662</v>
      </c>
      <c r="E37" s="15" t="n">
        <v>2024</v>
      </c>
      <c r="F37" s="15" t="n">
        <v>250</v>
      </c>
      <c r="G37" s="15" t="s">
        <v>1229</v>
      </c>
      <c r="H37" s="15" t="s">
        <v>1230</v>
      </c>
    </row>
    <row r="38" customFormat="false" ht="28.35" hidden="false" customHeight="false" outlineLevel="0" collapsed="false">
      <c r="A38" s="15" t="s">
        <v>137</v>
      </c>
      <c r="B38" s="15" t="s">
        <v>893</v>
      </c>
      <c r="C38" s="15" t="s">
        <v>166</v>
      </c>
      <c r="D38" s="17" t="s">
        <v>765</v>
      </c>
      <c r="E38" s="15" t="n">
        <v>2024</v>
      </c>
      <c r="F38" s="15" t="n">
        <v>1000</v>
      </c>
      <c r="G38" s="15" t="s">
        <v>1231</v>
      </c>
      <c r="H38" s="15" t="s">
        <v>1232</v>
      </c>
    </row>
    <row r="39" customFormat="false" ht="15" hidden="false" customHeight="false" outlineLevel="0" collapsed="false">
      <c r="A39" s="15" t="s">
        <v>137</v>
      </c>
      <c r="B39" s="15" t="s">
        <v>894</v>
      </c>
      <c r="C39" s="15" t="s">
        <v>166</v>
      </c>
      <c r="D39" s="17" t="s">
        <v>695</v>
      </c>
      <c r="E39" s="15" t="n">
        <v>2023</v>
      </c>
      <c r="F39" s="15" t="n">
        <v>250</v>
      </c>
      <c r="G39" s="15" t="s">
        <v>1233</v>
      </c>
      <c r="H39" s="15" t="s">
        <v>1234</v>
      </c>
    </row>
    <row r="40" customFormat="false" ht="15" hidden="false" customHeight="false" outlineLevel="0" collapsed="false">
      <c r="A40" s="15" t="s">
        <v>137</v>
      </c>
      <c r="B40" s="15" t="s">
        <v>899</v>
      </c>
      <c r="C40" s="15" t="s">
        <v>166</v>
      </c>
      <c r="D40" s="17" t="s">
        <v>732</v>
      </c>
      <c r="E40" s="15" t="n">
        <v>2024</v>
      </c>
      <c r="F40" s="15" t="n">
        <v>500</v>
      </c>
      <c r="G40" s="15" t="s">
        <v>1235</v>
      </c>
      <c r="H40" s="15" t="s">
        <v>1236</v>
      </c>
    </row>
    <row r="41" customFormat="false" ht="15" hidden="false" customHeight="false" outlineLevel="0" collapsed="false">
      <c r="A41" s="15" t="s">
        <v>137</v>
      </c>
      <c r="B41" s="15" t="s">
        <v>899</v>
      </c>
      <c r="C41" s="15" t="s">
        <v>166</v>
      </c>
      <c r="D41" s="17" t="s">
        <v>662</v>
      </c>
      <c r="E41" s="15" t="n">
        <v>2024</v>
      </c>
      <c r="F41" s="15" t="n">
        <v>500</v>
      </c>
      <c r="G41" s="15" t="s">
        <v>1237</v>
      </c>
      <c r="H41" s="15" t="s">
        <v>1238</v>
      </c>
    </row>
    <row r="42" customFormat="false" ht="15" hidden="false" customHeight="false" outlineLevel="0" collapsed="false">
      <c r="A42" s="15" t="s">
        <v>137</v>
      </c>
      <c r="B42" s="15" t="s">
        <v>906</v>
      </c>
      <c r="C42" s="15" t="s">
        <v>166</v>
      </c>
      <c r="D42" s="17" t="s">
        <v>700</v>
      </c>
      <c r="E42" s="15" t="n">
        <v>2024</v>
      </c>
      <c r="F42" s="15" t="n">
        <v>7000</v>
      </c>
      <c r="G42" s="15" t="s">
        <v>1239</v>
      </c>
      <c r="H42" s="15" t="s">
        <v>1240</v>
      </c>
    </row>
    <row r="43" customFormat="false" ht="15" hidden="false" customHeight="false" outlineLevel="0" collapsed="false">
      <c r="A43" s="15" t="s">
        <v>137</v>
      </c>
      <c r="B43" s="15" t="s">
        <v>908</v>
      </c>
      <c r="C43" s="15" t="s">
        <v>166</v>
      </c>
      <c r="D43" s="17" t="s">
        <v>695</v>
      </c>
      <c r="E43" s="15" t="n">
        <v>2022</v>
      </c>
      <c r="F43" s="15" t="n">
        <v>250</v>
      </c>
      <c r="G43" s="15" t="s">
        <v>1241</v>
      </c>
      <c r="H43" s="15" t="s">
        <v>1242</v>
      </c>
    </row>
    <row r="44" customFormat="false" ht="15" hidden="false" customHeight="false" outlineLevel="0" collapsed="false">
      <c r="A44" s="15" t="s">
        <v>137</v>
      </c>
      <c r="B44" s="15" t="s">
        <v>909</v>
      </c>
      <c r="C44" s="15" t="s">
        <v>166</v>
      </c>
      <c r="D44" s="17" t="s">
        <v>662</v>
      </c>
      <c r="E44" s="15" t="n">
        <v>2022</v>
      </c>
      <c r="F44" s="15" t="n">
        <v>250</v>
      </c>
      <c r="G44" s="15" t="s">
        <v>1243</v>
      </c>
      <c r="H44" s="15" t="s">
        <v>1244</v>
      </c>
    </row>
    <row r="45" customFormat="false" ht="15" hidden="false" customHeight="false" outlineLevel="0" collapsed="false">
      <c r="A45" s="15" t="s">
        <v>137</v>
      </c>
      <c r="B45" s="15" t="s">
        <v>911</v>
      </c>
      <c r="C45" s="15" t="s">
        <v>166</v>
      </c>
      <c r="D45" s="17" t="s">
        <v>695</v>
      </c>
      <c r="E45" s="15" t="n">
        <v>2024</v>
      </c>
      <c r="F45" s="15" t="n">
        <v>500</v>
      </c>
      <c r="G45" s="15" t="s">
        <v>1245</v>
      </c>
      <c r="H45" s="15" t="s">
        <v>1246</v>
      </c>
    </row>
    <row r="46" customFormat="false" ht="28.35" hidden="false" customHeight="false" outlineLevel="0" collapsed="false">
      <c r="A46" s="15" t="s">
        <v>137</v>
      </c>
      <c r="B46" s="15" t="s">
        <v>912</v>
      </c>
      <c r="C46" s="15" t="s">
        <v>166</v>
      </c>
      <c r="D46" s="17" t="s">
        <v>724</v>
      </c>
      <c r="E46" s="15" t="n">
        <v>2024</v>
      </c>
      <c r="F46" s="15" t="n">
        <v>3000</v>
      </c>
      <c r="G46" s="15" t="s">
        <v>1247</v>
      </c>
      <c r="H46" s="15" t="s">
        <v>1248</v>
      </c>
    </row>
    <row r="47" customFormat="false" ht="15" hidden="false" customHeight="false" outlineLevel="0" collapsed="false">
      <c r="A47" s="15" t="s">
        <v>137</v>
      </c>
      <c r="B47" s="15" t="s">
        <v>914</v>
      </c>
      <c r="C47" s="15" t="s">
        <v>166</v>
      </c>
      <c r="D47" s="17" t="s">
        <v>704</v>
      </c>
      <c r="E47" s="15" t="n">
        <v>2024</v>
      </c>
      <c r="F47" s="15" t="n">
        <v>7000</v>
      </c>
      <c r="G47" s="15" t="s">
        <v>1249</v>
      </c>
      <c r="H47" s="15" t="s">
        <v>1250</v>
      </c>
    </row>
    <row r="48" customFormat="false" ht="15" hidden="false" customHeight="false" outlineLevel="0" collapsed="false">
      <c r="A48" s="15" t="s">
        <v>137</v>
      </c>
      <c r="B48" s="15" t="s">
        <v>915</v>
      </c>
      <c r="C48" s="15" t="s">
        <v>166</v>
      </c>
      <c r="D48" s="17" t="s">
        <v>695</v>
      </c>
      <c r="E48" s="15" t="n">
        <v>2023</v>
      </c>
      <c r="F48" s="15" t="n">
        <v>500</v>
      </c>
      <c r="G48" s="15" t="s">
        <v>1251</v>
      </c>
      <c r="H48" s="15" t="s">
        <v>1252</v>
      </c>
    </row>
    <row r="49" customFormat="false" ht="15" hidden="false" customHeight="false" outlineLevel="0" collapsed="false">
      <c r="A49" s="15" t="s">
        <v>137</v>
      </c>
      <c r="B49" s="15" t="s">
        <v>917</v>
      </c>
      <c r="C49" s="15" t="s">
        <v>166</v>
      </c>
      <c r="D49" s="17" t="s">
        <v>700</v>
      </c>
      <c r="E49" s="15" t="n">
        <v>2024</v>
      </c>
      <c r="F49" s="15" t="n">
        <v>7000</v>
      </c>
      <c r="G49" s="15" t="s">
        <v>1253</v>
      </c>
      <c r="H49" s="15" t="s">
        <v>1254</v>
      </c>
    </row>
    <row r="50" customFormat="false" ht="15" hidden="false" customHeight="false" outlineLevel="0" collapsed="false">
      <c r="A50" s="15" t="s">
        <v>137</v>
      </c>
      <c r="B50" s="15" t="s">
        <v>919</v>
      </c>
      <c r="C50" s="15" t="s">
        <v>166</v>
      </c>
      <c r="D50" s="17" t="s">
        <v>655</v>
      </c>
      <c r="E50" s="15" t="n">
        <v>2022</v>
      </c>
      <c r="F50" s="15" t="n">
        <v>500</v>
      </c>
      <c r="G50" s="15" t="s">
        <v>1255</v>
      </c>
      <c r="H50" s="15" t="s">
        <v>1256</v>
      </c>
    </row>
    <row r="51" customFormat="false" ht="15" hidden="false" customHeight="false" outlineLevel="0" collapsed="false">
      <c r="A51" s="15" t="s">
        <v>137</v>
      </c>
      <c r="B51" s="15" t="s">
        <v>922</v>
      </c>
      <c r="C51" s="15" t="s">
        <v>166</v>
      </c>
      <c r="D51" s="17" t="s">
        <v>695</v>
      </c>
      <c r="E51" s="15" t="n">
        <v>2021</v>
      </c>
      <c r="F51" s="15" t="n">
        <v>250</v>
      </c>
      <c r="G51" s="15" t="s">
        <v>1257</v>
      </c>
      <c r="H51" s="15" t="s">
        <v>1258</v>
      </c>
    </row>
    <row r="52" customFormat="false" ht="15" hidden="false" customHeight="false" outlineLevel="0" collapsed="false">
      <c r="A52" s="15" t="s">
        <v>137</v>
      </c>
      <c r="B52" s="15" t="s">
        <v>925</v>
      </c>
      <c r="C52" s="15" t="s">
        <v>166</v>
      </c>
      <c r="D52" s="17" t="s">
        <v>732</v>
      </c>
      <c r="E52" s="15" t="n">
        <v>2023</v>
      </c>
      <c r="F52" s="15" t="n">
        <v>1000</v>
      </c>
      <c r="G52" s="15" t="s">
        <v>1259</v>
      </c>
      <c r="H52" s="15" t="s">
        <v>1260</v>
      </c>
    </row>
    <row r="53" customFormat="false" ht="15" hidden="false" customHeight="false" outlineLevel="0" collapsed="false">
      <c r="A53" s="15" t="s">
        <v>137</v>
      </c>
      <c r="B53" s="15" t="s">
        <v>926</v>
      </c>
      <c r="C53" s="15" t="s">
        <v>166</v>
      </c>
      <c r="D53" s="17" t="s">
        <v>662</v>
      </c>
      <c r="E53" s="15" t="n">
        <v>2024</v>
      </c>
      <c r="F53" s="15" t="n">
        <v>250</v>
      </c>
      <c r="G53" s="15" t="s">
        <v>1261</v>
      </c>
      <c r="H53" s="15" t="s">
        <v>1262</v>
      </c>
    </row>
    <row r="54" customFormat="false" ht="15" hidden="false" customHeight="false" outlineLevel="0" collapsed="false">
      <c r="A54" s="15" t="s">
        <v>137</v>
      </c>
      <c r="B54" s="15" t="s">
        <v>927</v>
      </c>
      <c r="C54" s="15" t="s">
        <v>166</v>
      </c>
      <c r="D54" s="17" t="s">
        <v>658</v>
      </c>
      <c r="E54" s="15" t="n">
        <v>2024</v>
      </c>
      <c r="F54" s="15" t="n">
        <v>250</v>
      </c>
      <c r="G54" s="15" t="s">
        <v>1263</v>
      </c>
      <c r="H54" s="15" t="s">
        <v>1264</v>
      </c>
    </row>
    <row r="55" customFormat="false" ht="28.35" hidden="false" customHeight="false" outlineLevel="0" collapsed="false">
      <c r="A55" s="15" t="s">
        <v>137</v>
      </c>
      <c r="B55" s="15" t="s">
        <v>928</v>
      </c>
      <c r="C55" s="15" t="s">
        <v>166</v>
      </c>
      <c r="D55" s="17" t="s">
        <v>765</v>
      </c>
      <c r="E55" s="15" t="n">
        <v>2024</v>
      </c>
      <c r="F55" s="15" t="n">
        <v>2000</v>
      </c>
      <c r="G55" s="15" t="s">
        <v>1265</v>
      </c>
      <c r="H55" s="15" t="s">
        <v>1266</v>
      </c>
    </row>
    <row r="56" customFormat="false" ht="28.35" hidden="false" customHeight="false" outlineLevel="0" collapsed="false">
      <c r="A56" s="15" t="s">
        <v>137</v>
      </c>
      <c r="B56" s="15" t="s">
        <v>930</v>
      </c>
      <c r="C56" s="15" t="s">
        <v>166</v>
      </c>
      <c r="D56" s="17" t="s">
        <v>931</v>
      </c>
      <c r="E56" s="15" t="n">
        <v>2026</v>
      </c>
      <c r="F56" s="15" t="n">
        <v>1000</v>
      </c>
      <c r="G56" s="15" t="s">
        <v>1267</v>
      </c>
      <c r="H56" s="15" t="s">
        <v>1268</v>
      </c>
    </row>
    <row r="57" customFormat="false" ht="15" hidden="false" customHeight="false" outlineLevel="0" collapsed="false">
      <c r="A57" s="15" t="s">
        <v>137</v>
      </c>
      <c r="B57" s="15" t="s">
        <v>932</v>
      </c>
      <c r="C57" s="15" t="s">
        <v>166</v>
      </c>
      <c r="D57" s="17" t="s">
        <v>695</v>
      </c>
      <c r="E57" s="15" t="n">
        <v>2024</v>
      </c>
      <c r="F57" s="15" t="n">
        <v>250</v>
      </c>
      <c r="G57" s="15" t="s">
        <v>1269</v>
      </c>
      <c r="H57" s="15" t="s">
        <v>1270</v>
      </c>
    </row>
    <row r="58" customFormat="false" ht="15" hidden="false" customHeight="false" outlineLevel="0" collapsed="false">
      <c r="A58" s="15" t="s">
        <v>137</v>
      </c>
      <c r="B58" s="15" t="s">
        <v>934</v>
      </c>
      <c r="C58" s="15" t="s">
        <v>166</v>
      </c>
      <c r="D58" s="17" t="s">
        <v>669</v>
      </c>
      <c r="E58" s="15" t="n">
        <v>2024</v>
      </c>
      <c r="F58" s="15" t="n">
        <v>2000</v>
      </c>
      <c r="G58" s="15" t="s">
        <v>1271</v>
      </c>
      <c r="H58" s="15" t="s">
        <v>1272</v>
      </c>
    </row>
    <row r="59" customFormat="false" ht="15" hidden="false" customHeight="false" outlineLevel="0" collapsed="false">
      <c r="A59" s="15" t="s">
        <v>137</v>
      </c>
      <c r="B59" s="15" t="s">
        <v>941</v>
      </c>
      <c r="C59" s="15" t="s">
        <v>166</v>
      </c>
      <c r="D59" s="17" t="s">
        <v>695</v>
      </c>
      <c r="E59" s="15" t="n">
        <v>2024</v>
      </c>
      <c r="F59" s="15" t="n">
        <v>500</v>
      </c>
      <c r="G59" s="15" t="s">
        <v>1273</v>
      </c>
      <c r="H59" s="15" t="s">
        <v>1274</v>
      </c>
    </row>
    <row r="60" customFormat="false" ht="15" hidden="false" customHeight="false" outlineLevel="0" collapsed="false">
      <c r="A60" s="15" t="s">
        <v>137</v>
      </c>
      <c r="B60" s="15" t="s">
        <v>942</v>
      </c>
      <c r="C60" s="15" t="s">
        <v>166</v>
      </c>
      <c r="D60" s="17" t="s">
        <v>695</v>
      </c>
      <c r="E60" s="15" t="n">
        <v>2022</v>
      </c>
      <c r="F60" s="15" t="n">
        <v>250</v>
      </c>
      <c r="G60" s="15" t="s">
        <v>1275</v>
      </c>
      <c r="H60" s="15" t="s">
        <v>1276</v>
      </c>
    </row>
    <row r="61" customFormat="false" ht="41.75" hidden="false" customHeight="false" outlineLevel="0" collapsed="false">
      <c r="A61" s="15" t="s">
        <v>139</v>
      </c>
      <c r="B61" s="15" t="s">
        <v>174</v>
      </c>
      <c r="C61" s="15" t="s">
        <v>225</v>
      </c>
      <c r="D61" s="17" t="s">
        <v>679</v>
      </c>
      <c r="E61" s="15" t="n">
        <v>2025</v>
      </c>
      <c r="F61" s="15" t="n">
        <v>3000</v>
      </c>
      <c r="G61" s="15" t="s">
        <v>1277</v>
      </c>
      <c r="H61" s="15" t="s">
        <v>1278</v>
      </c>
    </row>
    <row r="62" customFormat="false" ht="28.35" hidden="false" customHeight="false" outlineLevel="0" collapsed="false">
      <c r="A62" s="15" t="s">
        <v>139</v>
      </c>
      <c r="B62" s="15" t="s">
        <v>372</v>
      </c>
      <c r="C62" s="15" t="s">
        <v>166</v>
      </c>
      <c r="D62" s="17" t="s">
        <v>1279</v>
      </c>
      <c r="E62" s="15" t="n">
        <v>2026</v>
      </c>
      <c r="F62" s="15" t="n">
        <v>3000</v>
      </c>
      <c r="G62" s="15" t="s">
        <v>1280</v>
      </c>
      <c r="H62" s="15" t="s">
        <v>1281</v>
      </c>
    </row>
    <row r="63" customFormat="false" ht="15" hidden="false" customHeight="false" outlineLevel="0" collapsed="false">
      <c r="A63" s="15" t="s">
        <v>139</v>
      </c>
      <c r="B63" s="15" t="s">
        <v>405</v>
      </c>
      <c r="C63" s="15" t="s">
        <v>166</v>
      </c>
      <c r="D63" s="17" t="s">
        <v>695</v>
      </c>
      <c r="E63" s="15" t="n">
        <v>2022</v>
      </c>
      <c r="F63" s="15" t="n">
        <v>250</v>
      </c>
      <c r="G63" s="15" t="s">
        <v>1282</v>
      </c>
      <c r="H63" s="15" t="s">
        <v>1283</v>
      </c>
    </row>
    <row r="64" customFormat="false" ht="28.35" hidden="false" customHeight="false" outlineLevel="0" collapsed="false">
      <c r="A64" s="15" t="s">
        <v>139</v>
      </c>
      <c r="B64" s="15" t="s">
        <v>639</v>
      </c>
      <c r="C64" s="15" t="s">
        <v>166</v>
      </c>
      <c r="D64" s="17" t="s">
        <v>823</v>
      </c>
      <c r="E64" s="15" t="n">
        <v>2024</v>
      </c>
      <c r="F64" s="15" t="n">
        <v>2000</v>
      </c>
      <c r="G64" s="15" t="s">
        <v>1284</v>
      </c>
      <c r="H64" s="15" t="s">
        <v>1172</v>
      </c>
    </row>
    <row r="65" customFormat="false" ht="15" hidden="false" customHeight="false" outlineLevel="0" collapsed="false">
      <c r="A65" s="15" t="s">
        <v>139</v>
      </c>
      <c r="B65" s="15" t="s">
        <v>656</v>
      </c>
      <c r="C65" s="15" t="s">
        <v>166</v>
      </c>
      <c r="D65" s="17" t="s">
        <v>658</v>
      </c>
      <c r="E65" s="15" t="n">
        <v>2024</v>
      </c>
      <c r="F65" s="15" t="n">
        <v>250</v>
      </c>
      <c r="G65" s="15" t="s">
        <v>1285</v>
      </c>
      <c r="H65" s="15" t="s">
        <v>1286</v>
      </c>
    </row>
    <row r="66" customFormat="false" ht="28.35" hidden="false" customHeight="false" outlineLevel="0" collapsed="false">
      <c r="A66" s="15" t="s">
        <v>139</v>
      </c>
      <c r="B66" s="15" t="s">
        <v>672</v>
      </c>
      <c r="C66" s="15" t="s">
        <v>166</v>
      </c>
      <c r="D66" s="17" t="s">
        <v>674</v>
      </c>
      <c r="E66" s="15" t="n">
        <v>2024</v>
      </c>
      <c r="F66" s="15" t="n">
        <v>2000</v>
      </c>
      <c r="G66" s="15" t="s">
        <v>1287</v>
      </c>
      <c r="H66" s="15" t="s">
        <v>1288</v>
      </c>
    </row>
    <row r="67" customFormat="false" ht="15" hidden="false" customHeight="false" outlineLevel="0" collapsed="false">
      <c r="A67" s="15" t="s">
        <v>139</v>
      </c>
      <c r="B67" s="15" t="s">
        <v>681</v>
      </c>
      <c r="C67" s="15" t="s">
        <v>166</v>
      </c>
      <c r="D67" s="17" t="s">
        <v>658</v>
      </c>
      <c r="E67" s="15" t="n">
        <v>2024</v>
      </c>
      <c r="F67" s="15" t="n">
        <v>500</v>
      </c>
      <c r="G67" s="15" t="s">
        <v>1289</v>
      </c>
      <c r="H67" s="15" t="s">
        <v>1290</v>
      </c>
    </row>
    <row r="68" customFormat="false" ht="28.35" hidden="false" customHeight="false" outlineLevel="0" collapsed="false">
      <c r="A68" s="15" t="s">
        <v>139</v>
      </c>
      <c r="B68" s="15" t="s">
        <v>682</v>
      </c>
      <c r="C68" s="15" t="s">
        <v>166</v>
      </c>
      <c r="D68" s="17" t="s">
        <v>674</v>
      </c>
      <c r="E68" s="15" t="n">
        <v>2024</v>
      </c>
      <c r="F68" s="15" t="n">
        <v>1000</v>
      </c>
      <c r="G68" s="15" t="s">
        <v>1291</v>
      </c>
      <c r="H68" s="15" t="s">
        <v>1178</v>
      </c>
    </row>
    <row r="69" customFormat="false" ht="15" hidden="false" customHeight="false" outlineLevel="0" collapsed="false">
      <c r="A69" s="15" t="s">
        <v>139</v>
      </c>
      <c r="B69" s="15" t="s">
        <v>705</v>
      </c>
      <c r="C69" s="15" t="s">
        <v>166</v>
      </c>
      <c r="D69" s="17" t="s">
        <v>706</v>
      </c>
      <c r="E69" s="15" t="n">
        <v>2026</v>
      </c>
      <c r="F69" s="15" t="n">
        <v>1000</v>
      </c>
      <c r="G69" s="15" t="s">
        <v>1292</v>
      </c>
      <c r="H69" s="15" t="s">
        <v>1293</v>
      </c>
    </row>
    <row r="70" customFormat="false" ht="15" hidden="false" customHeight="false" outlineLevel="0" collapsed="false">
      <c r="A70" s="15" t="s">
        <v>139</v>
      </c>
      <c r="B70" s="15" t="s">
        <v>705</v>
      </c>
      <c r="C70" s="15" t="s">
        <v>166</v>
      </c>
      <c r="D70" s="17" t="s">
        <v>658</v>
      </c>
      <c r="E70" s="15" t="n">
        <v>2020</v>
      </c>
      <c r="F70" s="15" t="n">
        <v>250</v>
      </c>
      <c r="G70" s="15" t="s">
        <v>1294</v>
      </c>
      <c r="H70" s="15" t="s">
        <v>1295</v>
      </c>
    </row>
    <row r="71" customFormat="false" ht="15" hidden="false" customHeight="false" outlineLevel="0" collapsed="false">
      <c r="A71" s="15" t="s">
        <v>139</v>
      </c>
      <c r="B71" s="15" t="s">
        <v>709</v>
      </c>
      <c r="C71" s="15" t="s">
        <v>166</v>
      </c>
      <c r="D71" s="17" t="s">
        <v>695</v>
      </c>
      <c r="E71" s="15" t="n">
        <v>2022</v>
      </c>
      <c r="F71" s="15" t="n">
        <v>250</v>
      </c>
      <c r="G71" s="15" t="s">
        <v>1296</v>
      </c>
      <c r="H71" s="15" t="s">
        <v>1297</v>
      </c>
    </row>
    <row r="72" customFormat="false" ht="15" hidden="false" customHeight="false" outlineLevel="0" collapsed="false">
      <c r="A72" s="15" t="s">
        <v>139</v>
      </c>
      <c r="B72" s="15" t="s">
        <v>711</v>
      </c>
      <c r="C72" s="15" t="s">
        <v>166</v>
      </c>
      <c r="D72" s="17" t="s">
        <v>658</v>
      </c>
      <c r="E72" s="15" t="n">
        <v>2024</v>
      </c>
      <c r="F72" s="15" t="n">
        <v>250</v>
      </c>
      <c r="G72" s="15" t="s">
        <v>1298</v>
      </c>
      <c r="H72" s="15" t="s">
        <v>1299</v>
      </c>
    </row>
    <row r="73" customFormat="false" ht="15" hidden="false" customHeight="false" outlineLevel="0" collapsed="false">
      <c r="A73" s="15" t="s">
        <v>139</v>
      </c>
      <c r="B73" s="15" t="s">
        <v>712</v>
      </c>
      <c r="C73" s="15" t="s">
        <v>166</v>
      </c>
      <c r="D73" s="17" t="s">
        <v>706</v>
      </c>
      <c r="E73" s="15" t="n">
        <v>2026</v>
      </c>
      <c r="F73" s="15" t="n">
        <v>1000</v>
      </c>
      <c r="G73" s="15" t="s">
        <v>1300</v>
      </c>
      <c r="H73" s="15" t="s">
        <v>1301</v>
      </c>
    </row>
    <row r="74" customFormat="false" ht="15" hidden="false" customHeight="false" outlineLevel="0" collapsed="false">
      <c r="A74" s="15" t="s">
        <v>139</v>
      </c>
      <c r="B74" s="15" t="s">
        <v>715</v>
      </c>
      <c r="C74" s="15" t="s">
        <v>166</v>
      </c>
      <c r="D74" s="17" t="s">
        <v>716</v>
      </c>
      <c r="E74" s="15" t="n">
        <v>2023</v>
      </c>
      <c r="F74" s="15" t="n">
        <v>1000</v>
      </c>
      <c r="G74" s="15" t="s">
        <v>1302</v>
      </c>
      <c r="H74" s="15" t="s">
        <v>1303</v>
      </c>
    </row>
    <row r="75" customFormat="false" ht="15" hidden="false" customHeight="false" outlineLevel="0" collapsed="false">
      <c r="A75" s="15" t="s">
        <v>139</v>
      </c>
      <c r="B75" s="15" t="s">
        <v>728</v>
      </c>
      <c r="C75" s="15" t="s">
        <v>166</v>
      </c>
      <c r="D75" s="17" t="s">
        <v>662</v>
      </c>
      <c r="E75" s="15" t="n">
        <v>2022</v>
      </c>
      <c r="F75" s="15" t="n">
        <v>500</v>
      </c>
      <c r="G75" s="15" t="s">
        <v>1304</v>
      </c>
      <c r="H75" s="15" t="s">
        <v>1188</v>
      </c>
    </row>
    <row r="76" customFormat="false" ht="15" hidden="false" customHeight="false" outlineLevel="0" collapsed="false">
      <c r="A76" s="15" t="s">
        <v>139</v>
      </c>
      <c r="B76" s="15" t="s">
        <v>729</v>
      </c>
      <c r="C76" s="15" t="s">
        <v>166</v>
      </c>
      <c r="D76" s="17" t="s">
        <v>655</v>
      </c>
      <c r="E76" s="15" t="n">
        <v>2022</v>
      </c>
      <c r="F76" s="15" t="n">
        <v>500</v>
      </c>
      <c r="G76" s="15" t="s">
        <v>1305</v>
      </c>
      <c r="H76" s="15" t="s">
        <v>1190</v>
      </c>
    </row>
    <row r="77" customFormat="false" ht="28.35" hidden="false" customHeight="false" outlineLevel="0" collapsed="false">
      <c r="A77" s="15" t="s">
        <v>139</v>
      </c>
      <c r="B77" s="15" t="s">
        <v>735</v>
      </c>
      <c r="C77" s="15" t="s">
        <v>166</v>
      </c>
      <c r="D77" s="17" t="s">
        <v>687</v>
      </c>
      <c r="E77" s="15" t="n">
        <v>2024</v>
      </c>
      <c r="F77" s="15" t="n">
        <v>13000</v>
      </c>
      <c r="G77" s="15" t="s">
        <v>1306</v>
      </c>
      <c r="H77" s="15" t="s">
        <v>1307</v>
      </c>
    </row>
    <row r="78" customFormat="false" ht="15" hidden="false" customHeight="false" outlineLevel="0" collapsed="false">
      <c r="A78" s="15" t="s">
        <v>139</v>
      </c>
      <c r="B78" s="15" t="s">
        <v>742</v>
      </c>
      <c r="C78" s="15" t="s">
        <v>166</v>
      </c>
      <c r="D78" s="17" t="s">
        <v>676</v>
      </c>
      <c r="E78" s="15" t="n">
        <v>2026</v>
      </c>
      <c r="F78" s="15" t="n">
        <v>250</v>
      </c>
      <c r="G78" s="15" t="s">
        <v>1308</v>
      </c>
      <c r="H78" s="15" t="s">
        <v>1309</v>
      </c>
    </row>
    <row r="79" customFormat="false" ht="15" hidden="false" customHeight="false" outlineLevel="0" collapsed="false">
      <c r="A79" s="15" t="s">
        <v>139</v>
      </c>
      <c r="B79" s="15" t="s">
        <v>746</v>
      </c>
      <c r="C79" s="15" t="s">
        <v>166</v>
      </c>
      <c r="D79" s="17" t="s">
        <v>664</v>
      </c>
      <c r="E79" s="15" t="n">
        <v>2018</v>
      </c>
      <c r="F79" s="15" t="n">
        <v>250</v>
      </c>
      <c r="G79" s="15" t="s">
        <v>1310</v>
      </c>
      <c r="H79" s="15" t="s">
        <v>1311</v>
      </c>
    </row>
    <row r="80" customFormat="false" ht="15" hidden="false" customHeight="false" outlineLevel="0" collapsed="false">
      <c r="A80" s="15" t="s">
        <v>139</v>
      </c>
      <c r="B80" s="15" t="s">
        <v>750</v>
      </c>
      <c r="C80" s="15" t="s">
        <v>166</v>
      </c>
      <c r="D80" s="17" t="s">
        <v>658</v>
      </c>
      <c r="E80" s="15" t="n">
        <v>2024</v>
      </c>
      <c r="F80" s="15" t="n">
        <v>250</v>
      </c>
      <c r="G80" s="15" t="s">
        <v>1312</v>
      </c>
      <c r="H80" s="15" t="s">
        <v>1313</v>
      </c>
    </row>
    <row r="81" customFormat="false" ht="15" hidden="false" customHeight="false" outlineLevel="0" collapsed="false">
      <c r="A81" s="15" t="s">
        <v>139</v>
      </c>
      <c r="B81" s="15" t="s">
        <v>752</v>
      </c>
      <c r="C81" s="15" t="s">
        <v>166</v>
      </c>
      <c r="D81" s="17" t="s">
        <v>695</v>
      </c>
      <c r="E81" s="15" t="n">
        <v>2024</v>
      </c>
      <c r="F81" s="15" t="n">
        <v>1000</v>
      </c>
      <c r="G81" s="15" t="s">
        <v>1314</v>
      </c>
      <c r="H81" s="15" t="s">
        <v>1315</v>
      </c>
    </row>
    <row r="82" customFormat="false" ht="15" hidden="false" customHeight="false" outlineLevel="0" collapsed="false">
      <c r="A82" s="15" t="s">
        <v>139</v>
      </c>
      <c r="B82" s="15" t="s">
        <v>752</v>
      </c>
      <c r="C82" s="15" t="s">
        <v>166</v>
      </c>
      <c r="D82" s="17" t="s">
        <v>695</v>
      </c>
      <c r="E82" s="15" t="n">
        <v>2023</v>
      </c>
      <c r="F82" s="15" t="n">
        <v>250</v>
      </c>
      <c r="G82" s="15" t="s">
        <v>1316</v>
      </c>
      <c r="H82" s="15" t="s">
        <v>1317</v>
      </c>
    </row>
    <row r="83" customFormat="false" ht="15" hidden="false" customHeight="false" outlineLevel="0" collapsed="false">
      <c r="A83" s="15" t="s">
        <v>139</v>
      </c>
      <c r="B83" s="15" t="s">
        <v>753</v>
      </c>
      <c r="C83" s="15" t="s">
        <v>166</v>
      </c>
      <c r="D83" s="17" t="s">
        <v>732</v>
      </c>
      <c r="E83" s="15" t="n">
        <v>2024</v>
      </c>
      <c r="F83" s="15" t="n">
        <v>500</v>
      </c>
      <c r="G83" s="15" t="s">
        <v>1318</v>
      </c>
      <c r="H83" s="15" t="s">
        <v>1319</v>
      </c>
    </row>
    <row r="84" customFormat="false" ht="15" hidden="false" customHeight="false" outlineLevel="0" collapsed="false">
      <c r="A84" s="15" t="s">
        <v>139</v>
      </c>
      <c r="B84" s="15" t="s">
        <v>755</v>
      </c>
      <c r="C84" s="15" t="s">
        <v>166</v>
      </c>
      <c r="D84" s="17" t="s">
        <v>732</v>
      </c>
      <c r="E84" s="15" t="n">
        <v>2024</v>
      </c>
      <c r="F84" s="15" t="n">
        <v>500</v>
      </c>
      <c r="G84" s="15" t="s">
        <v>1320</v>
      </c>
      <c r="H84" s="15" t="s">
        <v>1321</v>
      </c>
    </row>
    <row r="85" customFormat="false" ht="15" hidden="false" customHeight="false" outlineLevel="0" collapsed="false">
      <c r="A85" s="15" t="s">
        <v>139</v>
      </c>
      <c r="B85" s="15" t="s">
        <v>758</v>
      </c>
      <c r="C85" s="15" t="s">
        <v>166</v>
      </c>
      <c r="D85" s="17" t="s">
        <v>662</v>
      </c>
      <c r="E85" s="15" t="n">
        <v>2022</v>
      </c>
      <c r="F85" s="15" t="n">
        <v>250</v>
      </c>
      <c r="G85" s="15" t="s">
        <v>1322</v>
      </c>
      <c r="H85" s="15" t="s">
        <v>1323</v>
      </c>
    </row>
    <row r="86" customFormat="false" ht="15" hidden="false" customHeight="false" outlineLevel="0" collapsed="false">
      <c r="A86" s="15" t="s">
        <v>139</v>
      </c>
      <c r="B86" s="15" t="s">
        <v>766</v>
      </c>
      <c r="C86" s="15" t="s">
        <v>166</v>
      </c>
      <c r="D86" s="17" t="s">
        <v>662</v>
      </c>
      <c r="E86" s="15" t="n">
        <v>2024</v>
      </c>
      <c r="F86" s="15" t="n">
        <v>1000</v>
      </c>
      <c r="G86" s="15" t="s">
        <v>1324</v>
      </c>
      <c r="H86" s="15" t="s">
        <v>1325</v>
      </c>
    </row>
    <row r="87" customFormat="false" ht="28.35" hidden="false" customHeight="false" outlineLevel="0" collapsed="false">
      <c r="A87" s="15" t="s">
        <v>139</v>
      </c>
      <c r="B87" s="15" t="s">
        <v>767</v>
      </c>
      <c r="C87" s="15" t="s">
        <v>166</v>
      </c>
      <c r="D87" s="17" t="s">
        <v>674</v>
      </c>
      <c r="E87" s="15" t="n">
        <v>2024</v>
      </c>
      <c r="F87" s="15" t="n">
        <v>2000</v>
      </c>
      <c r="G87" s="15" t="s">
        <v>1326</v>
      </c>
      <c r="H87" s="15" t="s">
        <v>1327</v>
      </c>
    </row>
    <row r="88" customFormat="false" ht="15" hidden="false" customHeight="false" outlineLevel="0" collapsed="false">
      <c r="A88" s="15" t="s">
        <v>139</v>
      </c>
      <c r="B88" s="15" t="s">
        <v>769</v>
      </c>
      <c r="C88" s="15" t="s">
        <v>166</v>
      </c>
      <c r="D88" s="17" t="s">
        <v>655</v>
      </c>
      <c r="E88" s="15" t="n">
        <v>2024</v>
      </c>
      <c r="F88" s="15" t="n">
        <v>2000</v>
      </c>
      <c r="G88" s="15" t="s">
        <v>1328</v>
      </c>
      <c r="H88" s="15" t="s">
        <v>1329</v>
      </c>
    </row>
    <row r="89" customFormat="false" ht="15" hidden="false" customHeight="false" outlineLevel="0" collapsed="false">
      <c r="A89" s="15" t="s">
        <v>139</v>
      </c>
      <c r="B89" s="15" t="s">
        <v>775</v>
      </c>
      <c r="C89" s="15" t="s">
        <v>166</v>
      </c>
      <c r="D89" s="17" t="s">
        <v>658</v>
      </c>
      <c r="E89" s="15" t="n">
        <v>2024</v>
      </c>
      <c r="F89" s="15" t="n">
        <v>250</v>
      </c>
      <c r="G89" s="15" t="s">
        <v>1330</v>
      </c>
      <c r="H89" s="15" t="s">
        <v>1331</v>
      </c>
    </row>
    <row r="90" customFormat="false" ht="15" hidden="false" customHeight="false" outlineLevel="0" collapsed="false">
      <c r="A90" s="15" t="s">
        <v>139</v>
      </c>
      <c r="B90" s="15" t="s">
        <v>780</v>
      </c>
      <c r="C90" s="15" t="s">
        <v>166</v>
      </c>
      <c r="D90" s="17" t="s">
        <v>655</v>
      </c>
      <c r="E90" s="15" t="n">
        <v>2024</v>
      </c>
      <c r="F90" s="15" t="n">
        <v>2000</v>
      </c>
      <c r="G90" s="15" t="s">
        <v>1332</v>
      </c>
      <c r="H90" s="15" t="s">
        <v>1198</v>
      </c>
    </row>
    <row r="91" customFormat="false" ht="15" hidden="false" customHeight="false" outlineLevel="0" collapsed="false">
      <c r="A91" s="15" t="s">
        <v>139</v>
      </c>
      <c r="B91" s="15" t="s">
        <v>789</v>
      </c>
      <c r="C91" s="15" t="s">
        <v>166</v>
      </c>
      <c r="D91" s="17" t="s">
        <v>658</v>
      </c>
      <c r="E91" s="15" t="n">
        <v>2024</v>
      </c>
      <c r="F91" s="15" t="n">
        <v>750</v>
      </c>
      <c r="G91" s="15" t="s">
        <v>1333</v>
      </c>
      <c r="H91" s="15" t="s">
        <v>1334</v>
      </c>
    </row>
    <row r="92" customFormat="false" ht="15" hidden="false" customHeight="false" outlineLevel="0" collapsed="false">
      <c r="A92" s="15" t="s">
        <v>139</v>
      </c>
      <c r="B92" s="15" t="s">
        <v>793</v>
      </c>
      <c r="C92" s="15" t="s">
        <v>166</v>
      </c>
      <c r="D92" s="17" t="s">
        <v>664</v>
      </c>
      <c r="E92" s="15" t="n">
        <v>2017</v>
      </c>
      <c r="F92" s="15" t="n">
        <v>250</v>
      </c>
      <c r="G92" s="15" t="s">
        <v>1335</v>
      </c>
      <c r="H92" s="15" t="s">
        <v>1336</v>
      </c>
    </row>
    <row r="93" customFormat="false" ht="15" hidden="false" customHeight="false" outlineLevel="0" collapsed="false">
      <c r="A93" s="15" t="s">
        <v>139</v>
      </c>
      <c r="B93" s="15" t="s">
        <v>798</v>
      </c>
      <c r="C93" s="15" t="s">
        <v>166</v>
      </c>
      <c r="D93" s="17" t="s">
        <v>695</v>
      </c>
      <c r="E93" s="15" t="n">
        <v>2022</v>
      </c>
      <c r="F93" s="15" t="n">
        <v>250</v>
      </c>
      <c r="G93" s="15" t="s">
        <v>1337</v>
      </c>
      <c r="H93" s="15" t="s">
        <v>1338</v>
      </c>
    </row>
    <row r="94" customFormat="false" ht="15" hidden="false" customHeight="false" outlineLevel="0" collapsed="false">
      <c r="A94" s="15" t="s">
        <v>139</v>
      </c>
      <c r="B94" s="15" t="s">
        <v>806</v>
      </c>
      <c r="C94" s="15" t="s">
        <v>166</v>
      </c>
      <c r="D94" s="17" t="s">
        <v>658</v>
      </c>
      <c r="E94" s="15" t="n">
        <v>2020</v>
      </c>
      <c r="F94" s="15" t="n">
        <v>250</v>
      </c>
      <c r="G94" s="15" t="s">
        <v>1339</v>
      </c>
      <c r="H94" s="15" t="s">
        <v>1340</v>
      </c>
    </row>
    <row r="95" customFormat="false" ht="15" hidden="false" customHeight="false" outlineLevel="0" collapsed="false">
      <c r="A95" s="15" t="s">
        <v>139</v>
      </c>
      <c r="B95" s="15" t="s">
        <v>807</v>
      </c>
      <c r="C95" s="15" t="s">
        <v>166</v>
      </c>
      <c r="D95" s="17" t="s">
        <v>669</v>
      </c>
      <c r="E95" s="15" t="n">
        <v>2023</v>
      </c>
      <c r="F95" s="15" t="n">
        <v>2000</v>
      </c>
      <c r="G95" s="15" t="s">
        <v>1341</v>
      </c>
      <c r="H95" s="15" t="s">
        <v>1342</v>
      </c>
    </row>
    <row r="96" customFormat="false" ht="15" hidden="false" customHeight="false" outlineLevel="0" collapsed="false">
      <c r="A96" s="15" t="s">
        <v>139</v>
      </c>
      <c r="B96" s="15" t="s">
        <v>808</v>
      </c>
      <c r="C96" s="15" t="s">
        <v>166</v>
      </c>
      <c r="D96" s="17" t="s">
        <v>664</v>
      </c>
      <c r="E96" s="15" t="n">
        <v>2025</v>
      </c>
      <c r="F96" s="15" t="n">
        <v>500</v>
      </c>
      <c r="G96" s="15" t="s">
        <v>1343</v>
      </c>
      <c r="H96" s="15" t="s">
        <v>1344</v>
      </c>
    </row>
    <row r="97" customFormat="false" ht="15" hidden="false" customHeight="false" outlineLevel="0" collapsed="false">
      <c r="A97" s="15" t="s">
        <v>139</v>
      </c>
      <c r="B97" s="15" t="s">
        <v>816</v>
      </c>
      <c r="C97" s="15" t="s">
        <v>166</v>
      </c>
      <c r="D97" s="17" t="s">
        <v>658</v>
      </c>
      <c r="E97" s="15" t="n">
        <v>2024</v>
      </c>
      <c r="F97" s="15" t="n">
        <v>250</v>
      </c>
      <c r="G97" s="15" t="s">
        <v>1345</v>
      </c>
      <c r="H97" s="15" t="s">
        <v>1346</v>
      </c>
    </row>
    <row r="98" customFormat="false" ht="15" hidden="false" customHeight="false" outlineLevel="0" collapsed="false">
      <c r="A98" s="15" t="s">
        <v>139</v>
      </c>
      <c r="B98" s="15" t="s">
        <v>818</v>
      </c>
      <c r="C98" s="15" t="s">
        <v>166</v>
      </c>
      <c r="D98" s="17" t="s">
        <v>718</v>
      </c>
      <c r="E98" s="15" t="n">
        <v>2024</v>
      </c>
      <c r="F98" s="15" t="n">
        <v>2000</v>
      </c>
      <c r="G98" s="15" t="s">
        <v>1347</v>
      </c>
      <c r="H98" s="15" t="s">
        <v>1348</v>
      </c>
    </row>
    <row r="99" customFormat="false" ht="28.35" hidden="false" customHeight="false" outlineLevel="0" collapsed="false">
      <c r="A99" s="15" t="s">
        <v>139</v>
      </c>
      <c r="B99" s="15" t="s">
        <v>820</v>
      </c>
      <c r="C99" s="15" t="s">
        <v>166</v>
      </c>
      <c r="D99" s="17" t="s">
        <v>765</v>
      </c>
      <c r="E99" s="15" t="n">
        <v>2024</v>
      </c>
      <c r="F99" s="15" t="n">
        <v>2000</v>
      </c>
      <c r="G99" s="15" t="s">
        <v>1349</v>
      </c>
      <c r="H99" s="15" t="s">
        <v>1350</v>
      </c>
    </row>
    <row r="100" customFormat="false" ht="15" hidden="false" customHeight="false" outlineLevel="0" collapsed="false">
      <c r="A100" s="15" t="s">
        <v>139</v>
      </c>
      <c r="B100" s="15" t="s">
        <v>821</v>
      </c>
      <c r="C100" s="15" t="s">
        <v>166</v>
      </c>
      <c r="D100" s="17" t="s">
        <v>700</v>
      </c>
      <c r="E100" s="15" t="n">
        <v>2024</v>
      </c>
      <c r="F100" s="15" t="n">
        <v>750</v>
      </c>
      <c r="G100" s="15" t="s">
        <v>1351</v>
      </c>
      <c r="H100" s="15" t="s">
        <v>1352</v>
      </c>
    </row>
    <row r="101" customFormat="false" ht="15" hidden="false" customHeight="false" outlineLevel="0" collapsed="false">
      <c r="A101" s="15" t="s">
        <v>139</v>
      </c>
      <c r="B101" s="15" t="s">
        <v>829</v>
      </c>
      <c r="C101" s="15" t="s">
        <v>166</v>
      </c>
      <c r="D101" s="17" t="s">
        <v>658</v>
      </c>
      <c r="E101" s="15" t="n">
        <v>2024</v>
      </c>
      <c r="F101" s="15" t="n">
        <v>250</v>
      </c>
      <c r="G101" s="15" t="s">
        <v>1353</v>
      </c>
      <c r="H101" s="15" t="s">
        <v>1354</v>
      </c>
    </row>
    <row r="102" customFormat="false" ht="15" hidden="false" customHeight="false" outlineLevel="0" collapsed="false">
      <c r="A102" s="15" t="s">
        <v>139</v>
      </c>
      <c r="B102" s="15" t="s">
        <v>836</v>
      </c>
      <c r="C102" s="15" t="s">
        <v>166</v>
      </c>
      <c r="D102" s="17" t="s">
        <v>695</v>
      </c>
      <c r="E102" s="15" t="n">
        <v>2022</v>
      </c>
      <c r="F102" s="15" t="n">
        <v>250</v>
      </c>
      <c r="G102" s="15" t="s">
        <v>1355</v>
      </c>
      <c r="H102" s="15" t="s">
        <v>1356</v>
      </c>
    </row>
    <row r="103" customFormat="false" ht="15" hidden="false" customHeight="false" outlineLevel="0" collapsed="false">
      <c r="A103" s="15" t="s">
        <v>139</v>
      </c>
      <c r="B103" s="15" t="s">
        <v>845</v>
      </c>
      <c r="C103" s="15" t="s">
        <v>166</v>
      </c>
      <c r="D103" s="17" t="s">
        <v>658</v>
      </c>
      <c r="E103" s="15" t="n">
        <v>2024</v>
      </c>
      <c r="F103" s="15" t="n">
        <v>250</v>
      </c>
      <c r="G103" s="15" t="s">
        <v>1357</v>
      </c>
      <c r="H103" s="15" t="s">
        <v>1358</v>
      </c>
    </row>
    <row r="104" customFormat="false" ht="28.35" hidden="false" customHeight="false" outlineLevel="0" collapsed="false">
      <c r="A104" s="15" t="s">
        <v>139</v>
      </c>
      <c r="B104" s="15" t="s">
        <v>847</v>
      </c>
      <c r="C104" s="15" t="s">
        <v>166</v>
      </c>
      <c r="D104" s="17" t="s">
        <v>765</v>
      </c>
      <c r="E104" s="15" t="n">
        <v>2024</v>
      </c>
      <c r="F104" s="15" t="n">
        <v>7000</v>
      </c>
      <c r="G104" s="15" t="s">
        <v>1359</v>
      </c>
      <c r="H104" s="15" t="s">
        <v>1214</v>
      </c>
    </row>
    <row r="105" customFormat="false" ht="15" hidden="false" customHeight="false" outlineLevel="0" collapsed="false">
      <c r="A105" s="15" t="s">
        <v>139</v>
      </c>
      <c r="B105" s="15" t="s">
        <v>879</v>
      </c>
      <c r="C105" s="15" t="s">
        <v>166</v>
      </c>
      <c r="D105" s="17" t="s">
        <v>662</v>
      </c>
      <c r="E105" s="15" t="n">
        <v>2022</v>
      </c>
      <c r="F105" s="15" t="n">
        <v>250</v>
      </c>
      <c r="G105" s="15" t="s">
        <v>1360</v>
      </c>
      <c r="H105" s="15" t="s">
        <v>1361</v>
      </c>
    </row>
    <row r="106" customFormat="false" ht="15" hidden="false" customHeight="false" outlineLevel="0" collapsed="false">
      <c r="A106" s="15" t="s">
        <v>139</v>
      </c>
      <c r="B106" s="15" t="s">
        <v>881</v>
      </c>
      <c r="C106" s="15" t="s">
        <v>166</v>
      </c>
      <c r="D106" s="17" t="s">
        <v>693</v>
      </c>
      <c r="E106" s="15" t="n">
        <v>2022</v>
      </c>
      <c r="F106" s="15" t="n">
        <v>1000</v>
      </c>
      <c r="G106" s="15" t="s">
        <v>1362</v>
      </c>
      <c r="H106" s="15" t="s">
        <v>1363</v>
      </c>
    </row>
    <row r="107" customFormat="false" ht="15" hidden="false" customHeight="false" outlineLevel="0" collapsed="false">
      <c r="A107" s="15" t="s">
        <v>139</v>
      </c>
      <c r="B107" s="15" t="s">
        <v>883</v>
      </c>
      <c r="C107" s="15" t="s">
        <v>166</v>
      </c>
      <c r="D107" s="17" t="s">
        <v>693</v>
      </c>
      <c r="E107" s="15" t="n">
        <v>2022</v>
      </c>
      <c r="F107" s="15" t="n">
        <v>500</v>
      </c>
      <c r="G107" s="15" t="s">
        <v>1364</v>
      </c>
      <c r="H107" s="15" t="s">
        <v>1365</v>
      </c>
    </row>
    <row r="108" customFormat="false" ht="15" hidden="false" customHeight="false" outlineLevel="0" collapsed="false">
      <c r="A108" s="15" t="s">
        <v>139</v>
      </c>
      <c r="B108" s="15" t="s">
        <v>884</v>
      </c>
      <c r="C108" s="15" t="s">
        <v>166</v>
      </c>
      <c r="D108" s="17" t="s">
        <v>658</v>
      </c>
      <c r="E108" s="15" t="n">
        <v>2024</v>
      </c>
      <c r="F108" s="15" t="n">
        <v>250</v>
      </c>
      <c r="G108" s="15" t="s">
        <v>1366</v>
      </c>
      <c r="H108" s="15" t="s">
        <v>1367</v>
      </c>
    </row>
    <row r="109" customFormat="false" ht="15" hidden="false" customHeight="false" outlineLevel="0" collapsed="false">
      <c r="A109" s="15" t="s">
        <v>139</v>
      </c>
      <c r="B109" s="15" t="s">
        <v>885</v>
      </c>
      <c r="C109" s="15" t="s">
        <v>201</v>
      </c>
      <c r="D109" s="17" t="s">
        <v>737</v>
      </c>
      <c r="E109" s="15" t="n">
        <v>2024</v>
      </c>
      <c r="F109" s="15" t="n">
        <v>750</v>
      </c>
      <c r="G109" s="15" t="s">
        <v>1368</v>
      </c>
      <c r="H109" s="15" t="s">
        <v>1369</v>
      </c>
    </row>
    <row r="110" customFormat="false" ht="15" hidden="false" customHeight="false" outlineLevel="0" collapsed="false">
      <c r="A110" s="15" t="s">
        <v>139</v>
      </c>
      <c r="B110" s="15" t="s">
        <v>887</v>
      </c>
      <c r="C110" s="15" t="s">
        <v>166</v>
      </c>
      <c r="D110" s="17" t="s">
        <v>664</v>
      </c>
      <c r="E110" s="15" t="n">
        <v>2026</v>
      </c>
      <c r="F110" s="15" t="n">
        <v>250</v>
      </c>
      <c r="G110" s="15" t="s">
        <v>1370</v>
      </c>
      <c r="H110" s="15" t="s">
        <v>1371</v>
      </c>
    </row>
    <row r="111" customFormat="false" ht="15" hidden="false" customHeight="false" outlineLevel="0" collapsed="false">
      <c r="A111" s="15" t="s">
        <v>139</v>
      </c>
      <c r="B111" s="15" t="s">
        <v>890</v>
      </c>
      <c r="C111" s="15" t="s">
        <v>166</v>
      </c>
      <c r="D111" s="17" t="s">
        <v>732</v>
      </c>
      <c r="E111" s="15" t="n">
        <v>2024</v>
      </c>
      <c r="F111" s="15" t="n">
        <v>500</v>
      </c>
      <c r="G111" s="15" t="s">
        <v>1372</v>
      </c>
      <c r="H111" s="15" t="s">
        <v>1373</v>
      </c>
    </row>
    <row r="112" customFormat="false" ht="15" hidden="false" customHeight="false" outlineLevel="0" collapsed="false">
      <c r="A112" s="15" t="s">
        <v>139</v>
      </c>
      <c r="B112" s="15" t="s">
        <v>902</v>
      </c>
      <c r="C112" s="15" t="s">
        <v>166</v>
      </c>
      <c r="D112" s="17" t="s">
        <v>658</v>
      </c>
      <c r="E112" s="15" t="n">
        <v>2024</v>
      </c>
      <c r="F112" s="15" t="n">
        <v>250</v>
      </c>
      <c r="G112" s="15" t="s">
        <v>1374</v>
      </c>
      <c r="H112" s="15" t="s">
        <v>1375</v>
      </c>
    </row>
    <row r="113" customFormat="false" ht="15" hidden="false" customHeight="false" outlineLevel="0" collapsed="false">
      <c r="A113" s="15" t="s">
        <v>139</v>
      </c>
      <c r="B113" s="15" t="s">
        <v>905</v>
      </c>
      <c r="C113" s="15" t="s">
        <v>166</v>
      </c>
      <c r="D113" s="17" t="s">
        <v>658</v>
      </c>
      <c r="E113" s="15" t="n">
        <v>2024</v>
      </c>
      <c r="F113" s="15" t="n">
        <v>500</v>
      </c>
      <c r="G113" s="15" t="s">
        <v>1376</v>
      </c>
      <c r="H113" s="15" t="s">
        <v>1377</v>
      </c>
    </row>
    <row r="114" customFormat="false" ht="15" hidden="false" customHeight="false" outlineLevel="0" collapsed="false">
      <c r="A114" s="15" t="s">
        <v>139</v>
      </c>
      <c r="B114" s="15" t="s">
        <v>907</v>
      </c>
      <c r="C114" s="15" t="s">
        <v>166</v>
      </c>
      <c r="D114" s="17" t="s">
        <v>669</v>
      </c>
      <c r="E114" s="15" t="n">
        <v>2024</v>
      </c>
      <c r="F114" s="15" t="n">
        <v>1000</v>
      </c>
      <c r="G114" s="15" t="s">
        <v>1378</v>
      </c>
      <c r="H114" s="15" t="s">
        <v>1379</v>
      </c>
    </row>
    <row r="115" customFormat="false" ht="15" hidden="false" customHeight="false" outlineLevel="0" collapsed="false">
      <c r="A115" s="15" t="s">
        <v>139</v>
      </c>
      <c r="B115" s="15" t="s">
        <v>908</v>
      </c>
      <c r="C115" s="15" t="s">
        <v>166</v>
      </c>
      <c r="D115" s="17" t="s">
        <v>695</v>
      </c>
      <c r="E115" s="15" t="n">
        <v>2022</v>
      </c>
      <c r="F115" s="15" t="n">
        <v>250</v>
      </c>
      <c r="G115" s="15" t="s">
        <v>1380</v>
      </c>
      <c r="H115" s="15" t="s">
        <v>1242</v>
      </c>
    </row>
    <row r="116" customFormat="false" ht="15" hidden="false" customHeight="false" outlineLevel="0" collapsed="false">
      <c r="A116" s="15" t="s">
        <v>139</v>
      </c>
      <c r="B116" s="15" t="s">
        <v>913</v>
      </c>
      <c r="C116" s="15" t="s">
        <v>166</v>
      </c>
      <c r="D116" s="17" t="s">
        <v>662</v>
      </c>
      <c r="E116" s="15" t="n">
        <v>2021</v>
      </c>
      <c r="F116" s="15" t="n">
        <v>250</v>
      </c>
      <c r="G116" s="15" t="s">
        <v>1381</v>
      </c>
      <c r="H116" s="15" t="s">
        <v>1382</v>
      </c>
    </row>
    <row r="117" customFormat="false" ht="15" hidden="false" customHeight="false" outlineLevel="0" collapsed="false">
      <c r="A117" s="15" t="s">
        <v>140</v>
      </c>
      <c r="B117" s="15" t="s">
        <v>308</v>
      </c>
      <c r="C117" s="15" t="s">
        <v>166</v>
      </c>
      <c r="D117" s="17" t="s">
        <v>662</v>
      </c>
      <c r="E117" s="15" t="n">
        <v>2024</v>
      </c>
      <c r="F117" s="15" t="n">
        <v>500</v>
      </c>
      <c r="G117" s="15" t="s">
        <v>1383</v>
      </c>
      <c r="H117" s="15" t="s">
        <v>1384</v>
      </c>
    </row>
    <row r="118" customFormat="false" ht="15" hidden="false" customHeight="false" outlineLevel="0" collapsed="false">
      <c r="A118" s="15" t="s">
        <v>140</v>
      </c>
      <c r="B118" s="15" t="s">
        <v>308</v>
      </c>
      <c r="C118" s="15" t="s">
        <v>166</v>
      </c>
      <c r="D118" s="17" t="s">
        <v>737</v>
      </c>
      <c r="E118" s="15" t="n">
        <v>2024</v>
      </c>
      <c r="F118" s="15" t="n">
        <v>1000</v>
      </c>
      <c r="G118" s="15" t="s">
        <v>1385</v>
      </c>
      <c r="H118" s="15" t="s">
        <v>1386</v>
      </c>
    </row>
    <row r="119" customFormat="false" ht="41.75" hidden="false" customHeight="false" outlineLevel="0" collapsed="false">
      <c r="A119" s="15" t="s">
        <v>140</v>
      </c>
      <c r="B119" s="15" t="s">
        <v>659</v>
      </c>
      <c r="C119" s="15" t="s">
        <v>166</v>
      </c>
      <c r="D119" s="17" t="s">
        <v>660</v>
      </c>
      <c r="E119" s="15" t="n">
        <v>2024</v>
      </c>
      <c r="F119" s="15" t="n">
        <v>26000</v>
      </c>
      <c r="G119" s="15" t="s">
        <v>1387</v>
      </c>
      <c r="H119" s="15" t="s">
        <v>1388</v>
      </c>
    </row>
    <row r="120" customFormat="false" ht="15" hidden="false" customHeight="false" outlineLevel="0" collapsed="false">
      <c r="A120" s="15" t="s">
        <v>140</v>
      </c>
      <c r="B120" s="15" t="s">
        <v>661</v>
      </c>
      <c r="C120" s="15" t="s">
        <v>166</v>
      </c>
      <c r="D120" s="17" t="s">
        <v>662</v>
      </c>
      <c r="E120" s="15" t="n">
        <v>2024</v>
      </c>
      <c r="F120" s="15" t="n">
        <v>500</v>
      </c>
      <c r="G120" s="15" t="s">
        <v>1389</v>
      </c>
      <c r="H120" s="15" t="s">
        <v>1390</v>
      </c>
    </row>
    <row r="121" customFormat="false" ht="28.35" hidden="false" customHeight="false" outlineLevel="0" collapsed="false">
      <c r="A121" s="15" t="s">
        <v>140</v>
      </c>
      <c r="B121" s="15" t="s">
        <v>672</v>
      </c>
      <c r="C121" s="15" t="s">
        <v>166</v>
      </c>
      <c r="D121" s="17" t="s">
        <v>674</v>
      </c>
      <c r="E121" s="15" t="n">
        <v>2024</v>
      </c>
      <c r="F121" s="15" t="n">
        <v>2000</v>
      </c>
      <c r="G121" s="15" t="s">
        <v>1391</v>
      </c>
      <c r="H121" s="15" t="s">
        <v>1288</v>
      </c>
    </row>
    <row r="122" customFormat="false" ht="15" hidden="false" customHeight="false" outlineLevel="0" collapsed="false">
      <c r="A122" s="15" t="s">
        <v>140</v>
      </c>
      <c r="B122" s="15" t="s">
        <v>678</v>
      </c>
      <c r="C122" s="15" t="s">
        <v>166</v>
      </c>
      <c r="D122" s="17" t="s">
        <v>664</v>
      </c>
      <c r="E122" s="15" t="n">
        <v>2025</v>
      </c>
      <c r="F122" s="15" t="n">
        <v>500</v>
      </c>
      <c r="G122" s="15" t="s">
        <v>1392</v>
      </c>
      <c r="H122" s="15" t="s">
        <v>1176</v>
      </c>
    </row>
    <row r="123" customFormat="false" ht="41.75" hidden="false" customHeight="false" outlineLevel="0" collapsed="false">
      <c r="A123" s="15" t="s">
        <v>140</v>
      </c>
      <c r="B123" s="15" t="s">
        <v>678</v>
      </c>
      <c r="C123" s="15" t="s">
        <v>166</v>
      </c>
      <c r="D123" s="17" t="s">
        <v>679</v>
      </c>
      <c r="E123" s="15" t="n">
        <v>2024</v>
      </c>
      <c r="F123" s="15" t="n">
        <v>2000</v>
      </c>
      <c r="G123" s="15" t="s">
        <v>1393</v>
      </c>
      <c r="H123" s="15" t="s">
        <v>1174</v>
      </c>
    </row>
    <row r="124" customFormat="false" ht="28.35" hidden="false" customHeight="false" outlineLevel="0" collapsed="false">
      <c r="A124" s="15" t="s">
        <v>140</v>
      </c>
      <c r="B124" s="15" t="s">
        <v>682</v>
      </c>
      <c r="C124" s="15" t="s">
        <v>166</v>
      </c>
      <c r="D124" s="17" t="s">
        <v>674</v>
      </c>
      <c r="E124" s="15" t="n">
        <v>2024</v>
      </c>
      <c r="F124" s="15" t="n">
        <v>1000</v>
      </c>
      <c r="G124" s="15" t="s">
        <v>1394</v>
      </c>
      <c r="H124" s="15" t="s">
        <v>1178</v>
      </c>
    </row>
    <row r="125" customFormat="false" ht="41.75" hidden="false" customHeight="false" outlineLevel="0" collapsed="false">
      <c r="A125" s="15" t="s">
        <v>140</v>
      </c>
      <c r="B125" s="15" t="s">
        <v>685</v>
      </c>
      <c r="C125" s="15" t="s">
        <v>166</v>
      </c>
      <c r="D125" s="17" t="s">
        <v>679</v>
      </c>
      <c r="E125" s="15" t="n">
        <v>2026</v>
      </c>
      <c r="F125" s="15" t="n">
        <v>1000</v>
      </c>
      <c r="G125" s="15" t="s">
        <v>1395</v>
      </c>
      <c r="H125" s="15" t="s">
        <v>1180</v>
      </c>
    </row>
    <row r="126" customFormat="false" ht="41.75" hidden="false" customHeight="false" outlineLevel="0" collapsed="false">
      <c r="A126" s="15" t="s">
        <v>140</v>
      </c>
      <c r="B126" s="15" t="s">
        <v>690</v>
      </c>
      <c r="C126" s="15" t="s">
        <v>166</v>
      </c>
      <c r="D126" s="17" t="s">
        <v>660</v>
      </c>
      <c r="E126" s="15" t="n">
        <v>2024</v>
      </c>
      <c r="F126" s="15" t="n">
        <v>4000</v>
      </c>
      <c r="G126" s="15" t="s">
        <v>1396</v>
      </c>
      <c r="H126" s="15" t="s">
        <v>1182</v>
      </c>
    </row>
    <row r="127" customFormat="false" ht="28.35" hidden="false" customHeight="false" outlineLevel="0" collapsed="false">
      <c r="A127" s="15" t="s">
        <v>140</v>
      </c>
      <c r="B127" s="15" t="s">
        <v>707</v>
      </c>
      <c r="C127" s="15" t="s">
        <v>166</v>
      </c>
      <c r="D127" s="17" t="s">
        <v>708</v>
      </c>
      <c r="E127" s="15" t="n">
        <v>2022</v>
      </c>
      <c r="F127" s="15" t="n">
        <v>1000</v>
      </c>
      <c r="G127" s="15" t="s">
        <v>1397</v>
      </c>
      <c r="H127" s="15" t="s">
        <v>1398</v>
      </c>
    </row>
    <row r="128" customFormat="false" ht="15" hidden="false" customHeight="false" outlineLevel="0" collapsed="false">
      <c r="A128" s="15" t="s">
        <v>140</v>
      </c>
      <c r="B128" s="15" t="s">
        <v>712</v>
      </c>
      <c r="C128" s="15" t="s">
        <v>166</v>
      </c>
      <c r="D128" s="17" t="s">
        <v>706</v>
      </c>
      <c r="E128" s="15" t="n">
        <v>2026</v>
      </c>
      <c r="F128" s="15" t="n">
        <v>1000</v>
      </c>
      <c r="G128" s="15" t="s">
        <v>1399</v>
      </c>
      <c r="H128" s="15" t="s">
        <v>1301</v>
      </c>
    </row>
    <row r="129" customFormat="false" ht="15" hidden="false" customHeight="false" outlineLevel="0" collapsed="false">
      <c r="A129" s="15" t="s">
        <v>140</v>
      </c>
      <c r="B129" s="15" t="s">
        <v>717</v>
      </c>
      <c r="C129" s="15" t="s">
        <v>166</v>
      </c>
      <c r="D129" s="17" t="s">
        <v>718</v>
      </c>
      <c r="E129" s="15" t="n">
        <v>2026</v>
      </c>
      <c r="F129" s="15" t="n">
        <v>750</v>
      </c>
      <c r="G129" s="15" t="s">
        <v>1400</v>
      </c>
      <c r="H129" s="15" t="s">
        <v>1186</v>
      </c>
    </row>
    <row r="130" customFormat="false" ht="15" hidden="false" customHeight="false" outlineLevel="0" collapsed="false">
      <c r="A130" s="15" t="s">
        <v>140</v>
      </c>
      <c r="B130" s="15" t="s">
        <v>728</v>
      </c>
      <c r="C130" s="15" t="s">
        <v>166</v>
      </c>
      <c r="D130" s="17" t="s">
        <v>662</v>
      </c>
      <c r="E130" s="15" t="n">
        <v>2022</v>
      </c>
      <c r="F130" s="15" t="n">
        <v>500</v>
      </c>
      <c r="G130" s="15" t="s">
        <v>1401</v>
      </c>
      <c r="H130" s="15" t="s">
        <v>1188</v>
      </c>
    </row>
    <row r="131" customFormat="false" ht="28.35" hidden="false" customHeight="false" outlineLevel="0" collapsed="false">
      <c r="A131" s="15" t="s">
        <v>140</v>
      </c>
      <c r="B131" s="15" t="s">
        <v>735</v>
      </c>
      <c r="C131" s="15" t="s">
        <v>166</v>
      </c>
      <c r="D131" s="17" t="s">
        <v>687</v>
      </c>
      <c r="E131" s="15" t="n">
        <v>2024</v>
      </c>
      <c r="F131" s="15" t="n">
        <v>13000</v>
      </c>
      <c r="G131" s="15" t="s">
        <v>1402</v>
      </c>
      <c r="H131" s="15" t="s">
        <v>1307</v>
      </c>
    </row>
    <row r="132" customFormat="false" ht="15" hidden="false" customHeight="false" outlineLevel="0" collapsed="false">
      <c r="A132" s="15" t="s">
        <v>140</v>
      </c>
      <c r="B132" s="15" t="s">
        <v>742</v>
      </c>
      <c r="C132" s="15" t="s">
        <v>166</v>
      </c>
      <c r="D132" s="17" t="s">
        <v>676</v>
      </c>
      <c r="E132" s="15" t="n">
        <v>2026</v>
      </c>
      <c r="F132" s="15" t="n">
        <v>250</v>
      </c>
      <c r="G132" s="15" t="s">
        <v>1403</v>
      </c>
      <c r="H132" s="15" t="s">
        <v>1309</v>
      </c>
    </row>
    <row r="133" customFormat="false" ht="15" hidden="false" customHeight="false" outlineLevel="0" collapsed="false">
      <c r="A133" s="15" t="s">
        <v>140</v>
      </c>
      <c r="B133" s="15" t="s">
        <v>744</v>
      </c>
      <c r="C133" s="15" t="s">
        <v>166</v>
      </c>
      <c r="D133" s="17" t="s">
        <v>658</v>
      </c>
      <c r="E133" s="15" t="n">
        <v>2020</v>
      </c>
      <c r="F133" s="15" t="n">
        <v>250</v>
      </c>
      <c r="G133" s="15" t="s">
        <v>1404</v>
      </c>
      <c r="H133" s="15" t="s">
        <v>1405</v>
      </c>
    </row>
    <row r="134" customFormat="false" ht="28.35" hidden="false" customHeight="false" outlineLevel="0" collapsed="false">
      <c r="A134" s="15" t="s">
        <v>140</v>
      </c>
      <c r="B134" s="15" t="s">
        <v>745</v>
      </c>
      <c r="C134" s="15" t="s">
        <v>166</v>
      </c>
      <c r="D134" s="17" t="s">
        <v>689</v>
      </c>
      <c r="E134" s="15" t="n">
        <v>2023</v>
      </c>
      <c r="F134" s="15" t="n">
        <v>2000</v>
      </c>
      <c r="G134" s="15" t="s">
        <v>1406</v>
      </c>
      <c r="H134" s="15" t="s">
        <v>1407</v>
      </c>
    </row>
    <row r="135" customFormat="false" ht="15" hidden="false" customHeight="false" outlineLevel="0" collapsed="false">
      <c r="A135" s="15" t="s">
        <v>140</v>
      </c>
      <c r="B135" s="15" t="s">
        <v>746</v>
      </c>
      <c r="C135" s="15" t="s">
        <v>166</v>
      </c>
      <c r="D135" s="17" t="s">
        <v>664</v>
      </c>
      <c r="E135" s="15" t="n">
        <v>2018</v>
      </c>
      <c r="F135" s="15" t="n">
        <v>250</v>
      </c>
      <c r="G135" s="15" t="s">
        <v>1408</v>
      </c>
      <c r="H135" s="15" t="s">
        <v>1311</v>
      </c>
    </row>
    <row r="136" customFormat="false" ht="15" hidden="false" customHeight="false" outlineLevel="0" collapsed="false">
      <c r="A136" s="15" t="s">
        <v>140</v>
      </c>
      <c r="B136" s="15" t="s">
        <v>747</v>
      </c>
      <c r="C136" s="15" t="s">
        <v>166</v>
      </c>
      <c r="D136" s="17" t="s">
        <v>664</v>
      </c>
      <c r="E136" s="15" t="n">
        <v>2026</v>
      </c>
      <c r="F136" s="15" t="n">
        <v>750</v>
      </c>
      <c r="G136" s="15" t="s">
        <v>1409</v>
      </c>
      <c r="H136" s="15" t="s">
        <v>1410</v>
      </c>
    </row>
    <row r="137" customFormat="false" ht="28.35" hidden="false" customHeight="false" outlineLevel="0" collapsed="false">
      <c r="A137" s="15" t="s">
        <v>140</v>
      </c>
      <c r="B137" s="15" t="s">
        <v>748</v>
      </c>
      <c r="C137" s="15" t="s">
        <v>166</v>
      </c>
      <c r="D137" s="17" t="s">
        <v>749</v>
      </c>
      <c r="E137" s="15" t="n">
        <v>2024</v>
      </c>
      <c r="F137" s="15" t="n">
        <v>750</v>
      </c>
      <c r="G137" s="15" t="s">
        <v>1411</v>
      </c>
      <c r="H137" s="15" t="s">
        <v>1412</v>
      </c>
    </row>
    <row r="138" customFormat="false" ht="15" hidden="false" customHeight="false" outlineLevel="0" collapsed="false">
      <c r="A138" s="15" t="s">
        <v>140</v>
      </c>
      <c r="B138" s="15" t="s">
        <v>751</v>
      </c>
      <c r="C138" s="15" t="s">
        <v>166</v>
      </c>
      <c r="D138" s="17" t="s">
        <v>664</v>
      </c>
      <c r="E138" s="15" t="n">
        <v>2026</v>
      </c>
      <c r="F138" s="15" t="n">
        <v>250</v>
      </c>
      <c r="G138" s="15" t="s">
        <v>1413</v>
      </c>
      <c r="H138" s="15" t="s">
        <v>1414</v>
      </c>
    </row>
    <row r="139" customFormat="false" ht="15" hidden="false" customHeight="false" outlineLevel="0" collapsed="false">
      <c r="A139" s="15" t="s">
        <v>140</v>
      </c>
      <c r="B139" s="15" t="s">
        <v>752</v>
      </c>
      <c r="C139" s="15" t="s">
        <v>166</v>
      </c>
      <c r="D139" s="17" t="s">
        <v>695</v>
      </c>
      <c r="E139" s="15" t="n">
        <v>2024</v>
      </c>
      <c r="F139" s="15" t="n">
        <v>1000</v>
      </c>
      <c r="G139" s="15" t="s">
        <v>1415</v>
      </c>
      <c r="H139" s="15" t="s">
        <v>1315</v>
      </c>
    </row>
    <row r="140" customFormat="false" ht="15" hidden="false" customHeight="false" outlineLevel="0" collapsed="false">
      <c r="A140" s="15" t="s">
        <v>140</v>
      </c>
      <c r="B140" s="15" t="s">
        <v>753</v>
      </c>
      <c r="C140" s="15" t="s">
        <v>166</v>
      </c>
      <c r="D140" s="17" t="s">
        <v>732</v>
      </c>
      <c r="E140" s="15" t="n">
        <v>2024</v>
      </c>
      <c r="F140" s="15" t="n">
        <v>500</v>
      </c>
      <c r="G140" s="15" t="s">
        <v>1416</v>
      </c>
      <c r="H140" s="15" t="s">
        <v>1319</v>
      </c>
    </row>
    <row r="141" customFormat="false" ht="15" hidden="false" customHeight="false" outlineLevel="0" collapsed="false">
      <c r="A141" s="15" t="s">
        <v>140</v>
      </c>
      <c r="B141" s="15" t="s">
        <v>758</v>
      </c>
      <c r="C141" s="15" t="s">
        <v>166</v>
      </c>
      <c r="D141" s="17" t="s">
        <v>662</v>
      </c>
      <c r="E141" s="15" t="n">
        <v>2022</v>
      </c>
      <c r="F141" s="15" t="n">
        <v>250</v>
      </c>
      <c r="G141" s="15" t="s">
        <v>1417</v>
      </c>
      <c r="H141" s="15" t="s">
        <v>1323</v>
      </c>
    </row>
    <row r="142" customFormat="false" ht="28.35" hidden="false" customHeight="false" outlineLevel="0" collapsed="false">
      <c r="A142" s="15" t="s">
        <v>140</v>
      </c>
      <c r="B142" s="15" t="s">
        <v>767</v>
      </c>
      <c r="C142" s="15" t="s">
        <v>166</v>
      </c>
      <c r="D142" s="17" t="s">
        <v>674</v>
      </c>
      <c r="E142" s="15" t="n">
        <v>2024</v>
      </c>
      <c r="F142" s="15" t="n">
        <v>2000</v>
      </c>
      <c r="G142" s="15" t="s">
        <v>1418</v>
      </c>
      <c r="H142" s="15" t="s">
        <v>1327</v>
      </c>
    </row>
    <row r="143" customFormat="false" ht="15" hidden="false" customHeight="false" outlineLevel="0" collapsed="false">
      <c r="A143" s="15" t="s">
        <v>140</v>
      </c>
      <c r="B143" s="15" t="s">
        <v>768</v>
      </c>
      <c r="C143" s="15" t="s">
        <v>166</v>
      </c>
      <c r="D143" s="17" t="s">
        <v>732</v>
      </c>
      <c r="E143" s="15" t="n">
        <v>2023</v>
      </c>
      <c r="F143" s="15" t="n">
        <v>250</v>
      </c>
      <c r="G143" s="15" t="s">
        <v>1419</v>
      </c>
      <c r="H143" s="15" t="s">
        <v>1420</v>
      </c>
    </row>
    <row r="144" customFormat="false" ht="15" hidden="false" customHeight="false" outlineLevel="0" collapsed="false">
      <c r="A144" s="15" t="s">
        <v>140</v>
      </c>
      <c r="B144" s="15" t="s">
        <v>769</v>
      </c>
      <c r="C144" s="15" t="s">
        <v>166</v>
      </c>
      <c r="D144" s="17" t="s">
        <v>655</v>
      </c>
      <c r="E144" s="15" t="n">
        <v>2024</v>
      </c>
      <c r="F144" s="15" t="n">
        <v>2000</v>
      </c>
      <c r="G144" s="15" t="s">
        <v>1421</v>
      </c>
      <c r="H144" s="15" t="s">
        <v>1329</v>
      </c>
    </row>
    <row r="145" customFormat="false" ht="15" hidden="false" customHeight="false" outlineLevel="0" collapsed="false">
      <c r="A145" s="15" t="s">
        <v>140</v>
      </c>
      <c r="B145" s="15" t="s">
        <v>780</v>
      </c>
      <c r="C145" s="15" t="s">
        <v>166</v>
      </c>
      <c r="D145" s="17" t="s">
        <v>655</v>
      </c>
      <c r="E145" s="15" t="n">
        <v>2024</v>
      </c>
      <c r="F145" s="15" t="n">
        <v>2000</v>
      </c>
      <c r="G145" s="15" t="s">
        <v>1422</v>
      </c>
      <c r="H145" s="15" t="s">
        <v>1198</v>
      </c>
    </row>
    <row r="146" customFormat="false" ht="15" hidden="false" customHeight="false" outlineLevel="0" collapsed="false">
      <c r="A146" s="15" t="s">
        <v>140</v>
      </c>
      <c r="B146" s="15" t="s">
        <v>781</v>
      </c>
      <c r="C146" s="15" t="s">
        <v>166</v>
      </c>
      <c r="D146" s="17" t="s">
        <v>662</v>
      </c>
      <c r="E146" s="15" t="n">
        <v>2022</v>
      </c>
      <c r="F146" s="15" t="n">
        <v>250</v>
      </c>
      <c r="G146" s="15" t="s">
        <v>1423</v>
      </c>
      <c r="H146" s="15" t="s">
        <v>1424</v>
      </c>
    </row>
    <row r="147" customFormat="false" ht="15" hidden="false" customHeight="false" outlineLevel="0" collapsed="false">
      <c r="A147" s="15" t="s">
        <v>140</v>
      </c>
      <c r="B147" s="15" t="s">
        <v>782</v>
      </c>
      <c r="C147" s="15" t="s">
        <v>166</v>
      </c>
      <c r="D147" s="17" t="s">
        <v>664</v>
      </c>
      <c r="E147" s="15" t="n">
        <v>2026</v>
      </c>
      <c r="F147" s="15" t="n">
        <v>250</v>
      </c>
      <c r="G147" s="15" t="s">
        <v>1425</v>
      </c>
      <c r="H147" s="15" t="s">
        <v>1426</v>
      </c>
    </row>
    <row r="148" customFormat="false" ht="41.75" hidden="false" customHeight="false" outlineLevel="0" collapsed="false">
      <c r="A148" s="15" t="s">
        <v>140</v>
      </c>
      <c r="B148" s="15" t="s">
        <v>783</v>
      </c>
      <c r="C148" s="15" t="s">
        <v>166</v>
      </c>
      <c r="D148" s="17" t="s">
        <v>784</v>
      </c>
      <c r="E148" s="15" t="n">
        <v>2026</v>
      </c>
      <c r="F148" s="15" t="n">
        <v>157000</v>
      </c>
      <c r="G148" s="15" t="s">
        <v>1427</v>
      </c>
      <c r="H148" s="15" t="s">
        <v>1428</v>
      </c>
    </row>
    <row r="149" customFormat="false" ht="15" hidden="false" customHeight="false" outlineLevel="0" collapsed="false">
      <c r="A149" s="15" t="s">
        <v>140</v>
      </c>
      <c r="B149" s="15" t="s">
        <v>789</v>
      </c>
      <c r="C149" s="15" t="s">
        <v>166</v>
      </c>
      <c r="D149" s="17" t="s">
        <v>658</v>
      </c>
      <c r="E149" s="15" t="n">
        <v>2024</v>
      </c>
      <c r="F149" s="15" t="n">
        <v>750</v>
      </c>
      <c r="G149" s="15" t="s">
        <v>1429</v>
      </c>
      <c r="H149" s="15" t="s">
        <v>1334</v>
      </c>
    </row>
    <row r="150" customFormat="false" ht="15" hidden="false" customHeight="false" outlineLevel="0" collapsed="false">
      <c r="A150" s="15" t="s">
        <v>140</v>
      </c>
      <c r="B150" s="15" t="s">
        <v>791</v>
      </c>
      <c r="C150" s="15" t="s">
        <v>166</v>
      </c>
      <c r="D150" s="17" t="s">
        <v>667</v>
      </c>
      <c r="E150" s="15" t="n">
        <v>2024</v>
      </c>
      <c r="F150" s="15" t="n">
        <v>750</v>
      </c>
      <c r="G150" s="15" t="s">
        <v>1430</v>
      </c>
      <c r="H150" s="15" t="s">
        <v>1431</v>
      </c>
    </row>
    <row r="151" customFormat="false" ht="15" hidden="false" customHeight="false" outlineLevel="0" collapsed="false">
      <c r="A151" s="15" t="s">
        <v>140</v>
      </c>
      <c r="B151" s="15" t="s">
        <v>794</v>
      </c>
      <c r="C151" s="15" t="s">
        <v>166</v>
      </c>
      <c r="D151" s="17" t="s">
        <v>664</v>
      </c>
      <c r="E151" s="15" t="n">
        <v>2026</v>
      </c>
      <c r="F151" s="15" t="n">
        <v>1000</v>
      </c>
      <c r="G151" s="15" t="s">
        <v>1432</v>
      </c>
      <c r="H151" s="15" t="s">
        <v>1433</v>
      </c>
    </row>
    <row r="152" customFormat="false" ht="15" hidden="false" customHeight="false" outlineLevel="0" collapsed="false">
      <c r="A152" s="15" t="s">
        <v>140</v>
      </c>
      <c r="B152" s="15" t="s">
        <v>799</v>
      </c>
      <c r="C152" s="15" t="s">
        <v>166</v>
      </c>
      <c r="D152" s="17" t="s">
        <v>662</v>
      </c>
      <c r="E152" s="15" t="n">
        <v>2024</v>
      </c>
      <c r="F152" s="15" t="n">
        <v>500</v>
      </c>
      <c r="G152" s="15" t="s">
        <v>1434</v>
      </c>
      <c r="H152" s="15" t="s">
        <v>1435</v>
      </c>
    </row>
    <row r="153" customFormat="false" ht="28.35" hidden="false" customHeight="false" outlineLevel="0" collapsed="false">
      <c r="A153" s="15" t="s">
        <v>140</v>
      </c>
      <c r="B153" s="15" t="s">
        <v>804</v>
      </c>
      <c r="C153" s="15" t="s">
        <v>166</v>
      </c>
      <c r="D153" s="17" t="s">
        <v>805</v>
      </c>
      <c r="E153" s="15" t="n">
        <v>2024</v>
      </c>
      <c r="F153" s="15" t="n">
        <v>1000</v>
      </c>
      <c r="G153" s="15" t="s">
        <v>1436</v>
      </c>
      <c r="H153" s="15" t="s">
        <v>1437</v>
      </c>
    </row>
    <row r="154" customFormat="false" ht="15" hidden="false" customHeight="false" outlineLevel="0" collapsed="false">
      <c r="A154" s="15" t="s">
        <v>140</v>
      </c>
      <c r="B154" s="15" t="s">
        <v>806</v>
      </c>
      <c r="C154" s="15" t="s">
        <v>166</v>
      </c>
      <c r="D154" s="17" t="s">
        <v>658</v>
      </c>
      <c r="E154" s="15" t="n">
        <v>2020</v>
      </c>
      <c r="F154" s="15" t="n">
        <v>250</v>
      </c>
      <c r="G154" s="15" t="s">
        <v>1438</v>
      </c>
      <c r="H154" s="15" t="s">
        <v>1340</v>
      </c>
    </row>
    <row r="155" customFormat="false" ht="15" hidden="false" customHeight="false" outlineLevel="0" collapsed="false">
      <c r="A155" s="15" t="s">
        <v>140</v>
      </c>
      <c r="B155" s="15" t="s">
        <v>815</v>
      </c>
      <c r="C155" s="15" t="s">
        <v>166</v>
      </c>
      <c r="D155" s="17" t="s">
        <v>732</v>
      </c>
      <c r="E155" s="15" t="n">
        <v>2024</v>
      </c>
      <c r="F155" s="15" t="n">
        <v>250</v>
      </c>
      <c r="G155" s="15" t="s">
        <v>1439</v>
      </c>
      <c r="H155" s="15" t="s">
        <v>1440</v>
      </c>
    </row>
    <row r="156" customFormat="false" ht="28.35" hidden="false" customHeight="false" outlineLevel="0" collapsed="false">
      <c r="A156" s="15" t="s">
        <v>140</v>
      </c>
      <c r="B156" s="15" t="s">
        <v>817</v>
      </c>
      <c r="C156" s="15" t="s">
        <v>166</v>
      </c>
      <c r="D156" s="17" t="s">
        <v>760</v>
      </c>
      <c r="E156" s="15" t="n">
        <v>2024</v>
      </c>
      <c r="F156" s="15" t="n">
        <v>2000</v>
      </c>
      <c r="G156" s="15" t="s">
        <v>1441</v>
      </c>
      <c r="H156" s="15" t="s">
        <v>1200</v>
      </c>
    </row>
    <row r="157" customFormat="false" ht="15" hidden="false" customHeight="false" outlineLevel="0" collapsed="false">
      <c r="A157" s="15" t="s">
        <v>140</v>
      </c>
      <c r="B157" s="15" t="s">
        <v>818</v>
      </c>
      <c r="C157" s="15" t="s">
        <v>166</v>
      </c>
      <c r="D157" s="17" t="s">
        <v>718</v>
      </c>
      <c r="E157" s="15" t="n">
        <v>2024</v>
      </c>
      <c r="F157" s="15" t="n">
        <v>2000</v>
      </c>
      <c r="G157" s="15" t="s">
        <v>1442</v>
      </c>
      <c r="H157" s="15" t="s">
        <v>1348</v>
      </c>
    </row>
    <row r="158" customFormat="false" ht="28.35" hidden="false" customHeight="false" outlineLevel="0" collapsed="false">
      <c r="A158" s="15" t="s">
        <v>140</v>
      </c>
      <c r="B158" s="15" t="s">
        <v>822</v>
      </c>
      <c r="C158" s="15" t="s">
        <v>166</v>
      </c>
      <c r="D158" s="17" t="s">
        <v>823</v>
      </c>
      <c r="E158" s="15" t="n">
        <v>2024</v>
      </c>
      <c r="F158" s="15" t="n">
        <v>3000</v>
      </c>
      <c r="G158" s="15" t="s">
        <v>1443</v>
      </c>
      <c r="H158" s="15" t="s">
        <v>1202</v>
      </c>
    </row>
    <row r="159" customFormat="false" ht="15" hidden="false" customHeight="false" outlineLevel="0" collapsed="false">
      <c r="A159" s="15" t="s">
        <v>140</v>
      </c>
      <c r="B159" s="15" t="s">
        <v>824</v>
      </c>
      <c r="C159" s="15" t="s">
        <v>166</v>
      </c>
      <c r="D159" s="17" t="s">
        <v>662</v>
      </c>
      <c r="E159" s="15" t="n">
        <v>2024</v>
      </c>
      <c r="F159" s="15" t="n">
        <v>250</v>
      </c>
      <c r="G159" s="15" t="s">
        <v>1444</v>
      </c>
      <c r="H159" s="15" t="s">
        <v>1204</v>
      </c>
    </row>
    <row r="160" customFormat="false" ht="15" hidden="false" customHeight="false" outlineLevel="0" collapsed="false">
      <c r="A160" s="15" t="s">
        <v>140</v>
      </c>
      <c r="B160" s="15" t="s">
        <v>827</v>
      </c>
      <c r="C160" s="15" t="s">
        <v>166</v>
      </c>
      <c r="D160" s="17" t="s">
        <v>676</v>
      </c>
      <c r="E160" s="15" t="n">
        <v>2026</v>
      </c>
      <c r="F160" s="15" t="n">
        <v>250</v>
      </c>
      <c r="G160" s="15" t="s">
        <v>1445</v>
      </c>
      <c r="H160" s="15" t="s">
        <v>1446</v>
      </c>
    </row>
    <row r="161" customFormat="false" ht="15" hidden="false" customHeight="false" outlineLevel="0" collapsed="false">
      <c r="A161" s="15" t="s">
        <v>140</v>
      </c>
      <c r="B161" s="15" t="s">
        <v>830</v>
      </c>
      <c r="C161" s="15" t="s">
        <v>166</v>
      </c>
      <c r="D161" s="17" t="s">
        <v>695</v>
      </c>
      <c r="E161" s="15" t="n">
        <v>2022</v>
      </c>
      <c r="F161" s="15" t="n">
        <v>250</v>
      </c>
      <c r="G161" s="15" t="s">
        <v>1447</v>
      </c>
      <c r="H161" s="15" t="s">
        <v>1448</v>
      </c>
    </row>
    <row r="162" customFormat="false" ht="15" hidden="false" customHeight="false" outlineLevel="0" collapsed="false">
      <c r="A162" s="15" t="s">
        <v>140</v>
      </c>
      <c r="B162" s="15" t="s">
        <v>850</v>
      </c>
      <c r="C162" s="15" t="s">
        <v>166</v>
      </c>
      <c r="D162" s="17" t="s">
        <v>695</v>
      </c>
      <c r="E162" s="15" t="n">
        <v>2023</v>
      </c>
      <c r="F162" s="15" t="n">
        <v>250</v>
      </c>
      <c r="G162" s="15" t="s">
        <v>1449</v>
      </c>
      <c r="H162" s="15" t="s">
        <v>1450</v>
      </c>
    </row>
    <row r="163" customFormat="false" ht="15" hidden="false" customHeight="false" outlineLevel="0" collapsed="false">
      <c r="A163" s="15" t="s">
        <v>140</v>
      </c>
      <c r="B163" s="15" t="s">
        <v>855</v>
      </c>
      <c r="C163" s="15" t="s">
        <v>166</v>
      </c>
      <c r="D163" s="17" t="s">
        <v>695</v>
      </c>
      <c r="E163" s="15" t="n">
        <v>2022</v>
      </c>
      <c r="F163" s="15" t="n">
        <v>750</v>
      </c>
      <c r="G163" s="15" t="s">
        <v>1451</v>
      </c>
      <c r="H163" s="15" t="s">
        <v>1452</v>
      </c>
    </row>
    <row r="164" customFormat="false" ht="15" hidden="false" customHeight="false" outlineLevel="0" collapsed="false">
      <c r="A164" s="15" t="s">
        <v>140</v>
      </c>
      <c r="B164" s="15" t="s">
        <v>856</v>
      </c>
      <c r="C164" s="15" t="s">
        <v>166</v>
      </c>
      <c r="D164" s="17" t="s">
        <v>655</v>
      </c>
      <c r="E164" s="15" t="n">
        <v>2022</v>
      </c>
      <c r="F164" s="15" t="n">
        <v>500</v>
      </c>
      <c r="G164" s="15" t="s">
        <v>1453</v>
      </c>
      <c r="H164" s="15" t="s">
        <v>1454</v>
      </c>
    </row>
    <row r="165" customFormat="false" ht="15" hidden="false" customHeight="false" outlineLevel="0" collapsed="false">
      <c r="A165" s="15" t="s">
        <v>140</v>
      </c>
      <c r="B165" s="15" t="s">
        <v>856</v>
      </c>
      <c r="C165" s="15" t="s">
        <v>166</v>
      </c>
      <c r="D165" s="17" t="s">
        <v>695</v>
      </c>
      <c r="E165" s="15" t="n">
        <v>2022</v>
      </c>
      <c r="F165" s="15" t="n">
        <v>250</v>
      </c>
      <c r="G165" s="15" t="s">
        <v>1455</v>
      </c>
      <c r="H165" s="15" t="s">
        <v>1218</v>
      </c>
    </row>
    <row r="166" customFormat="false" ht="15" hidden="false" customHeight="false" outlineLevel="0" collapsed="false">
      <c r="A166" s="15" t="s">
        <v>140</v>
      </c>
      <c r="B166" s="15" t="s">
        <v>878</v>
      </c>
      <c r="C166" s="15" t="s">
        <v>166</v>
      </c>
      <c r="D166" s="17" t="s">
        <v>655</v>
      </c>
      <c r="E166" s="15" t="n">
        <v>2024</v>
      </c>
      <c r="F166" s="15" t="n">
        <v>1000</v>
      </c>
      <c r="G166" s="15" t="s">
        <v>1456</v>
      </c>
      <c r="H166" s="15" t="s">
        <v>1457</v>
      </c>
    </row>
    <row r="167" customFormat="false" ht="15" hidden="false" customHeight="false" outlineLevel="0" collapsed="false">
      <c r="A167" s="15" t="s">
        <v>140</v>
      </c>
      <c r="B167" s="15" t="s">
        <v>891</v>
      </c>
      <c r="C167" s="15" t="s">
        <v>166</v>
      </c>
      <c r="D167" s="17" t="s">
        <v>662</v>
      </c>
      <c r="E167" s="15" t="n">
        <v>2024</v>
      </c>
      <c r="F167" s="15" t="n">
        <v>250</v>
      </c>
      <c r="G167" s="15" t="s">
        <v>1458</v>
      </c>
      <c r="H167" s="15" t="s">
        <v>1230</v>
      </c>
    </row>
    <row r="168" customFormat="false" ht="15" hidden="false" customHeight="false" outlineLevel="0" collapsed="false">
      <c r="A168" s="15" t="s">
        <v>140</v>
      </c>
      <c r="B168" s="15" t="s">
        <v>891</v>
      </c>
      <c r="C168" s="15" t="s">
        <v>166</v>
      </c>
      <c r="D168" s="17" t="s">
        <v>662</v>
      </c>
      <c r="E168" s="15" t="n">
        <v>2024</v>
      </c>
      <c r="F168" s="15" t="n">
        <v>250</v>
      </c>
      <c r="G168" s="15" t="s">
        <v>1459</v>
      </c>
      <c r="H168" s="15" t="s">
        <v>1228</v>
      </c>
    </row>
    <row r="169" customFormat="false" ht="28.35" hidden="false" customHeight="false" outlineLevel="0" collapsed="false">
      <c r="A169" s="15" t="s">
        <v>140</v>
      </c>
      <c r="B169" s="15" t="s">
        <v>893</v>
      </c>
      <c r="C169" s="15" t="s">
        <v>166</v>
      </c>
      <c r="D169" s="17" t="s">
        <v>765</v>
      </c>
      <c r="E169" s="15" t="n">
        <v>2024</v>
      </c>
      <c r="F169" s="15" t="n">
        <v>1000</v>
      </c>
      <c r="G169" s="15" t="s">
        <v>1460</v>
      </c>
      <c r="H169" s="15" t="s">
        <v>1232</v>
      </c>
    </row>
    <row r="170" customFormat="false" ht="15" hidden="false" customHeight="false" outlineLevel="0" collapsed="false">
      <c r="A170" s="15" t="s">
        <v>140</v>
      </c>
      <c r="B170" s="15" t="s">
        <v>895</v>
      </c>
      <c r="C170" s="15" t="s">
        <v>166</v>
      </c>
      <c r="D170" s="17" t="s">
        <v>695</v>
      </c>
      <c r="E170" s="15" t="n">
        <v>2022</v>
      </c>
      <c r="F170" s="15" t="n">
        <v>250</v>
      </c>
      <c r="G170" s="15" t="s">
        <v>1461</v>
      </c>
      <c r="H170" s="15" t="s">
        <v>1462</v>
      </c>
    </row>
    <row r="171" customFormat="false" ht="15" hidden="false" customHeight="false" outlineLevel="0" collapsed="false">
      <c r="A171" s="15" t="s">
        <v>140</v>
      </c>
      <c r="B171" s="15" t="s">
        <v>899</v>
      </c>
      <c r="C171" s="15" t="s">
        <v>166</v>
      </c>
      <c r="D171" s="17" t="s">
        <v>732</v>
      </c>
      <c r="E171" s="15" t="n">
        <v>2024</v>
      </c>
      <c r="F171" s="15" t="n">
        <v>500</v>
      </c>
      <c r="G171" s="15" t="s">
        <v>1463</v>
      </c>
      <c r="H171" s="15" t="s">
        <v>1236</v>
      </c>
    </row>
    <row r="172" customFormat="false" ht="15" hidden="false" customHeight="false" outlineLevel="0" collapsed="false">
      <c r="A172" s="15" t="s">
        <v>140</v>
      </c>
      <c r="B172" s="15" t="s">
        <v>899</v>
      </c>
      <c r="C172" s="15" t="s">
        <v>166</v>
      </c>
      <c r="D172" s="17" t="s">
        <v>662</v>
      </c>
      <c r="E172" s="15" t="n">
        <v>2024</v>
      </c>
      <c r="F172" s="15" t="n">
        <v>500</v>
      </c>
      <c r="G172" s="15" t="s">
        <v>1464</v>
      </c>
      <c r="H172" s="15" t="s">
        <v>1238</v>
      </c>
    </row>
    <row r="173" customFormat="false" ht="15" hidden="false" customHeight="false" outlineLevel="0" collapsed="false">
      <c r="A173" s="15" t="s">
        <v>140</v>
      </c>
      <c r="B173" s="15" t="s">
        <v>904</v>
      </c>
      <c r="C173" s="15" t="s">
        <v>166</v>
      </c>
      <c r="D173" s="17" t="s">
        <v>655</v>
      </c>
      <c r="E173" s="15" t="n">
        <v>2024</v>
      </c>
      <c r="F173" s="15" t="n">
        <v>750</v>
      </c>
      <c r="G173" s="15" t="s">
        <v>1465</v>
      </c>
      <c r="H173" s="15" t="s">
        <v>1466</v>
      </c>
    </row>
    <row r="174" customFormat="false" ht="15" hidden="false" customHeight="false" outlineLevel="0" collapsed="false">
      <c r="A174" s="15" t="s">
        <v>140</v>
      </c>
      <c r="B174" s="15" t="s">
        <v>908</v>
      </c>
      <c r="C174" s="15" t="s">
        <v>166</v>
      </c>
      <c r="D174" s="17" t="s">
        <v>695</v>
      </c>
      <c r="E174" s="15" t="n">
        <v>2022</v>
      </c>
      <c r="F174" s="15" t="n">
        <v>250</v>
      </c>
      <c r="G174" s="15" t="s">
        <v>1467</v>
      </c>
      <c r="H174" s="15" t="s">
        <v>1242</v>
      </c>
    </row>
    <row r="175" customFormat="false" ht="15" hidden="false" customHeight="false" outlineLevel="0" collapsed="false">
      <c r="A175" s="15" t="s">
        <v>140</v>
      </c>
      <c r="B175" s="15" t="s">
        <v>917</v>
      </c>
      <c r="C175" s="15" t="s">
        <v>166</v>
      </c>
      <c r="D175" s="17" t="s">
        <v>700</v>
      </c>
      <c r="E175" s="15" t="n">
        <v>2024</v>
      </c>
      <c r="F175" s="15" t="n">
        <v>7000</v>
      </c>
      <c r="G175" s="15" t="s">
        <v>1468</v>
      </c>
      <c r="H175" s="15" t="s">
        <v>1254</v>
      </c>
    </row>
    <row r="176" customFormat="false" ht="15" hidden="false" customHeight="false" outlineLevel="0" collapsed="false">
      <c r="A176" s="15" t="s">
        <v>140</v>
      </c>
      <c r="B176" s="15" t="s">
        <v>925</v>
      </c>
      <c r="C176" s="15" t="s">
        <v>166</v>
      </c>
      <c r="D176" s="17" t="s">
        <v>732</v>
      </c>
      <c r="E176" s="15" t="n">
        <v>2023</v>
      </c>
      <c r="F176" s="15" t="n">
        <v>1000</v>
      </c>
      <c r="G176" s="15" t="s">
        <v>1469</v>
      </c>
      <c r="H176" s="15" t="s">
        <v>1260</v>
      </c>
    </row>
    <row r="177" customFormat="false" ht="15" hidden="false" customHeight="false" outlineLevel="0" collapsed="false">
      <c r="A177" s="15" t="s">
        <v>140</v>
      </c>
      <c r="B177" s="15" t="s">
        <v>926</v>
      </c>
      <c r="C177" s="15" t="s">
        <v>166</v>
      </c>
      <c r="D177" s="17" t="s">
        <v>662</v>
      </c>
      <c r="E177" s="15" t="n">
        <v>2024</v>
      </c>
      <c r="F177" s="15" t="n">
        <v>250</v>
      </c>
      <c r="G177" s="15" t="s">
        <v>1470</v>
      </c>
      <c r="H177" s="15" t="s">
        <v>1262</v>
      </c>
    </row>
    <row r="178" customFormat="false" ht="28.35" hidden="false" customHeight="false" outlineLevel="0" collapsed="false">
      <c r="A178" s="15" t="s">
        <v>140</v>
      </c>
      <c r="B178" s="15" t="s">
        <v>930</v>
      </c>
      <c r="C178" s="15" t="s">
        <v>166</v>
      </c>
      <c r="D178" s="17" t="s">
        <v>931</v>
      </c>
      <c r="E178" s="15" t="n">
        <v>2026</v>
      </c>
      <c r="F178" s="15" t="n">
        <v>1000</v>
      </c>
      <c r="G178" s="15" t="s">
        <v>1471</v>
      </c>
      <c r="H178" s="15" t="s">
        <v>1268</v>
      </c>
    </row>
    <row r="179" customFormat="false" ht="15" hidden="false" customHeight="false" outlineLevel="0" collapsed="false">
      <c r="A179" s="15" t="s">
        <v>140</v>
      </c>
      <c r="B179" s="15" t="s">
        <v>932</v>
      </c>
      <c r="C179" s="15" t="s">
        <v>166</v>
      </c>
      <c r="D179" s="17" t="s">
        <v>695</v>
      </c>
      <c r="E179" s="15" t="n">
        <v>2024</v>
      </c>
      <c r="F179" s="15" t="n">
        <v>250</v>
      </c>
      <c r="G179" s="15" t="s">
        <v>1472</v>
      </c>
      <c r="H179" s="15" t="s">
        <v>1270</v>
      </c>
    </row>
    <row r="180" customFormat="false" ht="15" hidden="false" customHeight="false" outlineLevel="0" collapsed="false">
      <c r="A180" s="15" t="s">
        <v>140</v>
      </c>
      <c r="B180" s="15" t="s">
        <v>937</v>
      </c>
      <c r="C180" s="15" t="s">
        <v>166</v>
      </c>
      <c r="D180" s="17" t="s">
        <v>695</v>
      </c>
      <c r="E180" s="15" t="n">
        <v>2022</v>
      </c>
      <c r="F180" s="15" t="n">
        <v>250</v>
      </c>
      <c r="G180" s="15" t="s">
        <v>1473</v>
      </c>
      <c r="H180" s="15" t="s">
        <v>1474</v>
      </c>
    </row>
    <row r="181" customFormat="false" ht="15" hidden="false" customHeight="false" outlineLevel="0" collapsed="false">
      <c r="A181" s="15" t="s">
        <v>140</v>
      </c>
      <c r="B181" s="15" t="s">
        <v>938</v>
      </c>
      <c r="C181" s="15" t="s">
        <v>166</v>
      </c>
      <c r="D181" s="17" t="s">
        <v>658</v>
      </c>
      <c r="E181" s="15" t="n">
        <v>2024</v>
      </c>
      <c r="F181" s="15" t="n">
        <v>500</v>
      </c>
      <c r="G181" s="15" t="s">
        <v>1475</v>
      </c>
      <c r="H181" s="15" t="s">
        <v>1476</v>
      </c>
    </row>
    <row r="182" customFormat="false" ht="28.35" hidden="false" customHeight="false" outlineLevel="0" collapsed="false">
      <c r="A182" s="15" t="s">
        <v>140</v>
      </c>
      <c r="B182" s="15" t="s">
        <v>940</v>
      </c>
      <c r="C182" s="15" t="s">
        <v>166</v>
      </c>
      <c r="D182" s="17" t="s">
        <v>689</v>
      </c>
      <c r="E182" s="15" t="n">
        <v>2022</v>
      </c>
      <c r="F182" s="15" t="n">
        <v>10000</v>
      </c>
      <c r="G182" s="15" t="s">
        <v>1477</v>
      </c>
      <c r="H182" s="15" t="s">
        <v>1478</v>
      </c>
    </row>
    <row r="183" customFormat="false" ht="15" hidden="false" customHeight="false" outlineLevel="0" collapsed="false">
      <c r="A183" s="15" t="s">
        <v>140</v>
      </c>
      <c r="B183" s="15" t="s">
        <v>943</v>
      </c>
      <c r="C183" s="15" t="s">
        <v>166</v>
      </c>
      <c r="D183" s="17" t="s">
        <v>695</v>
      </c>
      <c r="E183" s="15" t="n">
        <v>2024</v>
      </c>
      <c r="F183" s="15" t="n">
        <v>250</v>
      </c>
      <c r="G183" s="15" t="s">
        <v>1479</v>
      </c>
      <c r="H183" s="15" t="s">
        <v>1480</v>
      </c>
    </row>
    <row r="184" customFormat="false" ht="15" hidden="false" customHeight="false" outlineLevel="0" collapsed="false">
      <c r="A184" s="15" t="s">
        <v>141</v>
      </c>
      <c r="B184" s="15" t="s">
        <v>254</v>
      </c>
      <c r="C184" s="15" t="s">
        <v>166</v>
      </c>
      <c r="D184" s="17" t="s">
        <v>695</v>
      </c>
      <c r="E184" s="15" t="n">
        <v>2023</v>
      </c>
      <c r="F184" s="15" t="n">
        <v>250</v>
      </c>
      <c r="G184" s="15" t="s">
        <v>1481</v>
      </c>
      <c r="H184" s="15" t="s">
        <v>1166</v>
      </c>
    </row>
    <row r="185" customFormat="false" ht="15" hidden="false" customHeight="false" outlineLevel="0" collapsed="false">
      <c r="A185" s="15" t="s">
        <v>141</v>
      </c>
      <c r="B185" s="15" t="s">
        <v>308</v>
      </c>
      <c r="C185" s="15" t="s">
        <v>166</v>
      </c>
      <c r="D185" s="17" t="s">
        <v>737</v>
      </c>
      <c r="E185" s="15" t="n">
        <v>2024</v>
      </c>
      <c r="F185" s="15" t="n">
        <v>1000</v>
      </c>
      <c r="G185" s="15" t="s">
        <v>1482</v>
      </c>
      <c r="H185" s="15" t="s">
        <v>1386</v>
      </c>
    </row>
    <row r="186" customFormat="false" ht="28.35" hidden="false" customHeight="false" outlineLevel="0" collapsed="false">
      <c r="A186" s="15" t="s">
        <v>141</v>
      </c>
      <c r="B186" s="15" t="s">
        <v>372</v>
      </c>
      <c r="C186" s="15" t="s">
        <v>225</v>
      </c>
      <c r="D186" s="17" t="s">
        <v>674</v>
      </c>
      <c r="E186" s="15" t="n">
        <v>2024</v>
      </c>
      <c r="F186" s="15" t="n">
        <v>2000</v>
      </c>
      <c r="G186" s="15" t="s">
        <v>1483</v>
      </c>
      <c r="H186" s="15" t="s">
        <v>1484</v>
      </c>
    </row>
    <row r="187" customFormat="false" ht="15" hidden="false" customHeight="false" outlineLevel="0" collapsed="false">
      <c r="A187" s="15" t="s">
        <v>141</v>
      </c>
      <c r="B187" s="15" t="s">
        <v>405</v>
      </c>
      <c r="C187" s="15" t="s">
        <v>166</v>
      </c>
      <c r="D187" s="17" t="s">
        <v>695</v>
      </c>
      <c r="E187" s="15" t="n">
        <v>2022</v>
      </c>
      <c r="F187" s="15" t="n">
        <v>250</v>
      </c>
      <c r="G187" s="15" t="s">
        <v>1485</v>
      </c>
      <c r="H187" s="15" t="s">
        <v>1283</v>
      </c>
    </row>
    <row r="188" customFormat="false" ht="15" hidden="false" customHeight="false" outlineLevel="0" collapsed="false">
      <c r="A188" s="15" t="s">
        <v>141</v>
      </c>
      <c r="B188" s="15" t="s">
        <v>656</v>
      </c>
      <c r="C188" s="15" t="s">
        <v>166</v>
      </c>
      <c r="D188" s="17" t="s">
        <v>658</v>
      </c>
      <c r="E188" s="15" t="n">
        <v>2024</v>
      </c>
      <c r="F188" s="15" t="n">
        <v>250</v>
      </c>
      <c r="G188" s="15" t="s">
        <v>1486</v>
      </c>
      <c r="H188" s="15" t="s">
        <v>1286</v>
      </c>
    </row>
    <row r="189" customFormat="false" ht="41.75" hidden="false" customHeight="false" outlineLevel="0" collapsed="false">
      <c r="A189" s="15" t="s">
        <v>141</v>
      </c>
      <c r="B189" s="15" t="s">
        <v>659</v>
      </c>
      <c r="C189" s="15" t="s">
        <v>166</v>
      </c>
      <c r="D189" s="17" t="s">
        <v>660</v>
      </c>
      <c r="E189" s="15" t="n">
        <v>2024</v>
      </c>
      <c r="F189" s="15" t="n">
        <v>26000</v>
      </c>
      <c r="G189" s="15" t="s">
        <v>1487</v>
      </c>
      <c r="H189" s="15" t="s">
        <v>1388</v>
      </c>
    </row>
    <row r="190" customFormat="false" ht="15" hidden="false" customHeight="false" outlineLevel="0" collapsed="false">
      <c r="A190" s="15" t="s">
        <v>141</v>
      </c>
      <c r="B190" s="15" t="s">
        <v>661</v>
      </c>
      <c r="C190" s="15" t="s">
        <v>166</v>
      </c>
      <c r="D190" s="17" t="s">
        <v>662</v>
      </c>
      <c r="E190" s="15" t="n">
        <v>2024</v>
      </c>
      <c r="F190" s="15" t="n">
        <v>500</v>
      </c>
      <c r="G190" s="15" t="s">
        <v>1488</v>
      </c>
      <c r="H190" s="15" t="s">
        <v>1390</v>
      </c>
    </row>
    <row r="191" customFormat="false" ht="28.35" hidden="false" customHeight="false" outlineLevel="0" collapsed="false">
      <c r="A191" s="15" t="s">
        <v>141</v>
      </c>
      <c r="B191" s="15" t="s">
        <v>672</v>
      </c>
      <c r="C191" s="15" t="s">
        <v>166</v>
      </c>
      <c r="D191" s="17" t="s">
        <v>674</v>
      </c>
      <c r="E191" s="15" t="n">
        <v>2024</v>
      </c>
      <c r="F191" s="15" t="n">
        <v>2000</v>
      </c>
      <c r="G191" s="15" t="s">
        <v>1489</v>
      </c>
      <c r="H191" s="15" t="s">
        <v>1288</v>
      </c>
    </row>
    <row r="192" customFormat="false" ht="15" hidden="false" customHeight="false" outlineLevel="0" collapsed="false">
      <c r="A192" s="15" t="s">
        <v>141</v>
      </c>
      <c r="B192" s="15" t="s">
        <v>678</v>
      </c>
      <c r="C192" s="15" t="s">
        <v>166</v>
      </c>
      <c r="D192" s="17" t="s">
        <v>664</v>
      </c>
      <c r="E192" s="15" t="n">
        <v>2025</v>
      </c>
      <c r="F192" s="15" t="n">
        <v>500</v>
      </c>
      <c r="G192" s="15" t="s">
        <v>1490</v>
      </c>
      <c r="H192" s="15" t="s">
        <v>1176</v>
      </c>
    </row>
    <row r="193" customFormat="false" ht="41.75" hidden="false" customHeight="false" outlineLevel="0" collapsed="false">
      <c r="A193" s="15" t="s">
        <v>141</v>
      </c>
      <c r="B193" s="15" t="s">
        <v>678</v>
      </c>
      <c r="C193" s="15" t="s">
        <v>166</v>
      </c>
      <c r="D193" s="17" t="s">
        <v>679</v>
      </c>
      <c r="E193" s="15" t="n">
        <v>2024</v>
      </c>
      <c r="F193" s="15" t="n">
        <v>2000</v>
      </c>
      <c r="G193" s="15" t="s">
        <v>1491</v>
      </c>
      <c r="H193" s="15" t="s">
        <v>1174</v>
      </c>
    </row>
    <row r="194" customFormat="false" ht="28.35" hidden="false" customHeight="false" outlineLevel="0" collapsed="false">
      <c r="A194" s="15" t="s">
        <v>141</v>
      </c>
      <c r="B194" s="15" t="s">
        <v>682</v>
      </c>
      <c r="C194" s="15" t="s">
        <v>166</v>
      </c>
      <c r="D194" s="17" t="s">
        <v>674</v>
      </c>
      <c r="E194" s="15" t="n">
        <v>2024</v>
      </c>
      <c r="F194" s="15" t="n">
        <v>1000</v>
      </c>
      <c r="G194" s="15" t="s">
        <v>1492</v>
      </c>
      <c r="H194" s="15" t="s">
        <v>1178</v>
      </c>
    </row>
    <row r="195" customFormat="false" ht="28.35" hidden="false" customHeight="false" outlineLevel="0" collapsed="false">
      <c r="A195" s="15" t="s">
        <v>141</v>
      </c>
      <c r="B195" s="15" t="s">
        <v>684</v>
      </c>
      <c r="C195" s="15" t="s">
        <v>166</v>
      </c>
      <c r="D195" s="17" t="s">
        <v>674</v>
      </c>
      <c r="E195" s="15" t="n">
        <v>2024</v>
      </c>
      <c r="F195" s="15" t="n">
        <v>1000</v>
      </c>
      <c r="G195" s="15" t="s">
        <v>1493</v>
      </c>
      <c r="H195" s="15" t="s">
        <v>1494</v>
      </c>
    </row>
    <row r="196" customFormat="false" ht="41.75" hidden="false" customHeight="false" outlineLevel="0" collapsed="false">
      <c r="A196" s="15" t="s">
        <v>141</v>
      </c>
      <c r="B196" s="15" t="s">
        <v>685</v>
      </c>
      <c r="C196" s="15" t="s">
        <v>166</v>
      </c>
      <c r="D196" s="17" t="s">
        <v>679</v>
      </c>
      <c r="E196" s="15" t="n">
        <v>2026</v>
      </c>
      <c r="F196" s="15" t="n">
        <v>1000</v>
      </c>
      <c r="G196" s="15" t="s">
        <v>1495</v>
      </c>
      <c r="H196" s="15" t="s">
        <v>1180</v>
      </c>
    </row>
    <row r="197" customFormat="false" ht="41.75" hidden="false" customHeight="false" outlineLevel="0" collapsed="false">
      <c r="A197" s="15" t="s">
        <v>141</v>
      </c>
      <c r="B197" s="15" t="s">
        <v>690</v>
      </c>
      <c r="C197" s="15" t="s">
        <v>166</v>
      </c>
      <c r="D197" s="17" t="s">
        <v>660</v>
      </c>
      <c r="E197" s="15" t="n">
        <v>2024</v>
      </c>
      <c r="F197" s="15" t="n">
        <v>4000</v>
      </c>
      <c r="G197" s="15" t="s">
        <v>1496</v>
      </c>
      <c r="H197" s="15" t="s">
        <v>1182</v>
      </c>
    </row>
    <row r="198" customFormat="false" ht="15" hidden="false" customHeight="false" outlineLevel="0" collapsed="false">
      <c r="A198" s="15" t="s">
        <v>141</v>
      </c>
      <c r="B198" s="15" t="s">
        <v>692</v>
      </c>
      <c r="C198" s="15" t="s">
        <v>225</v>
      </c>
      <c r="D198" s="17" t="s">
        <v>693</v>
      </c>
      <c r="E198" s="15" t="n">
        <v>2022</v>
      </c>
      <c r="F198" s="15" t="n">
        <v>500</v>
      </c>
      <c r="G198" s="15" t="s">
        <v>1497</v>
      </c>
      <c r="H198" s="15" t="s">
        <v>1184</v>
      </c>
    </row>
    <row r="199" customFormat="false" ht="28.35" hidden="false" customHeight="false" outlineLevel="0" collapsed="false">
      <c r="A199" s="15" t="s">
        <v>141</v>
      </c>
      <c r="B199" s="15" t="s">
        <v>707</v>
      </c>
      <c r="C199" s="15" t="s">
        <v>166</v>
      </c>
      <c r="D199" s="17" t="s">
        <v>708</v>
      </c>
      <c r="E199" s="15" t="n">
        <v>2022</v>
      </c>
      <c r="F199" s="15" t="n">
        <v>1000</v>
      </c>
      <c r="G199" s="15" t="s">
        <v>1498</v>
      </c>
      <c r="H199" s="15" t="s">
        <v>1398</v>
      </c>
    </row>
    <row r="200" customFormat="false" ht="15" hidden="false" customHeight="false" outlineLevel="0" collapsed="false">
      <c r="A200" s="15" t="s">
        <v>141</v>
      </c>
      <c r="B200" s="15" t="s">
        <v>714</v>
      </c>
      <c r="C200" s="15" t="s">
        <v>166</v>
      </c>
      <c r="D200" s="17" t="s">
        <v>658</v>
      </c>
      <c r="E200" s="15" t="n">
        <v>2024</v>
      </c>
      <c r="F200" s="15" t="n">
        <v>500</v>
      </c>
      <c r="G200" s="15" t="s">
        <v>1499</v>
      </c>
      <c r="H200" s="15" t="s">
        <v>1500</v>
      </c>
    </row>
    <row r="201" customFormat="false" ht="15" hidden="false" customHeight="false" outlineLevel="0" collapsed="false">
      <c r="A201" s="15" t="s">
        <v>141</v>
      </c>
      <c r="B201" s="15" t="s">
        <v>717</v>
      </c>
      <c r="C201" s="15" t="s">
        <v>166</v>
      </c>
      <c r="D201" s="17" t="s">
        <v>718</v>
      </c>
      <c r="E201" s="15" t="n">
        <v>2026</v>
      </c>
      <c r="F201" s="15" t="n">
        <v>750</v>
      </c>
      <c r="G201" s="15" t="s">
        <v>1501</v>
      </c>
      <c r="H201" s="15" t="s">
        <v>1186</v>
      </c>
    </row>
    <row r="202" customFormat="false" ht="28.35" hidden="false" customHeight="false" outlineLevel="0" collapsed="false">
      <c r="A202" s="15" t="s">
        <v>141</v>
      </c>
      <c r="B202" s="15" t="s">
        <v>723</v>
      </c>
      <c r="C202" s="15" t="s">
        <v>166</v>
      </c>
      <c r="D202" s="17" t="s">
        <v>724</v>
      </c>
      <c r="E202" s="15" t="n">
        <v>2026</v>
      </c>
      <c r="F202" s="15" t="n">
        <v>5000</v>
      </c>
      <c r="G202" s="15" t="s">
        <v>1502</v>
      </c>
      <c r="H202" s="15" t="s">
        <v>1503</v>
      </c>
    </row>
    <row r="203" customFormat="false" ht="28.35" hidden="false" customHeight="false" outlineLevel="0" collapsed="false">
      <c r="A203" s="15" t="s">
        <v>141</v>
      </c>
      <c r="B203" s="15" t="s">
        <v>726</v>
      </c>
      <c r="C203" s="15" t="s">
        <v>166</v>
      </c>
      <c r="D203" s="17" t="s">
        <v>674</v>
      </c>
      <c r="E203" s="15" t="n">
        <v>2024</v>
      </c>
      <c r="F203" s="15" t="n">
        <v>2000</v>
      </c>
      <c r="G203" s="15" t="s">
        <v>1504</v>
      </c>
      <c r="H203" s="15" t="s">
        <v>1505</v>
      </c>
    </row>
    <row r="204" customFormat="false" ht="15" hidden="false" customHeight="false" outlineLevel="0" collapsed="false">
      <c r="A204" s="15" t="s">
        <v>141</v>
      </c>
      <c r="B204" s="15" t="s">
        <v>728</v>
      </c>
      <c r="C204" s="15" t="s">
        <v>166</v>
      </c>
      <c r="D204" s="17" t="s">
        <v>662</v>
      </c>
      <c r="E204" s="15" t="n">
        <v>2022</v>
      </c>
      <c r="F204" s="15" t="n">
        <v>500</v>
      </c>
      <c r="G204" s="15" t="s">
        <v>1506</v>
      </c>
      <c r="H204" s="15" t="s">
        <v>1188</v>
      </c>
    </row>
    <row r="205" customFormat="false" ht="15" hidden="false" customHeight="false" outlineLevel="0" collapsed="false">
      <c r="A205" s="15" t="s">
        <v>141</v>
      </c>
      <c r="B205" s="15" t="s">
        <v>729</v>
      </c>
      <c r="C205" s="15" t="s">
        <v>166</v>
      </c>
      <c r="D205" s="17" t="s">
        <v>655</v>
      </c>
      <c r="E205" s="15" t="n">
        <v>2022</v>
      </c>
      <c r="F205" s="15" t="n">
        <v>500</v>
      </c>
      <c r="G205" s="15" t="s">
        <v>1507</v>
      </c>
      <c r="H205" s="15" t="s">
        <v>1190</v>
      </c>
    </row>
    <row r="206" customFormat="false" ht="15" hidden="false" customHeight="false" outlineLevel="0" collapsed="false">
      <c r="A206" s="15" t="s">
        <v>141</v>
      </c>
      <c r="B206" s="15" t="s">
        <v>730</v>
      </c>
      <c r="C206" s="15" t="s">
        <v>201</v>
      </c>
      <c r="D206" s="17" t="s">
        <v>718</v>
      </c>
      <c r="E206" s="15" t="n">
        <v>2022</v>
      </c>
      <c r="F206" s="15" t="n">
        <v>1000</v>
      </c>
      <c r="G206" s="15" t="s">
        <v>1508</v>
      </c>
      <c r="H206" s="15" t="s">
        <v>1192</v>
      </c>
    </row>
    <row r="207" customFormat="false" ht="28.35" hidden="false" customHeight="false" outlineLevel="0" collapsed="false">
      <c r="A207" s="15" t="s">
        <v>141</v>
      </c>
      <c r="B207" s="15" t="s">
        <v>735</v>
      </c>
      <c r="C207" s="15" t="s">
        <v>166</v>
      </c>
      <c r="D207" s="17" t="s">
        <v>687</v>
      </c>
      <c r="E207" s="15" t="n">
        <v>2024</v>
      </c>
      <c r="F207" s="15" t="n">
        <v>13000</v>
      </c>
      <c r="G207" s="15" t="s">
        <v>1509</v>
      </c>
      <c r="H207" s="15" t="s">
        <v>1307</v>
      </c>
    </row>
    <row r="208" customFormat="false" ht="28.35" hidden="false" customHeight="false" outlineLevel="0" collapsed="false">
      <c r="A208" s="15" t="s">
        <v>141</v>
      </c>
      <c r="B208" s="15" t="s">
        <v>738</v>
      </c>
      <c r="C208" s="15" t="s">
        <v>166</v>
      </c>
      <c r="D208" s="17" t="s">
        <v>687</v>
      </c>
      <c r="E208" s="15" t="n">
        <v>2024</v>
      </c>
      <c r="F208" s="15" t="n">
        <v>2000</v>
      </c>
      <c r="G208" s="15" t="s">
        <v>1510</v>
      </c>
      <c r="H208" s="15" t="s">
        <v>1511</v>
      </c>
    </row>
    <row r="209" customFormat="false" ht="15" hidden="false" customHeight="false" outlineLevel="0" collapsed="false">
      <c r="A209" s="15" t="s">
        <v>141</v>
      </c>
      <c r="B209" s="15" t="s">
        <v>741</v>
      </c>
      <c r="C209" s="15" t="s">
        <v>166</v>
      </c>
      <c r="D209" s="17" t="s">
        <v>706</v>
      </c>
      <c r="E209" s="15" t="n">
        <v>2026</v>
      </c>
      <c r="F209" s="15" t="n">
        <v>250</v>
      </c>
      <c r="G209" s="15" t="s">
        <v>1512</v>
      </c>
      <c r="H209" s="15" t="s">
        <v>1513</v>
      </c>
    </row>
    <row r="210" customFormat="false" ht="15" hidden="false" customHeight="false" outlineLevel="0" collapsed="false">
      <c r="A210" s="15" t="s">
        <v>141</v>
      </c>
      <c r="B210" s="15" t="s">
        <v>753</v>
      </c>
      <c r="C210" s="15" t="s">
        <v>166</v>
      </c>
      <c r="D210" s="17" t="s">
        <v>732</v>
      </c>
      <c r="E210" s="15" t="n">
        <v>2024</v>
      </c>
      <c r="F210" s="15" t="n">
        <v>500</v>
      </c>
      <c r="G210" s="15" t="s">
        <v>1514</v>
      </c>
      <c r="H210" s="15" t="s">
        <v>1319</v>
      </c>
    </row>
    <row r="211" customFormat="false" ht="28.35" hidden="false" customHeight="false" outlineLevel="0" collapsed="false">
      <c r="A211" s="15" t="s">
        <v>141</v>
      </c>
      <c r="B211" s="15" t="s">
        <v>759</v>
      </c>
      <c r="C211" s="15" t="s">
        <v>201</v>
      </c>
      <c r="D211" s="17" t="s">
        <v>760</v>
      </c>
      <c r="E211" s="15" t="n">
        <v>2024</v>
      </c>
      <c r="F211" s="15" t="n">
        <v>750</v>
      </c>
      <c r="G211" s="15" t="s">
        <v>1515</v>
      </c>
      <c r="H211" s="15" t="s">
        <v>1194</v>
      </c>
    </row>
    <row r="212" customFormat="false" ht="28.35" hidden="false" customHeight="false" outlineLevel="0" collapsed="false">
      <c r="A212" s="15" t="s">
        <v>141</v>
      </c>
      <c r="B212" s="15" t="s">
        <v>767</v>
      </c>
      <c r="C212" s="15" t="s">
        <v>166</v>
      </c>
      <c r="D212" s="17" t="s">
        <v>674</v>
      </c>
      <c r="E212" s="15" t="n">
        <v>2024</v>
      </c>
      <c r="F212" s="15" t="n">
        <v>2000</v>
      </c>
      <c r="G212" s="15" t="s">
        <v>1516</v>
      </c>
      <c r="H212" s="15" t="s">
        <v>1327</v>
      </c>
    </row>
    <row r="213" customFormat="false" ht="28.35" hidden="false" customHeight="false" outlineLevel="0" collapsed="false">
      <c r="A213" s="15" t="s">
        <v>141</v>
      </c>
      <c r="B213" s="15" t="s">
        <v>770</v>
      </c>
      <c r="C213" s="15" t="s">
        <v>166</v>
      </c>
      <c r="D213" s="17" t="s">
        <v>765</v>
      </c>
      <c r="E213" s="15" t="n">
        <v>2024</v>
      </c>
      <c r="F213" s="15" t="n">
        <v>1000</v>
      </c>
      <c r="G213" s="15" t="s">
        <v>1517</v>
      </c>
      <c r="H213" s="15" t="s">
        <v>1518</v>
      </c>
    </row>
    <row r="214" customFormat="false" ht="15" hidden="false" customHeight="false" outlineLevel="0" collapsed="false">
      <c r="A214" s="15" t="s">
        <v>141</v>
      </c>
      <c r="B214" s="15" t="s">
        <v>773</v>
      </c>
      <c r="C214" s="15" t="s">
        <v>166</v>
      </c>
      <c r="D214" s="17" t="s">
        <v>667</v>
      </c>
      <c r="E214" s="15" t="n">
        <v>2024</v>
      </c>
      <c r="F214" s="15" t="n">
        <v>250</v>
      </c>
      <c r="G214" s="15" t="s">
        <v>1519</v>
      </c>
      <c r="H214" s="15" t="s">
        <v>1196</v>
      </c>
    </row>
    <row r="215" customFormat="false" ht="15" hidden="false" customHeight="false" outlineLevel="0" collapsed="false">
      <c r="A215" s="15" t="s">
        <v>141</v>
      </c>
      <c r="B215" s="15" t="s">
        <v>780</v>
      </c>
      <c r="C215" s="15" t="s">
        <v>166</v>
      </c>
      <c r="D215" s="17" t="s">
        <v>655</v>
      </c>
      <c r="E215" s="15" t="n">
        <v>2024</v>
      </c>
      <c r="F215" s="15" t="n">
        <v>2000</v>
      </c>
      <c r="G215" s="15" t="s">
        <v>1520</v>
      </c>
      <c r="H215" s="15" t="s">
        <v>1198</v>
      </c>
    </row>
    <row r="216" customFormat="false" ht="15" hidden="false" customHeight="false" outlineLevel="0" collapsed="false">
      <c r="A216" s="15" t="s">
        <v>141</v>
      </c>
      <c r="B216" s="15" t="s">
        <v>782</v>
      </c>
      <c r="C216" s="15" t="s">
        <v>166</v>
      </c>
      <c r="D216" s="17" t="s">
        <v>664</v>
      </c>
      <c r="E216" s="15" t="n">
        <v>2026</v>
      </c>
      <c r="F216" s="15" t="n">
        <v>250</v>
      </c>
      <c r="G216" s="15" t="s">
        <v>1521</v>
      </c>
      <c r="H216" s="15" t="s">
        <v>1426</v>
      </c>
    </row>
    <row r="217" customFormat="false" ht="41.75" hidden="false" customHeight="false" outlineLevel="0" collapsed="false">
      <c r="A217" s="15" t="s">
        <v>141</v>
      </c>
      <c r="B217" s="15" t="s">
        <v>783</v>
      </c>
      <c r="C217" s="15" t="s">
        <v>166</v>
      </c>
      <c r="D217" s="17" t="s">
        <v>784</v>
      </c>
      <c r="E217" s="15" t="n">
        <v>2026</v>
      </c>
      <c r="F217" s="15" t="n">
        <v>157000</v>
      </c>
      <c r="G217" s="15" t="s">
        <v>1522</v>
      </c>
      <c r="H217" s="15" t="s">
        <v>1428</v>
      </c>
    </row>
    <row r="218" customFormat="false" ht="15" hidden="false" customHeight="false" outlineLevel="0" collapsed="false">
      <c r="A218" s="15" t="s">
        <v>141</v>
      </c>
      <c r="B218" s="15" t="s">
        <v>787</v>
      </c>
      <c r="C218" s="15" t="s">
        <v>166</v>
      </c>
      <c r="D218" s="17" t="s">
        <v>732</v>
      </c>
      <c r="E218" s="15" t="n">
        <v>2024</v>
      </c>
      <c r="F218" s="15" t="n">
        <v>250</v>
      </c>
      <c r="G218" s="15" t="s">
        <v>1523</v>
      </c>
      <c r="H218" s="15" t="s">
        <v>1524</v>
      </c>
    </row>
    <row r="219" customFormat="false" ht="15" hidden="false" customHeight="false" outlineLevel="0" collapsed="false">
      <c r="A219" s="15" t="s">
        <v>141</v>
      </c>
      <c r="B219" s="15" t="s">
        <v>791</v>
      </c>
      <c r="C219" s="15" t="s">
        <v>166</v>
      </c>
      <c r="D219" s="17" t="s">
        <v>667</v>
      </c>
      <c r="E219" s="15" t="n">
        <v>2024</v>
      </c>
      <c r="F219" s="15" t="n">
        <v>750</v>
      </c>
      <c r="G219" s="15" t="s">
        <v>1525</v>
      </c>
      <c r="H219" s="15" t="s">
        <v>1431</v>
      </c>
    </row>
    <row r="220" customFormat="false" ht="15" hidden="false" customHeight="false" outlineLevel="0" collapsed="false">
      <c r="A220" s="15" t="s">
        <v>141</v>
      </c>
      <c r="B220" s="15" t="s">
        <v>792</v>
      </c>
      <c r="C220" s="15" t="s">
        <v>166</v>
      </c>
      <c r="D220" s="17" t="s">
        <v>695</v>
      </c>
      <c r="E220" s="15" t="n">
        <v>2022</v>
      </c>
      <c r="F220" s="15" t="n">
        <v>250</v>
      </c>
      <c r="G220" s="15" t="s">
        <v>1526</v>
      </c>
      <c r="H220" s="15" t="s">
        <v>1527</v>
      </c>
    </row>
    <row r="221" customFormat="false" ht="15" hidden="false" customHeight="false" outlineLevel="0" collapsed="false">
      <c r="A221" s="15" t="s">
        <v>141</v>
      </c>
      <c r="B221" s="15" t="s">
        <v>801</v>
      </c>
      <c r="C221" s="15" t="s">
        <v>166</v>
      </c>
      <c r="D221" s="17" t="s">
        <v>695</v>
      </c>
      <c r="E221" s="15" t="n">
        <v>2024</v>
      </c>
      <c r="F221" s="15" t="n">
        <v>250</v>
      </c>
      <c r="G221" s="15" t="s">
        <v>1528</v>
      </c>
      <c r="H221" s="15" t="s">
        <v>1529</v>
      </c>
    </row>
    <row r="222" customFormat="false" ht="15" hidden="false" customHeight="false" outlineLevel="0" collapsed="false">
      <c r="A222" s="15" t="s">
        <v>141</v>
      </c>
      <c r="B222" s="15" t="s">
        <v>802</v>
      </c>
      <c r="C222" s="15" t="s">
        <v>166</v>
      </c>
      <c r="D222" s="17" t="s">
        <v>658</v>
      </c>
      <c r="E222" s="15" t="n">
        <v>2024</v>
      </c>
      <c r="F222" s="15" t="n">
        <v>250</v>
      </c>
      <c r="G222" s="15" t="s">
        <v>1530</v>
      </c>
      <c r="H222" s="15" t="s">
        <v>1531</v>
      </c>
    </row>
    <row r="223" customFormat="false" ht="15" hidden="false" customHeight="false" outlineLevel="0" collapsed="false">
      <c r="A223" s="15" t="s">
        <v>141</v>
      </c>
      <c r="B223" s="15" t="s">
        <v>803</v>
      </c>
      <c r="C223" s="15" t="s">
        <v>166</v>
      </c>
      <c r="D223" s="17" t="s">
        <v>658</v>
      </c>
      <c r="E223" s="15" t="n">
        <v>2020</v>
      </c>
      <c r="F223" s="15" t="n">
        <v>250</v>
      </c>
      <c r="G223" s="15" t="s">
        <v>1532</v>
      </c>
      <c r="H223" s="15" t="s">
        <v>1533</v>
      </c>
    </row>
    <row r="224" customFormat="false" ht="15" hidden="false" customHeight="false" outlineLevel="0" collapsed="false">
      <c r="A224" s="15" t="s">
        <v>141</v>
      </c>
      <c r="B224" s="15" t="s">
        <v>809</v>
      </c>
      <c r="C224" s="15" t="s">
        <v>166</v>
      </c>
      <c r="D224" s="17" t="s">
        <v>695</v>
      </c>
      <c r="E224" s="15" t="n">
        <v>2024</v>
      </c>
      <c r="F224" s="15" t="n">
        <v>750</v>
      </c>
      <c r="G224" s="15" t="s">
        <v>1534</v>
      </c>
      <c r="H224" s="15" t="s">
        <v>1535</v>
      </c>
    </row>
    <row r="225" customFormat="false" ht="15" hidden="false" customHeight="false" outlineLevel="0" collapsed="false">
      <c r="A225" s="15" t="s">
        <v>141</v>
      </c>
      <c r="B225" s="15" t="s">
        <v>811</v>
      </c>
      <c r="C225" s="15" t="s">
        <v>166</v>
      </c>
      <c r="D225" s="17" t="s">
        <v>655</v>
      </c>
      <c r="E225" s="15" t="n">
        <v>2022</v>
      </c>
      <c r="F225" s="15" t="n">
        <v>250</v>
      </c>
      <c r="G225" s="15" t="s">
        <v>1536</v>
      </c>
      <c r="H225" s="15" t="s">
        <v>1537</v>
      </c>
    </row>
    <row r="226" customFormat="false" ht="15" hidden="false" customHeight="false" outlineLevel="0" collapsed="false">
      <c r="A226" s="15" t="s">
        <v>141</v>
      </c>
      <c r="B226" s="15" t="s">
        <v>812</v>
      </c>
      <c r="C226" s="15" t="s">
        <v>166</v>
      </c>
      <c r="D226" s="17" t="s">
        <v>695</v>
      </c>
      <c r="E226" s="15" t="n">
        <v>2022</v>
      </c>
      <c r="F226" s="15" t="n">
        <v>250</v>
      </c>
      <c r="G226" s="15" t="s">
        <v>1538</v>
      </c>
      <c r="H226" s="15" t="s">
        <v>1539</v>
      </c>
    </row>
    <row r="227" customFormat="false" ht="28.35" hidden="false" customHeight="false" outlineLevel="0" collapsed="false">
      <c r="A227" s="15" t="s">
        <v>141</v>
      </c>
      <c r="B227" s="15" t="s">
        <v>812</v>
      </c>
      <c r="C227" s="15" t="s">
        <v>166</v>
      </c>
      <c r="D227" s="17" t="s">
        <v>674</v>
      </c>
      <c r="E227" s="15" t="n">
        <v>2024</v>
      </c>
      <c r="F227" s="15" t="n">
        <v>1000</v>
      </c>
      <c r="G227" s="15" t="s">
        <v>1540</v>
      </c>
      <c r="H227" s="15" t="s">
        <v>1541</v>
      </c>
    </row>
    <row r="228" customFormat="false" ht="15" hidden="false" customHeight="false" outlineLevel="0" collapsed="false">
      <c r="A228" s="15" t="s">
        <v>141</v>
      </c>
      <c r="B228" s="15" t="s">
        <v>814</v>
      </c>
      <c r="C228" s="15" t="s">
        <v>166</v>
      </c>
      <c r="D228" s="17" t="s">
        <v>695</v>
      </c>
      <c r="E228" s="15" t="n">
        <v>2024</v>
      </c>
      <c r="F228" s="15" t="n">
        <v>1000</v>
      </c>
      <c r="G228" s="15" t="s">
        <v>1542</v>
      </c>
      <c r="H228" s="15" t="s">
        <v>1543</v>
      </c>
    </row>
    <row r="229" customFormat="false" ht="15" hidden="false" customHeight="false" outlineLevel="0" collapsed="false">
      <c r="A229" s="15" t="s">
        <v>141</v>
      </c>
      <c r="B229" s="15" t="s">
        <v>817</v>
      </c>
      <c r="C229" s="15" t="s">
        <v>225</v>
      </c>
      <c r="D229" s="17" t="s">
        <v>732</v>
      </c>
      <c r="E229" s="15" t="n">
        <v>2024</v>
      </c>
      <c r="F229" s="15" t="n">
        <v>1000</v>
      </c>
      <c r="G229" s="15" t="s">
        <v>1544</v>
      </c>
      <c r="H229" s="15" t="s">
        <v>1545</v>
      </c>
    </row>
    <row r="230" customFormat="false" ht="28.35" hidden="false" customHeight="false" outlineLevel="0" collapsed="false">
      <c r="A230" s="15" t="s">
        <v>141</v>
      </c>
      <c r="B230" s="15" t="s">
        <v>822</v>
      </c>
      <c r="C230" s="15" t="s">
        <v>166</v>
      </c>
      <c r="D230" s="17" t="s">
        <v>823</v>
      </c>
      <c r="E230" s="15" t="n">
        <v>2024</v>
      </c>
      <c r="F230" s="15" t="n">
        <v>3000</v>
      </c>
      <c r="G230" s="15" t="s">
        <v>1546</v>
      </c>
      <c r="H230" s="15" t="s">
        <v>1202</v>
      </c>
    </row>
    <row r="231" customFormat="false" ht="15" hidden="false" customHeight="false" outlineLevel="0" collapsed="false">
      <c r="A231" s="15" t="s">
        <v>141</v>
      </c>
      <c r="B231" s="15" t="s">
        <v>824</v>
      </c>
      <c r="C231" s="15" t="s">
        <v>166</v>
      </c>
      <c r="D231" s="17" t="s">
        <v>662</v>
      </c>
      <c r="E231" s="15" t="n">
        <v>2024</v>
      </c>
      <c r="F231" s="15" t="n">
        <v>250</v>
      </c>
      <c r="G231" s="15" t="s">
        <v>1547</v>
      </c>
      <c r="H231" s="15" t="s">
        <v>1204</v>
      </c>
    </row>
    <row r="232" customFormat="false" ht="15" hidden="false" customHeight="false" outlineLevel="0" collapsed="false">
      <c r="A232" s="15" t="s">
        <v>141</v>
      </c>
      <c r="B232" s="15" t="s">
        <v>827</v>
      </c>
      <c r="C232" s="15" t="s">
        <v>166</v>
      </c>
      <c r="D232" s="17" t="s">
        <v>676</v>
      </c>
      <c r="E232" s="15" t="n">
        <v>2026</v>
      </c>
      <c r="F232" s="15" t="n">
        <v>250</v>
      </c>
      <c r="G232" s="15" t="s">
        <v>1548</v>
      </c>
      <c r="H232" s="15" t="s">
        <v>1446</v>
      </c>
    </row>
    <row r="233" customFormat="false" ht="15" hidden="false" customHeight="false" outlineLevel="0" collapsed="false">
      <c r="A233" s="15" t="s">
        <v>141</v>
      </c>
      <c r="B233" s="15" t="s">
        <v>828</v>
      </c>
      <c r="C233" s="15" t="s">
        <v>166</v>
      </c>
      <c r="D233" s="17" t="s">
        <v>658</v>
      </c>
      <c r="E233" s="15" t="n">
        <v>2024</v>
      </c>
      <c r="F233" s="15" t="n">
        <v>250</v>
      </c>
      <c r="G233" s="15" t="s">
        <v>1549</v>
      </c>
      <c r="H233" s="15" t="s">
        <v>1206</v>
      </c>
    </row>
    <row r="234" customFormat="false" ht="15" hidden="false" customHeight="false" outlineLevel="0" collapsed="false">
      <c r="A234" s="15" t="s">
        <v>141</v>
      </c>
      <c r="B234" s="15" t="s">
        <v>849</v>
      </c>
      <c r="C234" s="15" t="s">
        <v>166</v>
      </c>
      <c r="D234" s="17" t="s">
        <v>732</v>
      </c>
      <c r="E234" s="15" t="n">
        <v>2024</v>
      </c>
      <c r="F234" s="15" t="n">
        <v>500</v>
      </c>
      <c r="G234" s="15" t="s">
        <v>1550</v>
      </c>
      <c r="H234" s="15" t="s">
        <v>1551</v>
      </c>
    </row>
    <row r="235" customFormat="false" ht="15" hidden="false" customHeight="false" outlineLevel="0" collapsed="false">
      <c r="A235" s="15" t="s">
        <v>141</v>
      </c>
      <c r="B235" s="15" t="s">
        <v>852</v>
      </c>
      <c r="C235" s="15" t="s">
        <v>166</v>
      </c>
      <c r="D235" s="17" t="s">
        <v>658</v>
      </c>
      <c r="E235" s="15" t="n">
        <v>2024</v>
      </c>
      <c r="F235" s="15" t="n">
        <v>250</v>
      </c>
      <c r="G235" s="15" t="s">
        <v>1552</v>
      </c>
      <c r="H235" s="15" t="s">
        <v>1553</v>
      </c>
    </row>
    <row r="236" customFormat="false" ht="15" hidden="false" customHeight="false" outlineLevel="0" collapsed="false">
      <c r="A236" s="15" t="s">
        <v>141</v>
      </c>
      <c r="B236" s="15" t="s">
        <v>859</v>
      </c>
      <c r="C236" s="15" t="s">
        <v>166</v>
      </c>
      <c r="D236" s="17" t="s">
        <v>664</v>
      </c>
      <c r="E236" s="15" t="n">
        <v>2025</v>
      </c>
      <c r="F236" s="15" t="n">
        <v>500</v>
      </c>
      <c r="G236" s="15" t="s">
        <v>1554</v>
      </c>
      <c r="H236" s="15" t="s">
        <v>1555</v>
      </c>
    </row>
    <row r="237" customFormat="false" ht="15" hidden="false" customHeight="false" outlineLevel="0" collapsed="false">
      <c r="A237" s="15" t="s">
        <v>141</v>
      </c>
      <c r="B237" s="15" t="s">
        <v>866</v>
      </c>
      <c r="C237" s="15" t="s">
        <v>166</v>
      </c>
      <c r="D237" s="17" t="s">
        <v>662</v>
      </c>
      <c r="E237" s="15" t="n">
        <v>2021</v>
      </c>
      <c r="F237" s="15" t="n">
        <v>250</v>
      </c>
      <c r="G237" s="15" t="s">
        <v>1556</v>
      </c>
      <c r="H237" s="15" t="s">
        <v>1557</v>
      </c>
    </row>
    <row r="238" customFormat="false" ht="15" hidden="false" customHeight="false" outlineLevel="0" collapsed="false">
      <c r="A238" s="15" t="s">
        <v>141</v>
      </c>
      <c r="B238" s="15" t="s">
        <v>867</v>
      </c>
      <c r="C238" s="15" t="s">
        <v>166</v>
      </c>
      <c r="D238" s="17" t="s">
        <v>695</v>
      </c>
      <c r="E238" s="15" t="n">
        <v>2022</v>
      </c>
      <c r="F238" s="15" t="n">
        <v>250</v>
      </c>
      <c r="G238" s="15" t="s">
        <v>1558</v>
      </c>
      <c r="H238" s="15" t="s">
        <v>1559</v>
      </c>
    </row>
    <row r="239" customFormat="false" ht="15" hidden="false" customHeight="false" outlineLevel="0" collapsed="false">
      <c r="A239" s="15" t="s">
        <v>141</v>
      </c>
      <c r="B239" s="15" t="s">
        <v>867</v>
      </c>
      <c r="C239" s="15" t="s">
        <v>166</v>
      </c>
      <c r="D239" s="17" t="s">
        <v>695</v>
      </c>
      <c r="E239" s="15" t="n">
        <v>2023</v>
      </c>
      <c r="F239" s="15" t="n">
        <v>750</v>
      </c>
      <c r="G239" s="15" t="s">
        <v>1560</v>
      </c>
      <c r="H239" s="15" t="s">
        <v>1561</v>
      </c>
    </row>
    <row r="240" customFormat="false" ht="15" hidden="false" customHeight="false" outlineLevel="0" collapsed="false">
      <c r="A240" s="15" t="s">
        <v>141</v>
      </c>
      <c r="B240" s="15" t="s">
        <v>870</v>
      </c>
      <c r="C240" s="15" t="s">
        <v>166</v>
      </c>
      <c r="D240" s="17" t="s">
        <v>662</v>
      </c>
      <c r="E240" s="15" t="n">
        <v>2024</v>
      </c>
      <c r="F240" s="15" t="n">
        <v>250</v>
      </c>
      <c r="G240" s="15" t="s">
        <v>1562</v>
      </c>
      <c r="H240" s="15" t="s">
        <v>1563</v>
      </c>
    </row>
    <row r="241" customFormat="false" ht="15" hidden="false" customHeight="false" outlineLevel="0" collapsed="false">
      <c r="A241" s="15" t="s">
        <v>141</v>
      </c>
      <c r="B241" s="15" t="s">
        <v>873</v>
      </c>
      <c r="C241" s="15" t="s">
        <v>166</v>
      </c>
      <c r="D241" s="17" t="s">
        <v>695</v>
      </c>
      <c r="E241" s="15" t="n">
        <v>2024</v>
      </c>
      <c r="F241" s="15" t="n">
        <v>500</v>
      </c>
      <c r="G241" s="15" t="s">
        <v>1564</v>
      </c>
      <c r="H241" s="15" t="s">
        <v>1565</v>
      </c>
    </row>
    <row r="242" customFormat="false" ht="15" hidden="false" customHeight="false" outlineLevel="0" collapsed="false">
      <c r="A242" s="15" t="s">
        <v>141</v>
      </c>
      <c r="B242" s="15" t="s">
        <v>876</v>
      </c>
      <c r="C242" s="15" t="s">
        <v>166</v>
      </c>
      <c r="D242" s="17" t="s">
        <v>664</v>
      </c>
      <c r="E242" s="15" t="n">
        <v>2026</v>
      </c>
      <c r="F242" s="15" t="n">
        <v>250</v>
      </c>
      <c r="G242" s="15" t="s">
        <v>1566</v>
      </c>
      <c r="H242" s="15" t="s">
        <v>1567</v>
      </c>
    </row>
    <row r="243" customFormat="false" ht="15" hidden="false" customHeight="false" outlineLevel="0" collapsed="false">
      <c r="A243" s="15" t="s">
        <v>141</v>
      </c>
      <c r="B243" s="15" t="s">
        <v>880</v>
      </c>
      <c r="C243" s="15" t="s">
        <v>166</v>
      </c>
      <c r="D243" s="17" t="s">
        <v>737</v>
      </c>
      <c r="E243" s="15" t="n">
        <v>2024</v>
      </c>
      <c r="F243" s="15" t="n">
        <v>500</v>
      </c>
      <c r="G243" s="15" t="s">
        <v>1568</v>
      </c>
      <c r="H243" s="15" t="s">
        <v>1569</v>
      </c>
    </row>
    <row r="244" customFormat="false" ht="15" hidden="false" customHeight="false" outlineLevel="0" collapsed="false">
      <c r="A244" s="15" t="s">
        <v>141</v>
      </c>
      <c r="B244" s="15" t="s">
        <v>882</v>
      </c>
      <c r="C244" s="15" t="s">
        <v>166</v>
      </c>
      <c r="D244" s="17" t="s">
        <v>695</v>
      </c>
      <c r="E244" s="15" t="n">
        <v>2023</v>
      </c>
      <c r="F244" s="15" t="n">
        <v>500</v>
      </c>
      <c r="G244" s="15" t="s">
        <v>1570</v>
      </c>
      <c r="H244" s="15" t="s">
        <v>1571</v>
      </c>
    </row>
    <row r="245" customFormat="false" ht="15" hidden="false" customHeight="false" outlineLevel="0" collapsed="false">
      <c r="A245" s="15" t="s">
        <v>141</v>
      </c>
      <c r="B245" s="15" t="s">
        <v>883</v>
      </c>
      <c r="C245" s="15" t="s">
        <v>166</v>
      </c>
      <c r="D245" s="17" t="s">
        <v>693</v>
      </c>
      <c r="E245" s="15" t="n">
        <v>2022</v>
      </c>
      <c r="F245" s="15" t="n">
        <v>500</v>
      </c>
      <c r="G245" s="15" t="s">
        <v>1572</v>
      </c>
      <c r="H245" s="15" t="s">
        <v>1365</v>
      </c>
    </row>
    <row r="246" customFormat="false" ht="15" hidden="false" customHeight="false" outlineLevel="0" collapsed="false">
      <c r="A246" s="15" t="s">
        <v>141</v>
      </c>
      <c r="B246" s="15" t="s">
        <v>891</v>
      </c>
      <c r="C246" s="15" t="s">
        <v>166</v>
      </c>
      <c r="D246" s="17" t="s">
        <v>662</v>
      </c>
      <c r="E246" s="15" t="n">
        <v>2024</v>
      </c>
      <c r="F246" s="15" t="n">
        <v>250</v>
      </c>
      <c r="G246" s="15" t="s">
        <v>1573</v>
      </c>
      <c r="H246" s="15" t="s">
        <v>1230</v>
      </c>
    </row>
    <row r="247" customFormat="false" ht="15" hidden="false" customHeight="false" outlineLevel="0" collapsed="false">
      <c r="A247" s="15" t="s">
        <v>141</v>
      </c>
      <c r="B247" s="15" t="s">
        <v>891</v>
      </c>
      <c r="C247" s="15" t="s">
        <v>166</v>
      </c>
      <c r="D247" s="17" t="s">
        <v>662</v>
      </c>
      <c r="E247" s="15" t="n">
        <v>2024</v>
      </c>
      <c r="F247" s="15" t="n">
        <v>250</v>
      </c>
      <c r="G247" s="15" t="s">
        <v>1574</v>
      </c>
      <c r="H247" s="15" t="s">
        <v>1228</v>
      </c>
    </row>
    <row r="248" customFormat="false" ht="28.35" hidden="false" customHeight="false" outlineLevel="0" collapsed="false">
      <c r="A248" s="15" t="s">
        <v>141</v>
      </c>
      <c r="B248" s="15" t="s">
        <v>893</v>
      </c>
      <c r="C248" s="15" t="s">
        <v>166</v>
      </c>
      <c r="D248" s="17" t="s">
        <v>765</v>
      </c>
      <c r="E248" s="15" t="n">
        <v>2024</v>
      </c>
      <c r="F248" s="15" t="n">
        <v>1000</v>
      </c>
      <c r="G248" s="15" t="s">
        <v>1575</v>
      </c>
      <c r="H248" s="15" t="s">
        <v>1232</v>
      </c>
    </row>
    <row r="249" customFormat="false" ht="15" hidden="false" customHeight="false" outlineLevel="0" collapsed="false">
      <c r="A249" s="15" t="s">
        <v>141</v>
      </c>
      <c r="B249" s="15" t="s">
        <v>895</v>
      </c>
      <c r="C249" s="15" t="s">
        <v>166</v>
      </c>
      <c r="D249" s="17" t="s">
        <v>695</v>
      </c>
      <c r="E249" s="15" t="n">
        <v>2022</v>
      </c>
      <c r="F249" s="15" t="n">
        <v>250</v>
      </c>
      <c r="G249" s="15" t="s">
        <v>1576</v>
      </c>
      <c r="H249" s="15" t="s">
        <v>1462</v>
      </c>
    </row>
    <row r="250" customFormat="false" ht="15" hidden="false" customHeight="false" outlineLevel="0" collapsed="false">
      <c r="A250" s="15" t="s">
        <v>141</v>
      </c>
      <c r="B250" s="15" t="s">
        <v>899</v>
      </c>
      <c r="C250" s="15" t="s">
        <v>166</v>
      </c>
      <c r="D250" s="17" t="s">
        <v>732</v>
      </c>
      <c r="E250" s="15" t="n">
        <v>2024</v>
      </c>
      <c r="F250" s="15" t="n">
        <v>500</v>
      </c>
      <c r="G250" s="15" t="s">
        <v>1577</v>
      </c>
      <c r="H250" s="15" t="s">
        <v>1236</v>
      </c>
    </row>
    <row r="251" customFormat="false" ht="15" hidden="false" customHeight="false" outlineLevel="0" collapsed="false">
      <c r="A251" s="15" t="s">
        <v>141</v>
      </c>
      <c r="B251" s="15" t="s">
        <v>899</v>
      </c>
      <c r="C251" s="15" t="s">
        <v>166</v>
      </c>
      <c r="D251" s="17" t="s">
        <v>662</v>
      </c>
      <c r="E251" s="15" t="n">
        <v>2024</v>
      </c>
      <c r="F251" s="15" t="n">
        <v>500</v>
      </c>
      <c r="G251" s="15" t="s">
        <v>1578</v>
      </c>
      <c r="H251" s="15" t="s">
        <v>1238</v>
      </c>
    </row>
    <row r="252" customFormat="false" ht="15" hidden="false" customHeight="false" outlineLevel="0" collapsed="false">
      <c r="A252" s="15" t="s">
        <v>141</v>
      </c>
      <c r="B252" s="15" t="s">
        <v>904</v>
      </c>
      <c r="C252" s="15" t="s">
        <v>166</v>
      </c>
      <c r="D252" s="17" t="s">
        <v>655</v>
      </c>
      <c r="E252" s="15" t="n">
        <v>2024</v>
      </c>
      <c r="F252" s="15" t="n">
        <v>750</v>
      </c>
      <c r="G252" s="15" t="s">
        <v>1579</v>
      </c>
      <c r="H252" s="15" t="s">
        <v>1466</v>
      </c>
    </row>
    <row r="253" customFormat="false" ht="15" hidden="false" customHeight="false" outlineLevel="0" collapsed="false">
      <c r="A253" s="15" t="s">
        <v>141</v>
      </c>
      <c r="B253" s="15" t="s">
        <v>908</v>
      </c>
      <c r="C253" s="15" t="s">
        <v>166</v>
      </c>
      <c r="D253" s="17" t="s">
        <v>695</v>
      </c>
      <c r="E253" s="15" t="n">
        <v>2022</v>
      </c>
      <c r="F253" s="15" t="n">
        <v>250</v>
      </c>
      <c r="G253" s="15" t="s">
        <v>1580</v>
      </c>
      <c r="H253" s="15" t="s">
        <v>1242</v>
      </c>
    </row>
    <row r="254" customFormat="false" ht="15" hidden="false" customHeight="false" outlineLevel="0" collapsed="false">
      <c r="A254" s="15" t="s">
        <v>141</v>
      </c>
      <c r="B254" s="15" t="s">
        <v>909</v>
      </c>
      <c r="C254" s="15" t="s">
        <v>166</v>
      </c>
      <c r="D254" s="17" t="s">
        <v>662</v>
      </c>
      <c r="E254" s="15" t="n">
        <v>2022</v>
      </c>
      <c r="F254" s="15" t="n">
        <v>250</v>
      </c>
      <c r="G254" s="15" t="s">
        <v>1581</v>
      </c>
      <c r="H254" s="15" t="s">
        <v>1244</v>
      </c>
    </row>
    <row r="255" customFormat="false" ht="15" hidden="false" customHeight="false" outlineLevel="0" collapsed="false">
      <c r="A255" s="15" t="s">
        <v>141</v>
      </c>
      <c r="B255" s="15" t="s">
        <v>914</v>
      </c>
      <c r="C255" s="15" t="s">
        <v>166</v>
      </c>
      <c r="D255" s="17" t="s">
        <v>704</v>
      </c>
      <c r="E255" s="15" t="n">
        <v>2024</v>
      </c>
      <c r="F255" s="15" t="n">
        <v>7000</v>
      </c>
      <c r="G255" s="15" t="s">
        <v>1582</v>
      </c>
      <c r="H255" s="15" t="s">
        <v>1250</v>
      </c>
    </row>
    <row r="256" customFormat="false" ht="15" hidden="false" customHeight="false" outlineLevel="0" collapsed="false">
      <c r="A256" s="15" t="s">
        <v>141</v>
      </c>
      <c r="B256" s="15" t="s">
        <v>916</v>
      </c>
      <c r="C256" s="15" t="s">
        <v>166</v>
      </c>
      <c r="D256" s="17" t="s">
        <v>695</v>
      </c>
      <c r="E256" s="15" t="n">
        <v>2024</v>
      </c>
      <c r="F256" s="15" t="n">
        <v>750</v>
      </c>
      <c r="G256" s="15" t="s">
        <v>1583</v>
      </c>
      <c r="H256" s="15" t="s">
        <v>1584</v>
      </c>
    </row>
    <row r="257" customFormat="false" ht="15" hidden="false" customHeight="false" outlineLevel="0" collapsed="false">
      <c r="A257" s="15" t="s">
        <v>141</v>
      </c>
      <c r="B257" s="15" t="s">
        <v>917</v>
      </c>
      <c r="C257" s="15" t="s">
        <v>166</v>
      </c>
      <c r="D257" s="17" t="s">
        <v>700</v>
      </c>
      <c r="E257" s="15" t="n">
        <v>2024</v>
      </c>
      <c r="F257" s="15" t="n">
        <v>7000</v>
      </c>
      <c r="G257" s="15" t="s">
        <v>1585</v>
      </c>
      <c r="H257" s="15" t="s">
        <v>1254</v>
      </c>
    </row>
    <row r="258" customFormat="false" ht="15" hidden="false" customHeight="false" outlineLevel="0" collapsed="false">
      <c r="A258" s="15" t="s">
        <v>141</v>
      </c>
      <c r="B258" s="15" t="s">
        <v>918</v>
      </c>
      <c r="C258" s="15" t="s">
        <v>166</v>
      </c>
      <c r="D258" s="17" t="s">
        <v>693</v>
      </c>
      <c r="E258" s="15" t="n">
        <v>2022</v>
      </c>
      <c r="F258" s="15" t="n">
        <v>500</v>
      </c>
      <c r="G258" s="15" t="s">
        <v>1586</v>
      </c>
      <c r="H258" s="15" t="s">
        <v>1587</v>
      </c>
    </row>
    <row r="259" customFormat="false" ht="15" hidden="false" customHeight="false" outlineLevel="0" collapsed="false">
      <c r="A259" s="15" t="s">
        <v>141</v>
      </c>
      <c r="B259" s="15" t="s">
        <v>921</v>
      </c>
      <c r="C259" s="15" t="s">
        <v>166</v>
      </c>
      <c r="D259" s="17" t="s">
        <v>700</v>
      </c>
      <c r="E259" s="15" t="n">
        <v>2024</v>
      </c>
      <c r="F259" s="15" t="n">
        <v>2000</v>
      </c>
      <c r="G259" s="15" t="s">
        <v>1588</v>
      </c>
      <c r="H259" s="15" t="s">
        <v>1589</v>
      </c>
    </row>
    <row r="260" customFormat="false" ht="15" hidden="false" customHeight="false" outlineLevel="0" collapsed="false">
      <c r="A260" s="15" t="s">
        <v>141</v>
      </c>
      <c r="B260" s="15" t="s">
        <v>923</v>
      </c>
      <c r="C260" s="15" t="s">
        <v>166</v>
      </c>
      <c r="D260" s="17" t="s">
        <v>658</v>
      </c>
      <c r="E260" s="15" t="n">
        <v>2024</v>
      </c>
      <c r="F260" s="15" t="n">
        <v>500</v>
      </c>
      <c r="G260" s="15" t="s">
        <v>1590</v>
      </c>
      <c r="H260" s="15" t="s">
        <v>1591</v>
      </c>
    </row>
    <row r="261" customFormat="false" ht="15" hidden="false" customHeight="false" outlineLevel="0" collapsed="false">
      <c r="A261" s="15" t="s">
        <v>141</v>
      </c>
      <c r="B261" s="15" t="s">
        <v>924</v>
      </c>
      <c r="C261" s="15" t="s">
        <v>166</v>
      </c>
      <c r="D261" s="17" t="s">
        <v>704</v>
      </c>
      <c r="E261" s="15" t="n">
        <v>2024</v>
      </c>
      <c r="F261" s="15" t="n">
        <v>1000</v>
      </c>
      <c r="G261" s="15" t="s">
        <v>1592</v>
      </c>
      <c r="H261" s="15" t="s">
        <v>1593</v>
      </c>
    </row>
    <row r="262" customFormat="false" ht="15" hidden="false" customHeight="false" outlineLevel="0" collapsed="false">
      <c r="A262" s="15" t="s">
        <v>141</v>
      </c>
      <c r="B262" s="15" t="s">
        <v>924</v>
      </c>
      <c r="C262" s="15" t="s">
        <v>166</v>
      </c>
      <c r="D262" s="17" t="s">
        <v>662</v>
      </c>
      <c r="E262" s="15" t="n">
        <v>2021</v>
      </c>
      <c r="F262" s="15" t="n">
        <v>250</v>
      </c>
      <c r="G262" s="15" t="s">
        <v>1594</v>
      </c>
      <c r="H262" s="15" t="s">
        <v>1595</v>
      </c>
    </row>
    <row r="263" customFormat="false" ht="15" hidden="false" customHeight="false" outlineLevel="0" collapsed="false">
      <c r="A263" s="15" t="s">
        <v>141</v>
      </c>
      <c r="B263" s="15" t="s">
        <v>925</v>
      </c>
      <c r="C263" s="15" t="s">
        <v>166</v>
      </c>
      <c r="D263" s="17" t="s">
        <v>732</v>
      </c>
      <c r="E263" s="15" t="n">
        <v>2023</v>
      </c>
      <c r="F263" s="15" t="n">
        <v>1000</v>
      </c>
      <c r="G263" s="15" t="s">
        <v>1596</v>
      </c>
      <c r="H263" s="15" t="s">
        <v>1260</v>
      </c>
    </row>
    <row r="264" customFormat="false" ht="15" hidden="false" customHeight="false" outlineLevel="0" collapsed="false">
      <c r="A264" s="15" t="s">
        <v>141</v>
      </c>
      <c r="B264" s="15" t="s">
        <v>926</v>
      </c>
      <c r="C264" s="15" t="s">
        <v>166</v>
      </c>
      <c r="D264" s="17" t="s">
        <v>662</v>
      </c>
      <c r="E264" s="15" t="n">
        <v>2024</v>
      </c>
      <c r="F264" s="15" t="n">
        <v>250</v>
      </c>
      <c r="G264" s="15" t="s">
        <v>1597</v>
      </c>
      <c r="H264" s="15" t="s">
        <v>1262</v>
      </c>
    </row>
    <row r="265" customFormat="false" ht="15" hidden="false" customHeight="false" outlineLevel="0" collapsed="false">
      <c r="A265" s="15" t="s">
        <v>141</v>
      </c>
      <c r="B265" s="15" t="s">
        <v>929</v>
      </c>
      <c r="C265" s="15" t="s">
        <v>166</v>
      </c>
      <c r="D265" s="17" t="s">
        <v>664</v>
      </c>
      <c r="E265" s="15" t="n">
        <v>2026</v>
      </c>
      <c r="F265" s="15" t="n">
        <v>250</v>
      </c>
      <c r="G265" s="15" t="s">
        <v>1598</v>
      </c>
      <c r="H265" s="15" t="s">
        <v>1599</v>
      </c>
    </row>
    <row r="266" customFormat="false" ht="28.35" hidden="false" customHeight="false" outlineLevel="0" collapsed="false">
      <c r="A266" s="15" t="s">
        <v>141</v>
      </c>
      <c r="B266" s="15" t="s">
        <v>930</v>
      </c>
      <c r="C266" s="15" t="s">
        <v>166</v>
      </c>
      <c r="D266" s="17" t="s">
        <v>931</v>
      </c>
      <c r="E266" s="15" t="n">
        <v>2026</v>
      </c>
      <c r="F266" s="15" t="n">
        <v>1000</v>
      </c>
      <c r="G266" s="15" t="s">
        <v>1600</v>
      </c>
      <c r="H266" s="15" t="s">
        <v>1268</v>
      </c>
    </row>
    <row r="267" customFormat="false" ht="15" hidden="false" customHeight="false" outlineLevel="0" collapsed="false">
      <c r="A267" s="15" t="s">
        <v>141</v>
      </c>
      <c r="B267" s="15" t="s">
        <v>932</v>
      </c>
      <c r="C267" s="15" t="s">
        <v>166</v>
      </c>
      <c r="D267" s="17" t="s">
        <v>695</v>
      </c>
      <c r="E267" s="15" t="n">
        <v>2024</v>
      </c>
      <c r="F267" s="15" t="n">
        <v>250</v>
      </c>
      <c r="G267" s="15" t="s">
        <v>1601</v>
      </c>
      <c r="H267" s="15" t="s">
        <v>1270</v>
      </c>
    </row>
    <row r="268" customFormat="false" ht="15" hidden="false" customHeight="false" outlineLevel="0" collapsed="false">
      <c r="A268" s="15" t="s">
        <v>141</v>
      </c>
      <c r="B268" s="15" t="s">
        <v>933</v>
      </c>
      <c r="C268" s="15" t="s">
        <v>166</v>
      </c>
      <c r="D268" s="17" t="s">
        <v>658</v>
      </c>
      <c r="E268" s="15" t="n">
        <v>2024</v>
      </c>
      <c r="F268" s="15" t="n">
        <v>500</v>
      </c>
      <c r="G268" s="15" t="s">
        <v>1602</v>
      </c>
      <c r="H268" s="15" t="s">
        <v>1603</v>
      </c>
    </row>
    <row r="269" customFormat="false" ht="15" hidden="false" customHeight="false" outlineLevel="0" collapsed="false">
      <c r="A269" s="15" t="s">
        <v>141</v>
      </c>
      <c r="B269" s="15" t="s">
        <v>934</v>
      </c>
      <c r="C269" s="15" t="s">
        <v>166</v>
      </c>
      <c r="D269" s="17" t="s">
        <v>669</v>
      </c>
      <c r="E269" s="15" t="n">
        <v>2024</v>
      </c>
      <c r="F269" s="15" t="n">
        <v>2000</v>
      </c>
      <c r="G269" s="15" t="s">
        <v>1604</v>
      </c>
      <c r="H269" s="15" t="s">
        <v>1272</v>
      </c>
    </row>
    <row r="270" customFormat="false" ht="15" hidden="false" customHeight="false" outlineLevel="0" collapsed="false">
      <c r="A270" s="15" t="s">
        <v>141</v>
      </c>
      <c r="B270" s="15" t="s">
        <v>936</v>
      </c>
      <c r="C270" s="15" t="s">
        <v>166</v>
      </c>
      <c r="D270" s="17" t="s">
        <v>737</v>
      </c>
      <c r="E270" s="15" t="n">
        <v>2024</v>
      </c>
      <c r="F270" s="15" t="n">
        <v>500</v>
      </c>
      <c r="G270" s="15" t="s">
        <v>1605</v>
      </c>
      <c r="H270" s="15" t="s">
        <v>1606</v>
      </c>
    </row>
    <row r="271" customFormat="false" ht="15" hidden="false" customHeight="false" outlineLevel="0" collapsed="false">
      <c r="A271" s="15" t="s">
        <v>141</v>
      </c>
      <c r="B271" s="15" t="s">
        <v>937</v>
      </c>
      <c r="C271" s="15" t="s">
        <v>166</v>
      </c>
      <c r="D271" s="17" t="s">
        <v>695</v>
      </c>
      <c r="E271" s="15" t="n">
        <v>2022</v>
      </c>
      <c r="F271" s="15" t="n">
        <v>250</v>
      </c>
      <c r="G271" s="15" t="s">
        <v>1607</v>
      </c>
      <c r="H271" s="15" t="s">
        <v>1474</v>
      </c>
    </row>
    <row r="272" customFormat="false" ht="15" hidden="false" customHeight="false" outlineLevel="0" collapsed="false">
      <c r="A272" s="15" t="s">
        <v>141</v>
      </c>
      <c r="B272" s="15" t="s">
        <v>938</v>
      </c>
      <c r="C272" s="15" t="s">
        <v>166</v>
      </c>
      <c r="D272" s="17" t="s">
        <v>658</v>
      </c>
      <c r="E272" s="15" t="n">
        <v>2024</v>
      </c>
      <c r="F272" s="15" t="n">
        <v>500</v>
      </c>
      <c r="G272" s="15" t="s">
        <v>1608</v>
      </c>
      <c r="H272" s="15" t="s">
        <v>1476</v>
      </c>
    </row>
    <row r="273" customFormat="false" ht="15" hidden="false" customHeight="false" outlineLevel="0" collapsed="false">
      <c r="A273" s="15" t="s">
        <v>141</v>
      </c>
      <c r="B273" s="15" t="s">
        <v>939</v>
      </c>
      <c r="C273" s="15" t="s">
        <v>166</v>
      </c>
      <c r="D273" s="17" t="s">
        <v>700</v>
      </c>
      <c r="E273" s="15" t="n">
        <v>2024</v>
      </c>
      <c r="F273" s="15" t="n">
        <v>750</v>
      </c>
      <c r="G273" s="15" t="s">
        <v>1609</v>
      </c>
      <c r="H273" s="15" t="s">
        <v>1610</v>
      </c>
    </row>
    <row r="274" customFormat="false" ht="15" hidden="false" customHeight="false" outlineLevel="0" collapsed="false">
      <c r="A274" s="15" t="s">
        <v>142</v>
      </c>
      <c r="B274" s="15" t="s">
        <v>666</v>
      </c>
      <c r="C274" s="15" t="s">
        <v>166</v>
      </c>
      <c r="D274" s="17" t="s">
        <v>667</v>
      </c>
      <c r="E274" s="15" t="n">
        <v>2022</v>
      </c>
      <c r="F274" s="15" t="n">
        <v>750</v>
      </c>
      <c r="G274" s="15" t="s">
        <v>1611</v>
      </c>
      <c r="H274" s="15" t="s">
        <v>1612</v>
      </c>
    </row>
    <row r="275" customFormat="false" ht="15" hidden="false" customHeight="false" outlineLevel="0" collapsed="false">
      <c r="A275" s="15" t="s">
        <v>142</v>
      </c>
      <c r="B275" s="15" t="s">
        <v>675</v>
      </c>
      <c r="C275" s="15" t="s">
        <v>166</v>
      </c>
      <c r="D275" s="17" t="s">
        <v>676</v>
      </c>
      <c r="E275" s="15" t="n">
        <v>2026</v>
      </c>
      <c r="F275" s="15" t="n">
        <v>2000</v>
      </c>
      <c r="G275" s="15" t="s">
        <v>1613</v>
      </c>
      <c r="H275" s="15" t="s">
        <v>1614</v>
      </c>
    </row>
    <row r="276" customFormat="false" ht="41.75" hidden="false" customHeight="false" outlineLevel="0" collapsed="false">
      <c r="A276" s="15" t="s">
        <v>142</v>
      </c>
      <c r="B276" s="15" t="s">
        <v>690</v>
      </c>
      <c r="C276" s="15" t="s">
        <v>166</v>
      </c>
      <c r="D276" s="17" t="s">
        <v>660</v>
      </c>
      <c r="E276" s="15" t="n">
        <v>2024</v>
      </c>
      <c r="F276" s="15" t="n">
        <v>4000</v>
      </c>
      <c r="G276" s="15" t="s">
        <v>1615</v>
      </c>
      <c r="H276" s="15" t="s">
        <v>1182</v>
      </c>
    </row>
    <row r="277" customFormat="false" ht="15" hidden="false" customHeight="false" outlineLevel="0" collapsed="false">
      <c r="A277" s="15" t="s">
        <v>142</v>
      </c>
      <c r="B277" s="15" t="s">
        <v>729</v>
      </c>
      <c r="C277" s="15" t="s">
        <v>166</v>
      </c>
      <c r="D277" s="17" t="s">
        <v>655</v>
      </c>
      <c r="E277" s="15" t="n">
        <v>2022</v>
      </c>
      <c r="F277" s="15" t="n">
        <v>500</v>
      </c>
      <c r="G277" s="15" t="s">
        <v>1616</v>
      </c>
      <c r="H277" s="15" t="s">
        <v>1190</v>
      </c>
    </row>
    <row r="278" customFormat="false" ht="28.35" hidden="false" customHeight="false" outlineLevel="0" collapsed="false">
      <c r="A278" s="15" t="s">
        <v>142</v>
      </c>
      <c r="B278" s="15" t="s">
        <v>735</v>
      </c>
      <c r="C278" s="15" t="s">
        <v>166</v>
      </c>
      <c r="D278" s="17" t="s">
        <v>687</v>
      </c>
      <c r="E278" s="15" t="n">
        <v>2024</v>
      </c>
      <c r="F278" s="15" t="n">
        <v>13000</v>
      </c>
      <c r="G278" s="15" t="s">
        <v>1617</v>
      </c>
      <c r="H278" s="15" t="s">
        <v>1307</v>
      </c>
    </row>
    <row r="279" customFormat="false" ht="15" hidden="false" customHeight="false" outlineLevel="0" collapsed="false">
      <c r="A279" s="15" t="s">
        <v>142</v>
      </c>
      <c r="B279" s="15" t="s">
        <v>753</v>
      </c>
      <c r="C279" s="15" t="s">
        <v>166</v>
      </c>
      <c r="D279" s="17" t="s">
        <v>732</v>
      </c>
      <c r="E279" s="15" t="n">
        <v>2024</v>
      </c>
      <c r="F279" s="15" t="n">
        <v>500</v>
      </c>
      <c r="G279" s="15" t="s">
        <v>1618</v>
      </c>
      <c r="H279" s="15" t="s">
        <v>1319</v>
      </c>
    </row>
    <row r="280" customFormat="false" ht="15" hidden="false" customHeight="false" outlineLevel="0" collapsed="false">
      <c r="A280" s="15" t="s">
        <v>142</v>
      </c>
      <c r="B280" s="15" t="s">
        <v>756</v>
      </c>
      <c r="C280" s="15" t="s">
        <v>166</v>
      </c>
      <c r="D280" s="17" t="s">
        <v>695</v>
      </c>
      <c r="E280" s="15" t="n">
        <v>2024</v>
      </c>
      <c r="F280" s="15" t="n">
        <v>250</v>
      </c>
      <c r="G280" s="15" t="s">
        <v>1619</v>
      </c>
      <c r="H280" s="15" t="s">
        <v>1620</v>
      </c>
    </row>
    <row r="281" customFormat="false" ht="15" hidden="false" customHeight="false" outlineLevel="0" collapsed="false">
      <c r="A281" s="15" t="s">
        <v>142</v>
      </c>
      <c r="B281" s="15" t="s">
        <v>757</v>
      </c>
      <c r="C281" s="15" t="s">
        <v>166</v>
      </c>
      <c r="D281" s="17" t="s">
        <v>700</v>
      </c>
      <c r="E281" s="15" t="n">
        <v>2024</v>
      </c>
      <c r="F281" s="15" t="n">
        <v>1000</v>
      </c>
      <c r="G281" s="15" t="s">
        <v>1621</v>
      </c>
      <c r="H281" s="15" t="s">
        <v>1622</v>
      </c>
    </row>
    <row r="282" customFormat="false" ht="28.35" hidden="false" customHeight="false" outlineLevel="0" collapsed="false">
      <c r="A282" s="15" t="s">
        <v>142</v>
      </c>
      <c r="B282" s="15" t="s">
        <v>761</v>
      </c>
      <c r="C282" s="15" t="s">
        <v>166</v>
      </c>
      <c r="D282" s="17" t="s">
        <v>762</v>
      </c>
      <c r="E282" s="15" t="n">
        <v>2024</v>
      </c>
      <c r="F282" s="15" t="n">
        <v>2000</v>
      </c>
      <c r="G282" s="15" t="s">
        <v>1623</v>
      </c>
      <c r="H282" s="15" t="s">
        <v>1624</v>
      </c>
    </row>
    <row r="283" customFormat="false" ht="15" hidden="false" customHeight="false" outlineLevel="0" collapsed="false">
      <c r="A283" s="15" t="s">
        <v>142</v>
      </c>
      <c r="B283" s="15" t="s">
        <v>761</v>
      </c>
      <c r="C283" s="15" t="s">
        <v>166</v>
      </c>
      <c r="D283" s="17" t="s">
        <v>662</v>
      </c>
      <c r="E283" s="15" t="n">
        <v>2021</v>
      </c>
      <c r="F283" s="15" t="n">
        <v>250</v>
      </c>
      <c r="G283" s="15" t="s">
        <v>1625</v>
      </c>
      <c r="H283" s="15" t="s">
        <v>1626</v>
      </c>
    </row>
    <row r="284" customFormat="false" ht="15" hidden="false" customHeight="false" outlineLevel="0" collapsed="false">
      <c r="A284" s="15" t="s">
        <v>142</v>
      </c>
      <c r="B284" s="15" t="s">
        <v>763</v>
      </c>
      <c r="C284" s="15" t="s">
        <v>166</v>
      </c>
      <c r="D284" s="17" t="s">
        <v>662</v>
      </c>
      <c r="E284" s="15" t="n">
        <v>2021</v>
      </c>
      <c r="F284" s="15" t="n">
        <v>250</v>
      </c>
      <c r="G284" s="15" t="s">
        <v>1627</v>
      </c>
      <c r="H284" s="15" t="s">
        <v>1628</v>
      </c>
    </row>
    <row r="285" customFormat="false" ht="28.35" hidden="false" customHeight="false" outlineLevel="0" collapsed="false">
      <c r="A285" s="15" t="s">
        <v>142</v>
      </c>
      <c r="B285" s="15" t="s">
        <v>764</v>
      </c>
      <c r="C285" s="15" t="s">
        <v>166</v>
      </c>
      <c r="D285" s="17" t="s">
        <v>765</v>
      </c>
      <c r="E285" s="15" t="n">
        <v>2024</v>
      </c>
      <c r="F285" s="15" t="n">
        <v>2000</v>
      </c>
      <c r="G285" s="15" t="s">
        <v>1629</v>
      </c>
      <c r="H285" s="15" t="s">
        <v>1630</v>
      </c>
    </row>
    <row r="286" customFormat="false" ht="15" hidden="false" customHeight="false" outlineLevel="0" collapsed="false">
      <c r="A286" s="15" t="s">
        <v>142</v>
      </c>
      <c r="B286" s="15" t="s">
        <v>766</v>
      </c>
      <c r="C286" s="15" t="s">
        <v>166</v>
      </c>
      <c r="D286" s="17" t="s">
        <v>662</v>
      </c>
      <c r="E286" s="15" t="n">
        <v>2024</v>
      </c>
      <c r="F286" s="15" t="n">
        <v>1000</v>
      </c>
      <c r="G286" s="15" t="s">
        <v>1631</v>
      </c>
      <c r="H286" s="15" t="s">
        <v>1325</v>
      </c>
    </row>
    <row r="287" customFormat="false" ht="28.35" hidden="false" customHeight="false" outlineLevel="0" collapsed="false">
      <c r="A287" s="15" t="s">
        <v>142</v>
      </c>
      <c r="B287" s="15" t="s">
        <v>767</v>
      </c>
      <c r="C287" s="15" t="s">
        <v>166</v>
      </c>
      <c r="D287" s="17" t="s">
        <v>674</v>
      </c>
      <c r="E287" s="15" t="n">
        <v>2024</v>
      </c>
      <c r="F287" s="15" t="n">
        <v>2000</v>
      </c>
      <c r="G287" s="15" t="s">
        <v>1632</v>
      </c>
      <c r="H287" s="15" t="s">
        <v>1327</v>
      </c>
    </row>
    <row r="288" customFormat="false" ht="28.35" hidden="false" customHeight="false" outlineLevel="0" collapsed="false">
      <c r="A288" s="15" t="s">
        <v>142</v>
      </c>
      <c r="B288" s="15" t="s">
        <v>770</v>
      </c>
      <c r="C288" s="15" t="s">
        <v>166</v>
      </c>
      <c r="D288" s="17" t="s">
        <v>765</v>
      </c>
      <c r="E288" s="15" t="n">
        <v>2024</v>
      </c>
      <c r="F288" s="15" t="n">
        <v>1000</v>
      </c>
      <c r="G288" s="15" t="s">
        <v>1633</v>
      </c>
      <c r="H288" s="15" t="s">
        <v>1518</v>
      </c>
    </row>
    <row r="289" customFormat="false" ht="15" hidden="false" customHeight="false" outlineLevel="0" collapsed="false">
      <c r="A289" s="15" t="s">
        <v>142</v>
      </c>
      <c r="B289" s="15" t="s">
        <v>771</v>
      </c>
      <c r="C289" s="15" t="s">
        <v>166</v>
      </c>
      <c r="D289" s="17" t="s">
        <v>695</v>
      </c>
      <c r="E289" s="15" t="n">
        <v>2024</v>
      </c>
      <c r="F289" s="15" t="n">
        <v>2000</v>
      </c>
      <c r="G289" s="15" t="s">
        <v>1634</v>
      </c>
      <c r="H289" s="15" t="s">
        <v>1635</v>
      </c>
    </row>
    <row r="290" customFormat="false" ht="15" hidden="false" customHeight="false" outlineLevel="0" collapsed="false">
      <c r="A290" s="15" t="s">
        <v>142</v>
      </c>
      <c r="B290" s="15" t="s">
        <v>780</v>
      </c>
      <c r="C290" s="15" t="s">
        <v>166</v>
      </c>
      <c r="D290" s="17" t="s">
        <v>655</v>
      </c>
      <c r="E290" s="15" t="n">
        <v>2024</v>
      </c>
      <c r="F290" s="15" t="n">
        <v>2000</v>
      </c>
      <c r="G290" s="15" t="s">
        <v>1636</v>
      </c>
      <c r="H290" s="15" t="s">
        <v>1198</v>
      </c>
    </row>
    <row r="291" customFormat="false" ht="15" hidden="false" customHeight="false" outlineLevel="0" collapsed="false">
      <c r="A291" s="15" t="s">
        <v>142</v>
      </c>
      <c r="B291" s="15" t="s">
        <v>790</v>
      </c>
      <c r="C291" s="15" t="s">
        <v>166</v>
      </c>
      <c r="D291" s="17" t="s">
        <v>655</v>
      </c>
      <c r="E291" s="15" t="n">
        <v>2024</v>
      </c>
      <c r="F291" s="15" t="n">
        <v>500</v>
      </c>
      <c r="G291" s="15" t="s">
        <v>1637</v>
      </c>
      <c r="H291" s="15" t="s">
        <v>1638</v>
      </c>
    </row>
    <row r="292" customFormat="false" ht="15" hidden="false" customHeight="false" outlineLevel="0" collapsed="false">
      <c r="A292" s="15" t="s">
        <v>142</v>
      </c>
      <c r="B292" s="15" t="s">
        <v>791</v>
      </c>
      <c r="C292" s="15" t="s">
        <v>166</v>
      </c>
      <c r="D292" s="17" t="s">
        <v>667</v>
      </c>
      <c r="E292" s="15" t="n">
        <v>2024</v>
      </c>
      <c r="F292" s="15" t="n">
        <v>750</v>
      </c>
      <c r="G292" s="15" t="s">
        <v>1639</v>
      </c>
      <c r="H292" s="15" t="s">
        <v>1431</v>
      </c>
    </row>
    <row r="293" customFormat="false" ht="15" hidden="false" customHeight="false" outlineLevel="0" collapsed="false">
      <c r="A293" s="15" t="s">
        <v>142</v>
      </c>
      <c r="B293" s="15" t="s">
        <v>796</v>
      </c>
      <c r="C293" s="15" t="s">
        <v>166</v>
      </c>
      <c r="D293" s="17" t="s">
        <v>695</v>
      </c>
      <c r="E293" s="15" t="n">
        <v>2022</v>
      </c>
      <c r="F293" s="15" t="n">
        <v>250</v>
      </c>
      <c r="G293" s="15" t="s">
        <v>1640</v>
      </c>
      <c r="H293" s="15" t="s">
        <v>1641</v>
      </c>
    </row>
    <row r="294" customFormat="false" ht="15" hidden="false" customHeight="false" outlineLevel="0" collapsed="false">
      <c r="A294" s="15" t="s">
        <v>142</v>
      </c>
      <c r="B294" s="15" t="s">
        <v>797</v>
      </c>
      <c r="C294" s="15" t="s">
        <v>166</v>
      </c>
      <c r="D294" s="17" t="s">
        <v>695</v>
      </c>
      <c r="E294" s="15" t="n">
        <v>2024</v>
      </c>
      <c r="F294" s="15" t="n">
        <v>1000</v>
      </c>
      <c r="G294" s="15" t="s">
        <v>1642</v>
      </c>
      <c r="H294" s="15" t="s">
        <v>1643</v>
      </c>
    </row>
    <row r="295" customFormat="false" ht="15" hidden="false" customHeight="false" outlineLevel="0" collapsed="false">
      <c r="A295" s="15" t="s">
        <v>142</v>
      </c>
      <c r="B295" s="15" t="s">
        <v>799</v>
      </c>
      <c r="C295" s="15" t="s">
        <v>166</v>
      </c>
      <c r="D295" s="17" t="s">
        <v>662</v>
      </c>
      <c r="E295" s="15" t="n">
        <v>2024</v>
      </c>
      <c r="F295" s="15" t="n">
        <v>500</v>
      </c>
      <c r="G295" s="15" t="s">
        <v>1644</v>
      </c>
      <c r="H295" s="15" t="s">
        <v>1435</v>
      </c>
    </row>
    <row r="296" customFormat="false" ht="15" hidden="false" customHeight="false" outlineLevel="0" collapsed="false">
      <c r="A296" s="15" t="s">
        <v>142</v>
      </c>
      <c r="B296" s="15" t="s">
        <v>800</v>
      </c>
      <c r="C296" s="15" t="s">
        <v>166</v>
      </c>
      <c r="D296" s="17" t="s">
        <v>695</v>
      </c>
      <c r="E296" s="15" t="n">
        <v>2023</v>
      </c>
      <c r="F296" s="15" t="n">
        <v>750</v>
      </c>
      <c r="G296" s="15" t="s">
        <v>1645</v>
      </c>
      <c r="H296" s="15" t="s">
        <v>1646</v>
      </c>
    </row>
    <row r="297" customFormat="false" ht="15" hidden="false" customHeight="false" outlineLevel="0" collapsed="false">
      <c r="A297" s="15" t="s">
        <v>142</v>
      </c>
      <c r="B297" s="15" t="s">
        <v>809</v>
      </c>
      <c r="C297" s="15" t="s">
        <v>166</v>
      </c>
      <c r="D297" s="17" t="s">
        <v>695</v>
      </c>
      <c r="E297" s="15" t="n">
        <v>2024</v>
      </c>
      <c r="F297" s="15" t="n">
        <v>750</v>
      </c>
      <c r="G297" s="15" t="s">
        <v>1647</v>
      </c>
      <c r="H297" s="15" t="s">
        <v>1535</v>
      </c>
    </row>
    <row r="298" customFormat="false" ht="15" hidden="false" customHeight="false" outlineLevel="0" collapsed="false">
      <c r="A298" s="15" t="s">
        <v>142</v>
      </c>
      <c r="B298" s="15" t="s">
        <v>810</v>
      </c>
      <c r="C298" s="15" t="s">
        <v>166</v>
      </c>
      <c r="D298" s="17" t="s">
        <v>700</v>
      </c>
      <c r="E298" s="15" t="n">
        <v>2024</v>
      </c>
      <c r="F298" s="15" t="n">
        <v>1000</v>
      </c>
      <c r="G298" s="15" t="s">
        <v>1648</v>
      </c>
      <c r="H298" s="15" t="s">
        <v>1649</v>
      </c>
    </row>
    <row r="299" customFormat="false" ht="15" hidden="false" customHeight="false" outlineLevel="0" collapsed="false">
      <c r="A299" s="15" t="s">
        <v>142</v>
      </c>
      <c r="B299" s="15" t="s">
        <v>813</v>
      </c>
      <c r="C299" s="15" t="s">
        <v>166</v>
      </c>
      <c r="D299" s="17" t="s">
        <v>737</v>
      </c>
      <c r="E299" s="15" t="n">
        <v>2024</v>
      </c>
      <c r="F299" s="15" t="n">
        <v>1000</v>
      </c>
      <c r="G299" s="15" t="s">
        <v>1650</v>
      </c>
      <c r="H299" s="15" t="s">
        <v>1651</v>
      </c>
    </row>
    <row r="300" customFormat="false" ht="15" hidden="false" customHeight="false" outlineLevel="0" collapsed="false">
      <c r="A300" s="15" t="s">
        <v>142</v>
      </c>
      <c r="B300" s="15" t="s">
        <v>813</v>
      </c>
      <c r="C300" s="15" t="s">
        <v>166</v>
      </c>
      <c r="D300" s="17" t="s">
        <v>737</v>
      </c>
      <c r="E300" s="15" t="n">
        <v>2024</v>
      </c>
      <c r="F300" s="15" t="n">
        <v>1000</v>
      </c>
      <c r="G300" s="15" t="s">
        <v>1652</v>
      </c>
      <c r="H300" s="15" t="s">
        <v>1653</v>
      </c>
    </row>
    <row r="301" customFormat="false" ht="15" hidden="false" customHeight="false" outlineLevel="0" collapsed="false">
      <c r="A301" s="15" t="s">
        <v>142</v>
      </c>
      <c r="B301" s="15" t="s">
        <v>814</v>
      </c>
      <c r="C301" s="15" t="s">
        <v>166</v>
      </c>
      <c r="D301" s="17" t="s">
        <v>695</v>
      </c>
      <c r="E301" s="15" t="n">
        <v>2024</v>
      </c>
      <c r="F301" s="15" t="n">
        <v>1000</v>
      </c>
      <c r="G301" s="15" t="s">
        <v>1654</v>
      </c>
      <c r="H301" s="15" t="s">
        <v>1543</v>
      </c>
    </row>
    <row r="302" customFormat="false" ht="15" hidden="false" customHeight="false" outlineLevel="0" collapsed="false">
      <c r="A302" s="15" t="s">
        <v>142</v>
      </c>
      <c r="B302" s="15" t="s">
        <v>819</v>
      </c>
      <c r="C302" s="15" t="s">
        <v>166</v>
      </c>
      <c r="D302" s="17" t="s">
        <v>658</v>
      </c>
      <c r="E302" s="15" t="n">
        <v>2020</v>
      </c>
      <c r="F302" s="15" t="n">
        <v>250</v>
      </c>
      <c r="G302" s="15" t="s">
        <v>1655</v>
      </c>
      <c r="H302" s="15" t="s">
        <v>1656</v>
      </c>
    </row>
    <row r="303" customFormat="false" ht="28.35" hidden="false" customHeight="false" outlineLevel="0" collapsed="false">
      <c r="A303" s="15" t="s">
        <v>142</v>
      </c>
      <c r="B303" s="15" t="s">
        <v>822</v>
      </c>
      <c r="C303" s="15" t="s">
        <v>166</v>
      </c>
      <c r="D303" s="17" t="s">
        <v>823</v>
      </c>
      <c r="E303" s="15" t="n">
        <v>2024</v>
      </c>
      <c r="F303" s="15" t="n">
        <v>3000</v>
      </c>
      <c r="G303" s="15" t="s">
        <v>1657</v>
      </c>
      <c r="H303" s="15" t="s">
        <v>1202</v>
      </c>
    </row>
    <row r="304" customFormat="false" ht="15" hidden="false" customHeight="false" outlineLevel="0" collapsed="false">
      <c r="A304" s="15" t="s">
        <v>142</v>
      </c>
      <c r="B304" s="15" t="s">
        <v>824</v>
      </c>
      <c r="C304" s="15" t="s">
        <v>166</v>
      </c>
      <c r="D304" s="17" t="s">
        <v>662</v>
      </c>
      <c r="E304" s="15" t="n">
        <v>2024</v>
      </c>
      <c r="F304" s="15" t="n">
        <v>250</v>
      </c>
      <c r="G304" s="15" t="s">
        <v>1658</v>
      </c>
      <c r="H304" s="15" t="s">
        <v>1204</v>
      </c>
    </row>
    <row r="305" customFormat="false" ht="28.35" hidden="false" customHeight="false" outlineLevel="0" collapsed="false">
      <c r="A305" s="15" t="s">
        <v>142</v>
      </c>
      <c r="B305" s="15" t="s">
        <v>826</v>
      </c>
      <c r="C305" s="15" t="s">
        <v>166</v>
      </c>
      <c r="D305" s="17" t="s">
        <v>765</v>
      </c>
      <c r="E305" s="15" t="n">
        <v>2024</v>
      </c>
      <c r="F305" s="15" t="n">
        <v>2000</v>
      </c>
      <c r="G305" s="15" t="s">
        <v>1659</v>
      </c>
      <c r="H305" s="15" t="s">
        <v>1660</v>
      </c>
    </row>
    <row r="306" customFormat="false" ht="15" hidden="false" customHeight="false" outlineLevel="0" collapsed="false">
      <c r="A306" s="15" t="s">
        <v>142</v>
      </c>
      <c r="B306" s="15" t="s">
        <v>827</v>
      </c>
      <c r="C306" s="15" t="s">
        <v>166</v>
      </c>
      <c r="D306" s="17" t="s">
        <v>676</v>
      </c>
      <c r="E306" s="15" t="n">
        <v>2026</v>
      </c>
      <c r="F306" s="15" t="n">
        <v>250</v>
      </c>
      <c r="G306" s="15" t="s">
        <v>1661</v>
      </c>
      <c r="H306" s="15" t="s">
        <v>1446</v>
      </c>
    </row>
    <row r="307" customFormat="false" ht="15" hidden="false" customHeight="false" outlineLevel="0" collapsed="false">
      <c r="A307" s="15" t="s">
        <v>142</v>
      </c>
      <c r="B307" s="15" t="s">
        <v>831</v>
      </c>
      <c r="C307" s="15" t="s">
        <v>166</v>
      </c>
      <c r="D307" s="17" t="s">
        <v>655</v>
      </c>
      <c r="E307" s="15" t="n">
        <v>2024</v>
      </c>
      <c r="F307" s="15" t="n">
        <v>1000</v>
      </c>
      <c r="G307" s="15" t="s">
        <v>1662</v>
      </c>
      <c r="H307" s="15" t="s">
        <v>1663</v>
      </c>
    </row>
    <row r="308" customFormat="false" ht="28.35" hidden="false" customHeight="false" outlineLevel="0" collapsed="false">
      <c r="A308" s="15" t="s">
        <v>142</v>
      </c>
      <c r="B308" s="15" t="s">
        <v>832</v>
      </c>
      <c r="C308" s="15" t="s">
        <v>166</v>
      </c>
      <c r="D308" s="17" t="s">
        <v>724</v>
      </c>
      <c r="E308" s="15" t="n">
        <v>2024</v>
      </c>
      <c r="F308" s="15" t="n">
        <v>3000</v>
      </c>
      <c r="G308" s="15" t="s">
        <v>1664</v>
      </c>
      <c r="H308" s="15" t="s">
        <v>1208</v>
      </c>
    </row>
    <row r="309" customFormat="false" ht="15" hidden="false" customHeight="false" outlineLevel="0" collapsed="false">
      <c r="A309" s="15" t="s">
        <v>142</v>
      </c>
      <c r="B309" s="15" t="s">
        <v>834</v>
      </c>
      <c r="C309" s="15" t="s">
        <v>166</v>
      </c>
      <c r="D309" s="17" t="s">
        <v>704</v>
      </c>
      <c r="E309" s="15" t="n">
        <v>2024</v>
      </c>
      <c r="F309" s="15" t="n">
        <v>2000</v>
      </c>
      <c r="G309" s="15" t="s">
        <v>1665</v>
      </c>
      <c r="H309" s="15" t="s">
        <v>1666</v>
      </c>
    </row>
    <row r="310" customFormat="false" ht="15" hidden="false" customHeight="false" outlineLevel="0" collapsed="false">
      <c r="A310" s="15" t="s">
        <v>142</v>
      </c>
      <c r="B310" s="15" t="s">
        <v>835</v>
      </c>
      <c r="C310" s="15" t="s">
        <v>166</v>
      </c>
      <c r="D310" s="17" t="s">
        <v>700</v>
      </c>
      <c r="E310" s="15" t="n">
        <v>2023</v>
      </c>
      <c r="F310" s="15" t="n">
        <v>250</v>
      </c>
      <c r="G310" s="15" t="s">
        <v>1667</v>
      </c>
      <c r="H310" s="15" t="s">
        <v>1668</v>
      </c>
    </row>
    <row r="311" customFormat="false" ht="15" hidden="false" customHeight="false" outlineLevel="0" collapsed="false">
      <c r="A311" s="15" t="s">
        <v>142</v>
      </c>
      <c r="B311" s="15" t="s">
        <v>851</v>
      </c>
      <c r="C311" s="15" t="s">
        <v>166</v>
      </c>
      <c r="D311" s="17" t="s">
        <v>695</v>
      </c>
      <c r="E311" s="15" t="n">
        <v>2023</v>
      </c>
      <c r="F311" s="15" t="n">
        <v>1000</v>
      </c>
      <c r="G311" s="15" t="s">
        <v>1669</v>
      </c>
      <c r="H311" s="15" t="s">
        <v>1670</v>
      </c>
    </row>
    <row r="312" customFormat="false" ht="28.35" hidden="false" customHeight="false" outlineLevel="0" collapsed="false">
      <c r="A312" s="15" t="s">
        <v>142</v>
      </c>
      <c r="B312" s="15" t="s">
        <v>865</v>
      </c>
      <c r="C312" s="15" t="s">
        <v>166</v>
      </c>
      <c r="D312" s="17" t="s">
        <v>760</v>
      </c>
      <c r="E312" s="15" t="n">
        <v>2024</v>
      </c>
      <c r="F312" s="15" t="n">
        <v>250</v>
      </c>
      <c r="G312" s="15" t="s">
        <v>1671</v>
      </c>
      <c r="H312" s="15" t="s">
        <v>1672</v>
      </c>
    </row>
    <row r="313" customFormat="false" ht="15" hidden="false" customHeight="false" outlineLevel="0" collapsed="false">
      <c r="A313" s="15" t="s">
        <v>142</v>
      </c>
      <c r="B313" s="15" t="s">
        <v>870</v>
      </c>
      <c r="C313" s="15" t="s">
        <v>166</v>
      </c>
      <c r="D313" s="17" t="s">
        <v>662</v>
      </c>
      <c r="E313" s="15" t="n">
        <v>2024</v>
      </c>
      <c r="F313" s="15" t="n">
        <v>250</v>
      </c>
      <c r="G313" s="15" t="s">
        <v>1673</v>
      </c>
      <c r="H313" s="15" t="s">
        <v>1563</v>
      </c>
    </row>
    <row r="314" customFormat="false" ht="15" hidden="false" customHeight="false" outlineLevel="0" collapsed="false">
      <c r="A314" s="15" t="s">
        <v>142</v>
      </c>
      <c r="B314" s="15" t="s">
        <v>871</v>
      </c>
      <c r="C314" s="15" t="s">
        <v>166</v>
      </c>
      <c r="D314" s="17" t="s">
        <v>700</v>
      </c>
      <c r="E314" s="15" t="n">
        <v>2023</v>
      </c>
      <c r="F314" s="15" t="n">
        <v>500</v>
      </c>
      <c r="G314" s="15" t="s">
        <v>1674</v>
      </c>
      <c r="H314" s="15" t="s">
        <v>1224</v>
      </c>
    </row>
    <row r="315" customFormat="false" ht="15" hidden="false" customHeight="false" outlineLevel="0" collapsed="false">
      <c r="A315" s="15" t="s">
        <v>142</v>
      </c>
      <c r="B315" s="15" t="s">
        <v>878</v>
      </c>
      <c r="C315" s="15" t="s">
        <v>166</v>
      </c>
      <c r="D315" s="17" t="s">
        <v>655</v>
      </c>
      <c r="E315" s="15" t="n">
        <v>2024</v>
      </c>
      <c r="F315" s="15" t="n">
        <v>1000</v>
      </c>
      <c r="G315" s="15" t="s">
        <v>1675</v>
      </c>
      <c r="H315" s="15" t="s">
        <v>1457</v>
      </c>
    </row>
    <row r="316" customFormat="false" ht="15" hidden="false" customHeight="false" outlineLevel="0" collapsed="false">
      <c r="A316" s="15" t="s">
        <v>142</v>
      </c>
      <c r="B316" s="15" t="s">
        <v>880</v>
      </c>
      <c r="C316" s="15" t="s">
        <v>166</v>
      </c>
      <c r="D316" s="17" t="s">
        <v>737</v>
      </c>
      <c r="E316" s="15" t="n">
        <v>2024</v>
      </c>
      <c r="F316" s="15" t="n">
        <v>500</v>
      </c>
      <c r="G316" s="15" t="s">
        <v>1676</v>
      </c>
      <c r="H316" s="15" t="s">
        <v>1569</v>
      </c>
    </row>
    <row r="317" customFormat="false" ht="15" hidden="false" customHeight="false" outlineLevel="0" collapsed="false">
      <c r="A317" s="15" t="s">
        <v>142</v>
      </c>
      <c r="B317" s="15" t="s">
        <v>888</v>
      </c>
      <c r="C317" s="15" t="s">
        <v>166</v>
      </c>
      <c r="D317" s="17" t="s">
        <v>662</v>
      </c>
      <c r="E317" s="15" t="n">
        <v>2021</v>
      </c>
      <c r="F317" s="15" t="n">
        <v>250</v>
      </c>
      <c r="G317" s="15" t="s">
        <v>1677</v>
      </c>
      <c r="H317" s="15" t="s">
        <v>1678</v>
      </c>
    </row>
    <row r="318" customFormat="false" ht="15" hidden="false" customHeight="false" outlineLevel="0" collapsed="false">
      <c r="A318" s="15" t="s">
        <v>142</v>
      </c>
      <c r="B318" s="15" t="s">
        <v>897</v>
      </c>
      <c r="C318" s="15" t="s">
        <v>166</v>
      </c>
      <c r="D318" s="17" t="s">
        <v>695</v>
      </c>
      <c r="E318" s="15" t="n">
        <v>2024</v>
      </c>
      <c r="F318" s="15" t="n">
        <v>250</v>
      </c>
      <c r="G318" s="15" t="s">
        <v>1679</v>
      </c>
      <c r="H318" s="15" t="s">
        <v>1680</v>
      </c>
    </row>
    <row r="319" customFormat="false" ht="15" hidden="false" customHeight="false" outlineLevel="0" collapsed="false">
      <c r="A319" s="15" t="s">
        <v>142</v>
      </c>
      <c r="B319" s="15" t="s">
        <v>899</v>
      </c>
      <c r="C319" s="15" t="s">
        <v>166</v>
      </c>
      <c r="D319" s="17" t="s">
        <v>732</v>
      </c>
      <c r="E319" s="15" t="n">
        <v>2024</v>
      </c>
      <c r="F319" s="15" t="n">
        <v>500</v>
      </c>
      <c r="G319" s="15" t="s">
        <v>1681</v>
      </c>
      <c r="H319" s="15" t="s">
        <v>1236</v>
      </c>
    </row>
    <row r="320" customFormat="false" ht="15" hidden="false" customHeight="false" outlineLevel="0" collapsed="false">
      <c r="A320" s="15" t="s">
        <v>142</v>
      </c>
      <c r="B320" s="15" t="s">
        <v>899</v>
      </c>
      <c r="C320" s="15" t="s">
        <v>166</v>
      </c>
      <c r="D320" s="17" t="s">
        <v>662</v>
      </c>
      <c r="E320" s="15" t="n">
        <v>2024</v>
      </c>
      <c r="F320" s="15" t="n">
        <v>500</v>
      </c>
      <c r="G320" s="15" t="s">
        <v>1682</v>
      </c>
      <c r="H320" s="15" t="s">
        <v>1238</v>
      </c>
    </row>
    <row r="321" customFormat="false" ht="15" hidden="false" customHeight="false" outlineLevel="0" collapsed="false">
      <c r="A321" s="15" t="s">
        <v>142</v>
      </c>
      <c r="B321" s="15" t="s">
        <v>900</v>
      </c>
      <c r="C321" s="15" t="s">
        <v>166</v>
      </c>
      <c r="D321" s="17" t="s">
        <v>662</v>
      </c>
      <c r="E321" s="15" t="n">
        <v>2021</v>
      </c>
      <c r="F321" s="15" t="n">
        <v>250</v>
      </c>
      <c r="G321" s="15" t="s">
        <v>1683</v>
      </c>
      <c r="H321" s="15" t="s">
        <v>1684</v>
      </c>
    </row>
    <row r="322" customFormat="false" ht="15" hidden="false" customHeight="false" outlineLevel="0" collapsed="false">
      <c r="A322" s="15" t="s">
        <v>142</v>
      </c>
      <c r="B322" s="15" t="s">
        <v>901</v>
      </c>
      <c r="C322" s="15" t="s">
        <v>166</v>
      </c>
      <c r="D322" s="17" t="s">
        <v>695</v>
      </c>
      <c r="E322" s="15" t="n">
        <v>2024</v>
      </c>
      <c r="F322" s="15" t="n">
        <v>750</v>
      </c>
      <c r="G322" s="15" t="s">
        <v>1685</v>
      </c>
      <c r="H322" s="15" t="s">
        <v>1686</v>
      </c>
    </row>
    <row r="323" customFormat="false" ht="15" hidden="false" customHeight="false" outlineLevel="0" collapsed="false">
      <c r="A323" s="15" t="s">
        <v>142</v>
      </c>
      <c r="B323" s="15" t="s">
        <v>906</v>
      </c>
      <c r="C323" s="15" t="s">
        <v>166</v>
      </c>
      <c r="D323" s="17" t="s">
        <v>700</v>
      </c>
      <c r="E323" s="15" t="n">
        <v>2024</v>
      </c>
      <c r="F323" s="15" t="n">
        <v>7000</v>
      </c>
      <c r="G323" s="15" t="s">
        <v>1687</v>
      </c>
      <c r="H323" s="15" t="s">
        <v>1240</v>
      </c>
    </row>
    <row r="324" customFormat="false" ht="15" hidden="false" customHeight="false" outlineLevel="0" collapsed="false">
      <c r="A324" s="15" t="s">
        <v>142</v>
      </c>
      <c r="B324" s="15" t="s">
        <v>909</v>
      </c>
      <c r="C324" s="15" t="s">
        <v>166</v>
      </c>
      <c r="D324" s="17" t="s">
        <v>662</v>
      </c>
      <c r="E324" s="15" t="n">
        <v>2022</v>
      </c>
      <c r="F324" s="15" t="n">
        <v>250</v>
      </c>
      <c r="G324" s="15" t="s">
        <v>1688</v>
      </c>
      <c r="H324" s="15" t="s">
        <v>1244</v>
      </c>
    </row>
    <row r="325" customFormat="false" ht="15" hidden="false" customHeight="false" outlineLevel="0" collapsed="false">
      <c r="A325" s="15" t="s">
        <v>142</v>
      </c>
      <c r="B325" s="15" t="s">
        <v>920</v>
      </c>
      <c r="C325" s="15" t="s">
        <v>166</v>
      </c>
      <c r="D325" s="17" t="s">
        <v>732</v>
      </c>
      <c r="E325" s="15" t="n">
        <v>2024</v>
      </c>
      <c r="F325" s="15" t="n">
        <v>500</v>
      </c>
      <c r="G325" s="15" t="s">
        <v>1689</v>
      </c>
      <c r="H325" s="15" t="s">
        <v>1690</v>
      </c>
    </row>
    <row r="326" customFormat="false" ht="28.35" hidden="false" customHeight="false" outlineLevel="0" collapsed="false">
      <c r="A326" s="15" t="s">
        <v>142</v>
      </c>
      <c r="B326" s="15" t="s">
        <v>928</v>
      </c>
      <c r="C326" s="15" t="s">
        <v>166</v>
      </c>
      <c r="D326" s="17" t="s">
        <v>765</v>
      </c>
      <c r="E326" s="15" t="n">
        <v>2024</v>
      </c>
      <c r="F326" s="15" t="n">
        <v>2000</v>
      </c>
      <c r="G326" s="15" t="s">
        <v>1691</v>
      </c>
      <c r="H326" s="15" t="s">
        <v>1266</v>
      </c>
    </row>
    <row r="327" customFormat="false" ht="28.35" hidden="false" customHeight="false" outlineLevel="0" collapsed="false">
      <c r="A327" s="15" t="s">
        <v>142</v>
      </c>
      <c r="B327" s="15" t="s">
        <v>930</v>
      </c>
      <c r="C327" s="15" t="s">
        <v>166</v>
      </c>
      <c r="D327" s="17" t="s">
        <v>931</v>
      </c>
      <c r="E327" s="15" t="n">
        <v>2026</v>
      </c>
      <c r="F327" s="15" t="n">
        <v>1000</v>
      </c>
      <c r="G327" s="15" t="s">
        <v>1692</v>
      </c>
      <c r="H327" s="15" t="s">
        <v>1268</v>
      </c>
    </row>
    <row r="328" customFormat="false" ht="15" hidden="false" customHeight="false" outlineLevel="0" collapsed="false">
      <c r="A328" s="15" t="s">
        <v>142</v>
      </c>
      <c r="B328" s="15" t="s">
        <v>937</v>
      </c>
      <c r="C328" s="15" t="s">
        <v>166</v>
      </c>
      <c r="D328" s="17" t="s">
        <v>695</v>
      </c>
      <c r="E328" s="15" t="n">
        <v>2022</v>
      </c>
      <c r="F328" s="15" t="n">
        <v>250</v>
      </c>
      <c r="G328" s="15" t="s">
        <v>1693</v>
      </c>
      <c r="H328" s="15" t="s">
        <v>1474</v>
      </c>
    </row>
    <row r="329" customFormat="false" ht="15" hidden="false" customHeight="false" outlineLevel="0" collapsed="false">
      <c r="A329" s="15" t="s">
        <v>143</v>
      </c>
      <c r="B329" s="15" t="s">
        <v>174</v>
      </c>
      <c r="C329" s="15" t="s">
        <v>166</v>
      </c>
      <c r="D329" s="17" t="s">
        <v>737</v>
      </c>
      <c r="E329" s="15" t="n">
        <v>2024</v>
      </c>
      <c r="F329" s="15" t="n">
        <v>2000</v>
      </c>
      <c r="G329" s="15" t="s">
        <v>1694</v>
      </c>
      <c r="H329" s="15" t="s">
        <v>1695</v>
      </c>
    </row>
    <row r="330" customFormat="false" ht="15" hidden="false" customHeight="false" outlineLevel="0" collapsed="false">
      <c r="A330" s="15" t="s">
        <v>143</v>
      </c>
      <c r="B330" s="15" t="s">
        <v>204</v>
      </c>
      <c r="C330" s="15" t="s">
        <v>166</v>
      </c>
      <c r="D330" s="17" t="s">
        <v>695</v>
      </c>
      <c r="E330" s="15" t="n">
        <v>2023</v>
      </c>
      <c r="F330" s="15" t="n">
        <v>1000</v>
      </c>
      <c r="G330" s="15" t="s">
        <v>1696</v>
      </c>
      <c r="H330" s="15" t="s">
        <v>1697</v>
      </c>
    </row>
    <row r="331" customFormat="false" ht="15" hidden="false" customHeight="false" outlineLevel="0" collapsed="false">
      <c r="A331" s="15" t="s">
        <v>143</v>
      </c>
      <c r="B331" s="15" t="s">
        <v>211</v>
      </c>
      <c r="C331" s="15" t="s">
        <v>166</v>
      </c>
      <c r="D331" s="17" t="s">
        <v>664</v>
      </c>
      <c r="E331" s="15" t="n">
        <v>2026</v>
      </c>
      <c r="F331" s="15" t="n">
        <v>2000</v>
      </c>
      <c r="G331" s="15" t="s">
        <v>1698</v>
      </c>
      <c r="H331" s="15" t="s">
        <v>1699</v>
      </c>
    </row>
    <row r="332" customFormat="false" ht="15" hidden="false" customHeight="false" outlineLevel="0" collapsed="false">
      <c r="A332" s="15" t="s">
        <v>143</v>
      </c>
      <c r="B332" s="15" t="s">
        <v>223</v>
      </c>
      <c r="C332" s="15" t="s">
        <v>166</v>
      </c>
      <c r="D332" s="17" t="s">
        <v>662</v>
      </c>
      <c r="E332" s="15" t="n">
        <v>2024</v>
      </c>
      <c r="F332" s="15" t="n">
        <v>500</v>
      </c>
      <c r="G332" s="15" t="s">
        <v>1700</v>
      </c>
      <c r="H332" s="15" t="s">
        <v>1701</v>
      </c>
    </row>
    <row r="333" customFormat="false" ht="15" hidden="false" customHeight="false" outlineLevel="0" collapsed="false">
      <c r="A333" s="15" t="s">
        <v>143</v>
      </c>
      <c r="B333" s="15" t="s">
        <v>254</v>
      </c>
      <c r="C333" s="15" t="s">
        <v>166</v>
      </c>
      <c r="D333" s="17" t="s">
        <v>695</v>
      </c>
      <c r="E333" s="15" t="n">
        <v>2023</v>
      </c>
      <c r="F333" s="15" t="n">
        <v>250</v>
      </c>
      <c r="G333" s="15" t="s">
        <v>1702</v>
      </c>
      <c r="H333" s="15" t="s">
        <v>1166</v>
      </c>
    </row>
    <row r="334" customFormat="false" ht="28.35" hidden="false" customHeight="false" outlineLevel="0" collapsed="false">
      <c r="A334" s="15" t="s">
        <v>143</v>
      </c>
      <c r="B334" s="15" t="s">
        <v>372</v>
      </c>
      <c r="C334" s="15" t="s">
        <v>166</v>
      </c>
      <c r="D334" s="17" t="s">
        <v>1279</v>
      </c>
      <c r="E334" s="15" t="n">
        <v>2026</v>
      </c>
      <c r="F334" s="15" t="n">
        <v>3000</v>
      </c>
      <c r="G334" s="15" t="s">
        <v>1703</v>
      </c>
      <c r="H334" s="15" t="s">
        <v>1281</v>
      </c>
    </row>
    <row r="335" customFormat="false" ht="15" hidden="false" customHeight="false" outlineLevel="0" collapsed="false">
      <c r="A335" s="15" t="s">
        <v>143</v>
      </c>
      <c r="B335" s="15" t="s">
        <v>405</v>
      </c>
      <c r="C335" s="15" t="s">
        <v>166</v>
      </c>
      <c r="D335" s="17" t="s">
        <v>695</v>
      </c>
      <c r="E335" s="15" t="n">
        <v>2022</v>
      </c>
      <c r="F335" s="15" t="n">
        <v>250</v>
      </c>
      <c r="G335" s="15" t="s">
        <v>1704</v>
      </c>
      <c r="H335" s="15" t="s">
        <v>1283</v>
      </c>
    </row>
    <row r="336" customFormat="false" ht="15" hidden="false" customHeight="false" outlineLevel="0" collapsed="false">
      <c r="A336" s="15" t="s">
        <v>143</v>
      </c>
      <c r="B336" s="15" t="s">
        <v>428</v>
      </c>
      <c r="C336" s="15" t="s">
        <v>166</v>
      </c>
      <c r="D336" s="17" t="s">
        <v>737</v>
      </c>
      <c r="E336" s="15" t="n">
        <v>2024</v>
      </c>
      <c r="F336" s="15" t="n">
        <v>750</v>
      </c>
      <c r="G336" s="15" t="s">
        <v>1705</v>
      </c>
      <c r="H336" s="15" t="s">
        <v>1706</v>
      </c>
    </row>
    <row r="337" customFormat="false" ht="15" hidden="false" customHeight="false" outlineLevel="0" collapsed="false">
      <c r="A337" s="15" t="s">
        <v>143</v>
      </c>
      <c r="B337" s="15" t="s">
        <v>492</v>
      </c>
      <c r="C337" s="15" t="s">
        <v>166</v>
      </c>
      <c r="D337" s="17" t="s">
        <v>695</v>
      </c>
      <c r="E337" s="15" t="n">
        <v>2022</v>
      </c>
      <c r="F337" s="15" t="n">
        <v>250</v>
      </c>
      <c r="G337" s="15" t="s">
        <v>1707</v>
      </c>
      <c r="H337" s="15" t="s">
        <v>1708</v>
      </c>
    </row>
    <row r="338" customFormat="false" ht="15" hidden="false" customHeight="false" outlineLevel="0" collapsed="false">
      <c r="A338" s="15" t="s">
        <v>143</v>
      </c>
      <c r="B338" s="15" t="s">
        <v>501</v>
      </c>
      <c r="C338" s="15" t="s">
        <v>166</v>
      </c>
      <c r="D338" s="17" t="s">
        <v>695</v>
      </c>
      <c r="E338" s="15" t="n">
        <v>2024</v>
      </c>
      <c r="F338" s="15" t="n">
        <v>750</v>
      </c>
      <c r="G338" s="15" t="s">
        <v>1709</v>
      </c>
      <c r="H338" s="15" t="s">
        <v>1710</v>
      </c>
    </row>
    <row r="339" customFormat="false" ht="15" hidden="false" customHeight="false" outlineLevel="0" collapsed="false">
      <c r="A339" s="15" t="s">
        <v>143</v>
      </c>
      <c r="B339" s="15" t="s">
        <v>572</v>
      </c>
      <c r="C339" s="15" t="s">
        <v>166</v>
      </c>
      <c r="D339" s="17" t="s">
        <v>667</v>
      </c>
      <c r="E339" s="15" t="n">
        <v>2024</v>
      </c>
      <c r="F339" s="15" t="n">
        <v>1000</v>
      </c>
      <c r="G339" s="15" t="s">
        <v>1711</v>
      </c>
      <c r="H339" s="15" t="s">
        <v>1170</v>
      </c>
    </row>
    <row r="340" customFormat="false" ht="15" hidden="false" customHeight="false" outlineLevel="0" collapsed="false">
      <c r="A340" s="15" t="s">
        <v>143</v>
      </c>
      <c r="B340" s="15" t="s">
        <v>654</v>
      </c>
      <c r="C340" s="15" t="s">
        <v>166</v>
      </c>
      <c r="D340" s="17" t="s">
        <v>655</v>
      </c>
      <c r="E340" s="15" t="n">
        <v>2022</v>
      </c>
      <c r="F340" s="15" t="n">
        <v>500</v>
      </c>
      <c r="G340" s="15" t="s">
        <v>1712</v>
      </c>
      <c r="H340" s="15" t="s">
        <v>1713</v>
      </c>
    </row>
    <row r="341" customFormat="false" ht="15" hidden="false" customHeight="false" outlineLevel="0" collapsed="false">
      <c r="A341" s="15" t="s">
        <v>143</v>
      </c>
      <c r="B341" s="15" t="s">
        <v>656</v>
      </c>
      <c r="C341" s="15" t="s">
        <v>166</v>
      </c>
      <c r="D341" s="17" t="s">
        <v>658</v>
      </c>
      <c r="E341" s="15" t="n">
        <v>2024</v>
      </c>
      <c r="F341" s="15" t="n">
        <v>250</v>
      </c>
      <c r="G341" s="15" t="s">
        <v>1714</v>
      </c>
      <c r="H341" s="15" t="s">
        <v>1286</v>
      </c>
    </row>
    <row r="342" customFormat="false" ht="41.75" hidden="false" customHeight="false" outlineLevel="0" collapsed="false">
      <c r="A342" s="15" t="s">
        <v>143</v>
      </c>
      <c r="B342" s="15" t="s">
        <v>659</v>
      </c>
      <c r="C342" s="15" t="s">
        <v>166</v>
      </c>
      <c r="D342" s="17" t="s">
        <v>660</v>
      </c>
      <c r="E342" s="15" t="n">
        <v>2024</v>
      </c>
      <c r="F342" s="15" t="n">
        <v>26000</v>
      </c>
      <c r="G342" s="15" t="s">
        <v>1715</v>
      </c>
      <c r="H342" s="15" t="s">
        <v>1388</v>
      </c>
    </row>
    <row r="343" customFormat="false" ht="15" hidden="false" customHeight="false" outlineLevel="0" collapsed="false">
      <c r="A343" s="15" t="s">
        <v>143</v>
      </c>
      <c r="B343" s="15" t="s">
        <v>661</v>
      </c>
      <c r="C343" s="15" t="s">
        <v>166</v>
      </c>
      <c r="D343" s="17" t="s">
        <v>662</v>
      </c>
      <c r="E343" s="15" t="n">
        <v>2024</v>
      </c>
      <c r="F343" s="15" t="n">
        <v>500</v>
      </c>
      <c r="G343" s="15" t="s">
        <v>1716</v>
      </c>
      <c r="H343" s="15" t="s">
        <v>1390</v>
      </c>
    </row>
    <row r="344" customFormat="false" ht="15" hidden="false" customHeight="false" outlineLevel="0" collapsed="false">
      <c r="A344" s="15" t="s">
        <v>143</v>
      </c>
      <c r="B344" s="15" t="s">
        <v>663</v>
      </c>
      <c r="C344" s="15" t="s">
        <v>166</v>
      </c>
      <c r="D344" s="17" t="s">
        <v>664</v>
      </c>
      <c r="E344" s="15" t="n">
        <v>2018</v>
      </c>
      <c r="F344" s="15" t="n">
        <v>250</v>
      </c>
      <c r="G344" s="15" t="s">
        <v>1717</v>
      </c>
      <c r="H344" s="15" t="s">
        <v>1718</v>
      </c>
    </row>
    <row r="345" customFormat="false" ht="15" hidden="false" customHeight="false" outlineLevel="0" collapsed="false">
      <c r="A345" s="15" t="s">
        <v>143</v>
      </c>
      <c r="B345" s="15" t="s">
        <v>665</v>
      </c>
      <c r="C345" s="15" t="s">
        <v>166</v>
      </c>
      <c r="D345" s="17" t="s">
        <v>664</v>
      </c>
      <c r="E345" s="15" t="n">
        <v>2026</v>
      </c>
      <c r="F345" s="15" t="n">
        <v>250</v>
      </c>
      <c r="G345" s="15" t="s">
        <v>1719</v>
      </c>
      <c r="H345" s="15" t="s">
        <v>1720</v>
      </c>
    </row>
    <row r="346" customFormat="false" ht="15" hidden="false" customHeight="false" outlineLevel="0" collapsed="false">
      <c r="A346" s="15" t="s">
        <v>143</v>
      </c>
      <c r="B346" s="15" t="s">
        <v>666</v>
      </c>
      <c r="C346" s="15" t="s">
        <v>166</v>
      </c>
      <c r="D346" s="17" t="s">
        <v>667</v>
      </c>
      <c r="E346" s="15" t="n">
        <v>2022</v>
      </c>
      <c r="F346" s="15" t="n">
        <v>750</v>
      </c>
      <c r="G346" s="15" t="s">
        <v>1721</v>
      </c>
      <c r="H346" s="15" t="s">
        <v>1612</v>
      </c>
    </row>
    <row r="347" customFormat="false" ht="15" hidden="false" customHeight="false" outlineLevel="0" collapsed="false">
      <c r="A347" s="15" t="s">
        <v>143</v>
      </c>
      <c r="B347" s="15" t="s">
        <v>668</v>
      </c>
      <c r="C347" s="15" t="s">
        <v>166</v>
      </c>
      <c r="D347" s="17" t="s">
        <v>669</v>
      </c>
      <c r="E347" s="15" t="n">
        <v>2024</v>
      </c>
      <c r="F347" s="15" t="n">
        <v>750</v>
      </c>
      <c r="G347" s="15" t="s">
        <v>1722</v>
      </c>
      <c r="H347" s="15" t="s">
        <v>1723</v>
      </c>
    </row>
    <row r="348" customFormat="false" ht="28.35" hidden="false" customHeight="false" outlineLevel="0" collapsed="false">
      <c r="A348" s="15" t="s">
        <v>143</v>
      </c>
      <c r="B348" s="15" t="s">
        <v>670</v>
      </c>
      <c r="C348" s="15" t="s">
        <v>166</v>
      </c>
      <c r="D348" s="17" t="s">
        <v>671</v>
      </c>
      <c r="E348" s="15" t="n">
        <v>2024</v>
      </c>
      <c r="F348" s="15" t="n">
        <v>1000</v>
      </c>
      <c r="G348" s="15" t="s">
        <v>1724</v>
      </c>
      <c r="H348" s="15" t="s">
        <v>1725</v>
      </c>
    </row>
    <row r="349" customFormat="false" ht="28.35" hidden="false" customHeight="false" outlineLevel="0" collapsed="false">
      <c r="A349" s="15" t="s">
        <v>143</v>
      </c>
      <c r="B349" s="15" t="s">
        <v>672</v>
      </c>
      <c r="C349" s="15" t="s">
        <v>166</v>
      </c>
      <c r="D349" s="17" t="s">
        <v>674</v>
      </c>
      <c r="E349" s="15" t="n">
        <v>2024</v>
      </c>
      <c r="F349" s="15" t="n">
        <v>2000</v>
      </c>
      <c r="G349" s="15" t="s">
        <v>1726</v>
      </c>
      <c r="H349" s="15" t="s">
        <v>1288</v>
      </c>
    </row>
    <row r="350" customFormat="false" ht="15" hidden="false" customHeight="false" outlineLevel="0" collapsed="false">
      <c r="A350" s="15" t="s">
        <v>143</v>
      </c>
      <c r="B350" s="15" t="s">
        <v>675</v>
      </c>
      <c r="C350" s="15" t="s">
        <v>166</v>
      </c>
      <c r="D350" s="17" t="s">
        <v>676</v>
      </c>
      <c r="E350" s="15" t="n">
        <v>2026</v>
      </c>
      <c r="F350" s="15" t="n">
        <v>2000</v>
      </c>
      <c r="G350" s="15" t="s">
        <v>1727</v>
      </c>
      <c r="H350" s="15" t="s">
        <v>1614</v>
      </c>
    </row>
    <row r="351" customFormat="false" ht="28.35" hidden="false" customHeight="false" outlineLevel="0" collapsed="false">
      <c r="A351" s="15" t="s">
        <v>143</v>
      </c>
      <c r="B351" s="15" t="s">
        <v>677</v>
      </c>
      <c r="C351" s="15" t="s">
        <v>166</v>
      </c>
      <c r="D351" s="17" t="s">
        <v>674</v>
      </c>
      <c r="E351" s="15" t="n">
        <v>2024</v>
      </c>
      <c r="F351" s="15" t="n">
        <v>1000</v>
      </c>
      <c r="G351" s="15" t="s">
        <v>1728</v>
      </c>
      <c r="H351" s="15" t="s">
        <v>1729</v>
      </c>
    </row>
    <row r="352" customFormat="false" ht="41.75" hidden="false" customHeight="false" outlineLevel="0" collapsed="false">
      <c r="A352" s="15" t="s">
        <v>143</v>
      </c>
      <c r="B352" s="15" t="s">
        <v>678</v>
      </c>
      <c r="C352" s="15" t="s">
        <v>166</v>
      </c>
      <c r="D352" s="17" t="s">
        <v>679</v>
      </c>
      <c r="E352" s="15" t="n">
        <v>2024</v>
      </c>
      <c r="F352" s="15" t="n">
        <v>2000</v>
      </c>
      <c r="G352" s="15" t="s">
        <v>1730</v>
      </c>
      <c r="H352" s="15" t="s">
        <v>1174</v>
      </c>
    </row>
    <row r="353" customFormat="false" ht="15" hidden="false" customHeight="false" outlineLevel="0" collapsed="false">
      <c r="A353" s="15" t="s">
        <v>143</v>
      </c>
      <c r="B353" s="15" t="s">
        <v>680</v>
      </c>
      <c r="C353" s="15" t="s">
        <v>166</v>
      </c>
      <c r="D353" s="17" t="s">
        <v>655</v>
      </c>
      <c r="E353" s="15" t="n">
        <v>2024</v>
      </c>
      <c r="F353" s="15" t="n">
        <v>750</v>
      </c>
      <c r="G353" s="15" t="s">
        <v>1731</v>
      </c>
      <c r="H353" s="15" t="s">
        <v>1732</v>
      </c>
    </row>
    <row r="354" customFormat="false" ht="15" hidden="false" customHeight="false" outlineLevel="0" collapsed="false">
      <c r="A354" s="15" t="s">
        <v>143</v>
      </c>
      <c r="B354" s="15" t="s">
        <v>681</v>
      </c>
      <c r="C354" s="15" t="s">
        <v>166</v>
      </c>
      <c r="D354" s="17" t="s">
        <v>658</v>
      </c>
      <c r="E354" s="15" t="n">
        <v>2024</v>
      </c>
      <c r="F354" s="15" t="n">
        <v>500</v>
      </c>
      <c r="G354" s="15" t="s">
        <v>1733</v>
      </c>
      <c r="H354" s="15" t="s">
        <v>1290</v>
      </c>
    </row>
    <row r="355" customFormat="false" ht="28.35" hidden="false" customHeight="false" outlineLevel="0" collapsed="false">
      <c r="A355" s="15" t="s">
        <v>143</v>
      </c>
      <c r="B355" s="15" t="s">
        <v>682</v>
      </c>
      <c r="C355" s="15" t="s">
        <v>166</v>
      </c>
      <c r="D355" s="17" t="s">
        <v>674</v>
      </c>
      <c r="E355" s="15" t="n">
        <v>2024</v>
      </c>
      <c r="F355" s="15" t="n">
        <v>1000</v>
      </c>
      <c r="G355" s="15" t="s">
        <v>1734</v>
      </c>
      <c r="H355" s="15" t="s">
        <v>1178</v>
      </c>
    </row>
    <row r="356" customFormat="false" ht="15" hidden="false" customHeight="false" outlineLevel="0" collapsed="false">
      <c r="A356" s="15" t="s">
        <v>143</v>
      </c>
      <c r="B356" s="15" t="s">
        <v>683</v>
      </c>
      <c r="C356" s="15" t="s">
        <v>166</v>
      </c>
      <c r="D356" s="17" t="s">
        <v>664</v>
      </c>
      <c r="E356" s="15" t="n">
        <v>2026</v>
      </c>
      <c r="F356" s="15" t="n">
        <v>750</v>
      </c>
      <c r="G356" s="15" t="s">
        <v>1735</v>
      </c>
      <c r="H356" s="15" t="s">
        <v>1736</v>
      </c>
    </row>
    <row r="357" customFormat="false" ht="28.35" hidden="false" customHeight="false" outlineLevel="0" collapsed="false">
      <c r="A357" s="15" t="s">
        <v>143</v>
      </c>
      <c r="B357" s="15" t="s">
        <v>684</v>
      </c>
      <c r="C357" s="15" t="s">
        <v>166</v>
      </c>
      <c r="D357" s="17" t="s">
        <v>674</v>
      </c>
      <c r="E357" s="15" t="n">
        <v>2024</v>
      </c>
      <c r="F357" s="15" t="n">
        <v>1000</v>
      </c>
      <c r="G357" s="15" t="s">
        <v>1737</v>
      </c>
      <c r="H357" s="15" t="s">
        <v>1494</v>
      </c>
    </row>
    <row r="358" customFormat="false" ht="41.75" hidden="false" customHeight="false" outlineLevel="0" collapsed="false">
      <c r="A358" s="15" t="s">
        <v>143</v>
      </c>
      <c r="B358" s="15" t="s">
        <v>685</v>
      </c>
      <c r="C358" s="15" t="s">
        <v>166</v>
      </c>
      <c r="D358" s="17" t="s">
        <v>679</v>
      </c>
      <c r="E358" s="15" t="n">
        <v>2026</v>
      </c>
      <c r="F358" s="15" t="n">
        <v>1000</v>
      </c>
      <c r="G358" s="15" t="s">
        <v>1738</v>
      </c>
      <c r="H358" s="15" t="s">
        <v>1180</v>
      </c>
    </row>
    <row r="359" customFormat="false" ht="28.35" hidden="false" customHeight="false" outlineLevel="0" collapsed="false">
      <c r="A359" s="15" t="s">
        <v>143</v>
      </c>
      <c r="B359" s="15" t="s">
        <v>686</v>
      </c>
      <c r="C359" s="15" t="s">
        <v>166</v>
      </c>
      <c r="D359" s="17" t="s">
        <v>687</v>
      </c>
      <c r="E359" s="15" t="n">
        <v>2024</v>
      </c>
      <c r="F359" s="15" t="n">
        <v>1000</v>
      </c>
      <c r="G359" s="15" t="s">
        <v>1739</v>
      </c>
      <c r="H359" s="15" t="s">
        <v>1740</v>
      </c>
    </row>
    <row r="360" customFormat="false" ht="28.35" hidden="false" customHeight="false" outlineLevel="0" collapsed="false">
      <c r="A360" s="15" t="s">
        <v>143</v>
      </c>
      <c r="B360" s="15" t="s">
        <v>688</v>
      </c>
      <c r="C360" s="15" t="s">
        <v>166</v>
      </c>
      <c r="D360" s="17" t="s">
        <v>689</v>
      </c>
      <c r="E360" s="15" t="n">
        <v>2024</v>
      </c>
      <c r="F360" s="15" t="n">
        <v>1000</v>
      </c>
      <c r="G360" s="15" t="s">
        <v>1741</v>
      </c>
      <c r="H360" s="15" t="s">
        <v>1742</v>
      </c>
    </row>
    <row r="361" customFormat="false" ht="41.75" hidden="false" customHeight="false" outlineLevel="0" collapsed="false">
      <c r="A361" s="15" t="s">
        <v>143</v>
      </c>
      <c r="B361" s="15" t="s">
        <v>690</v>
      </c>
      <c r="C361" s="15" t="s">
        <v>166</v>
      </c>
      <c r="D361" s="17" t="s">
        <v>660</v>
      </c>
      <c r="E361" s="15" t="n">
        <v>2024</v>
      </c>
      <c r="F361" s="15" t="n">
        <v>4000</v>
      </c>
      <c r="G361" s="15" t="s">
        <v>1743</v>
      </c>
      <c r="H361" s="15" t="s">
        <v>1182</v>
      </c>
    </row>
    <row r="362" customFormat="false" ht="15" hidden="false" customHeight="false" outlineLevel="0" collapsed="false">
      <c r="A362" s="15" t="s">
        <v>143</v>
      </c>
      <c r="B362" s="15" t="s">
        <v>692</v>
      </c>
      <c r="C362" s="15" t="s">
        <v>225</v>
      </c>
      <c r="D362" s="17" t="s">
        <v>693</v>
      </c>
      <c r="E362" s="15" t="n">
        <v>2022</v>
      </c>
      <c r="F362" s="15" t="n">
        <v>500</v>
      </c>
      <c r="G362" s="15" t="s">
        <v>1744</v>
      </c>
      <c r="H362" s="15" t="s">
        <v>1184</v>
      </c>
    </row>
    <row r="363" customFormat="false" ht="15" hidden="false" customHeight="false" outlineLevel="0" collapsed="false">
      <c r="A363" s="15" t="s">
        <v>143</v>
      </c>
      <c r="B363" s="15" t="s">
        <v>694</v>
      </c>
      <c r="C363" s="15" t="s">
        <v>166</v>
      </c>
      <c r="D363" s="17" t="s">
        <v>695</v>
      </c>
      <c r="E363" s="15" t="n">
        <v>2022</v>
      </c>
      <c r="F363" s="15" t="n">
        <v>750</v>
      </c>
      <c r="G363" s="15" t="s">
        <v>1745</v>
      </c>
      <c r="H363" s="15" t="s">
        <v>1746</v>
      </c>
    </row>
    <row r="364" customFormat="false" ht="15" hidden="false" customHeight="false" outlineLevel="0" collapsed="false">
      <c r="A364" s="15" t="s">
        <v>143</v>
      </c>
      <c r="B364" s="15" t="s">
        <v>696</v>
      </c>
      <c r="C364" s="15" t="s">
        <v>166</v>
      </c>
      <c r="D364" s="17" t="s">
        <v>662</v>
      </c>
      <c r="E364" s="15" t="n">
        <v>2022</v>
      </c>
      <c r="F364" s="15" t="n">
        <v>250</v>
      </c>
      <c r="G364" s="15" t="s">
        <v>1747</v>
      </c>
      <c r="H364" s="15" t="s">
        <v>1748</v>
      </c>
    </row>
    <row r="365" customFormat="false" ht="15" hidden="false" customHeight="false" outlineLevel="0" collapsed="false">
      <c r="A365" s="15" t="s">
        <v>143</v>
      </c>
      <c r="B365" s="15" t="s">
        <v>697</v>
      </c>
      <c r="C365" s="15" t="s">
        <v>166</v>
      </c>
      <c r="D365" s="17" t="s">
        <v>664</v>
      </c>
      <c r="E365" s="15" t="n">
        <v>2025</v>
      </c>
      <c r="F365" s="15" t="n">
        <v>1000</v>
      </c>
      <c r="G365" s="15" t="s">
        <v>1749</v>
      </c>
      <c r="H365" s="15" t="s">
        <v>1750</v>
      </c>
    </row>
    <row r="366" customFormat="false" ht="15" hidden="false" customHeight="false" outlineLevel="0" collapsed="false">
      <c r="A366" s="15" t="s">
        <v>143</v>
      </c>
      <c r="B366" s="15" t="s">
        <v>698</v>
      </c>
      <c r="C366" s="15" t="s">
        <v>166</v>
      </c>
      <c r="D366" s="17" t="s">
        <v>658</v>
      </c>
      <c r="E366" s="15" t="n">
        <v>2024</v>
      </c>
      <c r="F366" s="15" t="n">
        <v>250</v>
      </c>
      <c r="G366" s="15" t="s">
        <v>1751</v>
      </c>
      <c r="H366" s="15" t="s">
        <v>1752</v>
      </c>
    </row>
    <row r="367" customFormat="false" ht="15" hidden="false" customHeight="false" outlineLevel="0" collapsed="false">
      <c r="A367" s="15" t="s">
        <v>143</v>
      </c>
      <c r="B367" s="15" t="s">
        <v>699</v>
      </c>
      <c r="C367" s="15" t="s">
        <v>166</v>
      </c>
      <c r="D367" s="17" t="s">
        <v>700</v>
      </c>
      <c r="E367" s="15" t="n">
        <v>2023</v>
      </c>
      <c r="F367" s="15" t="n">
        <v>500</v>
      </c>
      <c r="G367" s="15" t="s">
        <v>1753</v>
      </c>
      <c r="H367" s="15" t="s">
        <v>1754</v>
      </c>
    </row>
    <row r="368" customFormat="false" ht="15" hidden="false" customHeight="false" outlineLevel="0" collapsed="false">
      <c r="A368" s="15" t="s">
        <v>143</v>
      </c>
      <c r="B368" s="15" t="s">
        <v>701</v>
      </c>
      <c r="C368" s="15" t="s">
        <v>166</v>
      </c>
      <c r="D368" s="17" t="s">
        <v>695</v>
      </c>
      <c r="E368" s="15" t="n">
        <v>2023</v>
      </c>
      <c r="F368" s="15" t="n">
        <v>250</v>
      </c>
      <c r="G368" s="15" t="s">
        <v>1755</v>
      </c>
      <c r="H368" s="15" t="s">
        <v>1756</v>
      </c>
    </row>
    <row r="369" customFormat="false" ht="15" hidden="false" customHeight="false" outlineLevel="0" collapsed="false">
      <c r="A369" s="15" t="s">
        <v>143</v>
      </c>
      <c r="B369" s="15" t="s">
        <v>702</v>
      </c>
      <c r="C369" s="15" t="s">
        <v>166</v>
      </c>
      <c r="D369" s="17" t="s">
        <v>662</v>
      </c>
      <c r="E369" s="15" t="n">
        <v>2024</v>
      </c>
      <c r="F369" s="15" t="n">
        <v>250</v>
      </c>
      <c r="G369" s="15" t="s">
        <v>1757</v>
      </c>
      <c r="H369" s="15" t="s">
        <v>1758</v>
      </c>
    </row>
    <row r="370" customFormat="false" ht="15" hidden="false" customHeight="false" outlineLevel="0" collapsed="false">
      <c r="A370" s="15" t="s">
        <v>143</v>
      </c>
      <c r="B370" s="15" t="s">
        <v>703</v>
      </c>
      <c r="C370" s="15" t="s">
        <v>166</v>
      </c>
      <c r="D370" s="17" t="s">
        <v>704</v>
      </c>
      <c r="E370" s="15" t="n">
        <v>2024</v>
      </c>
      <c r="F370" s="15" t="n">
        <v>2000</v>
      </c>
      <c r="G370" s="15" t="s">
        <v>1759</v>
      </c>
      <c r="H370" s="15" t="s">
        <v>1760</v>
      </c>
    </row>
    <row r="371" customFormat="false" ht="15" hidden="false" customHeight="false" outlineLevel="0" collapsed="false">
      <c r="A371" s="15" t="s">
        <v>143</v>
      </c>
      <c r="B371" s="15" t="s">
        <v>705</v>
      </c>
      <c r="C371" s="15" t="s">
        <v>166</v>
      </c>
      <c r="D371" s="17" t="s">
        <v>706</v>
      </c>
      <c r="E371" s="15" t="n">
        <v>2026</v>
      </c>
      <c r="F371" s="15" t="n">
        <v>1000</v>
      </c>
      <c r="G371" s="15" t="s">
        <v>1761</v>
      </c>
      <c r="H371" s="15" t="s">
        <v>1293</v>
      </c>
    </row>
    <row r="372" customFormat="false" ht="28.35" hidden="false" customHeight="false" outlineLevel="0" collapsed="false">
      <c r="A372" s="15" t="s">
        <v>143</v>
      </c>
      <c r="B372" s="15" t="s">
        <v>707</v>
      </c>
      <c r="C372" s="15" t="s">
        <v>166</v>
      </c>
      <c r="D372" s="17" t="s">
        <v>708</v>
      </c>
      <c r="E372" s="15" t="n">
        <v>2022</v>
      </c>
      <c r="F372" s="15" t="n">
        <v>1000</v>
      </c>
      <c r="G372" s="15" t="s">
        <v>1762</v>
      </c>
      <c r="H372" s="15" t="s">
        <v>1398</v>
      </c>
    </row>
    <row r="373" customFormat="false" ht="15" hidden="false" customHeight="false" outlineLevel="0" collapsed="false">
      <c r="A373" s="15" t="s">
        <v>143</v>
      </c>
      <c r="B373" s="15" t="s">
        <v>707</v>
      </c>
      <c r="C373" s="15" t="s">
        <v>166</v>
      </c>
      <c r="D373" s="17" t="s">
        <v>662</v>
      </c>
      <c r="E373" s="15" t="n">
        <v>2022</v>
      </c>
      <c r="F373" s="15" t="n">
        <v>250</v>
      </c>
      <c r="G373" s="15" t="s">
        <v>1763</v>
      </c>
      <c r="H373" s="15" t="s">
        <v>1764</v>
      </c>
    </row>
    <row r="374" customFormat="false" ht="15" hidden="false" customHeight="false" outlineLevel="0" collapsed="false">
      <c r="A374" s="15" t="s">
        <v>143</v>
      </c>
      <c r="B374" s="15" t="s">
        <v>710</v>
      </c>
      <c r="C374" s="15" t="s">
        <v>166</v>
      </c>
      <c r="D374" s="17" t="s">
        <v>658</v>
      </c>
      <c r="E374" s="15" t="n">
        <v>2024</v>
      </c>
      <c r="F374" s="15" t="n">
        <v>250</v>
      </c>
      <c r="G374" s="15" t="s">
        <v>1765</v>
      </c>
      <c r="H374" s="15" t="s">
        <v>1766</v>
      </c>
    </row>
    <row r="375" customFormat="false" ht="15" hidden="false" customHeight="false" outlineLevel="0" collapsed="false">
      <c r="A375" s="15" t="s">
        <v>143</v>
      </c>
      <c r="B375" s="15" t="s">
        <v>711</v>
      </c>
      <c r="C375" s="15" t="s">
        <v>166</v>
      </c>
      <c r="D375" s="17" t="s">
        <v>658</v>
      </c>
      <c r="E375" s="15" t="n">
        <v>2024</v>
      </c>
      <c r="F375" s="15" t="n">
        <v>250</v>
      </c>
      <c r="G375" s="15" t="s">
        <v>1767</v>
      </c>
      <c r="H375" s="15" t="s">
        <v>1299</v>
      </c>
    </row>
    <row r="376" customFormat="false" ht="15" hidden="false" customHeight="false" outlineLevel="0" collapsed="false">
      <c r="A376" s="15" t="s">
        <v>143</v>
      </c>
      <c r="B376" s="15" t="s">
        <v>712</v>
      </c>
      <c r="C376" s="15" t="s">
        <v>166</v>
      </c>
      <c r="D376" s="17" t="s">
        <v>706</v>
      </c>
      <c r="E376" s="15" t="n">
        <v>2026</v>
      </c>
      <c r="F376" s="15" t="n">
        <v>1000</v>
      </c>
      <c r="G376" s="15" t="s">
        <v>1768</v>
      </c>
      <c r="H376" s="15" t="s">
        <v>1301</v>
      </c>
    </row>
    <row r="377" customFormat="false" ht="15" hidden="false" customHeight="false" outlineLevel="0" collapsed="false">
      <c r="A377" s="15" t="s">
        <v>143</v>
      </c>
      <c r="B377" s="15" t="s">
        <v>713</v>
      </c>
      <c r="C377" s="15" t="s">
        <v>166</v>
      </c>
      <c r="D377" s="17" t="s">
        <v>658</v>
      </c>
      <c r="E377" s="15" t="n">
        <v>2024</v>
      </c>
      <c r="F377" s="15" t="n">
        <v>500</v>
      </c>
      <c r="G377" s="15" t="s">
        <v>1769</v>
      </c>
      <c r="H377" s="15" t="s">
        <v>1770</v>
      </c>
    </row>
    <row r="378" customFormat="false" ht="15" hidden="false" customHeight="false" outlineLevel="0" collapsed="false">
      <c r="A378" s="15" t="s">
        <v>143</v>
      </c>
      <c r="B378" s="15" t="s">
        <v>714</v>
      </c>
      <c r="C378" s="15" t="s">
        <v>166</v>
      </c>
      <c r="D378" s="17" t="s">
        <v>658</v>
      </c>
      <c r="E378" s="15" t="n">
        <v>2024</v>
      </c>
      <c r="F378" s="15" t="n">
        <v>500</v>
      </c>
      <c r="G378" s="15" t="s">
        <v>1771</v>
      </c>
      <c r="H378" s="15" t="s">
        <v>1500</v>
      </c>
    </row>
    <row r="379" customFormat="false" ht="15" hidden="false" customHeight="false" outlineLevel="0" collapsed="false">
      <c r="A379" s="15" t="s">
        <v>143</v>
      </c>
      <c r="B379" s="15" t="s">
        <v>715</v>
      </c>
      <c r="C379" s="15" t="s">
        <v>166</v>
      </c>
      <c r="D379" s="17" t="s">
        <v>716</v>
      </c>
      <c r="E379" s="15" t="n">
        <v>2023</v>
      </c>
      <c r="F379" s="15" t="n">
        <v>1000</v>
      </c>
      <c r="G379" s="15" t="s">
        <v>1772</v>
      </c>
      <c r="H379" s="15" t="s">
        <v>1303</v>
      </c>
    </row>
    <row r="380" customFormat="false" ht="15" hidden="false" customHeight="false" outlineLevel="0" collapsed="false">
      <c r="A380" s="15" t="s">
        <v>143</v>
      </c>
      <c r="B380" s="15" t="s">
        <v>717</v>
      </c>
      <c r="C380" s="15" t="s">
        <v>166</v>
      </c>
      <c r="D380" s="17" t="s">
        <v>718</v>
      </c>
      <c r="E380" s="15" t="n">
        <v>2026</v>
      </c>
      <c r="F380" s="15" t="n">
        <v>750</v>
      </c>
      <c r="G380" s="15" t="s">
        <v>1773</v>
      </c>
      <c r="H380" s="15" t="s">
        <v>1186</v>
      </c>
    </row>
    <row r="381" customFormat="false" ht="15" hidden="false" customHeight="false" outlineLevel="0" collapsed="false">
      <c r="A381" s="15" t="s">
        <v>143</v>
      </c>
      <c r="B381" s="15" t="s">
        <v>719</v>
      </c>
      <c r="C381" s="15" t="s">
        <v>201</v>
      </c>
      <c r="D381" s="17" t="s">
        <v>700</v>
      </c>
      <c r="E381" s="15" t="n">
        <v>2024</v>
      </c>
      <c r="F381" s="15" t="n">
        <v>750</v>
      </c>
      <c r="G381" s="15" t="s">
        <v>1774</v>
      </c>
      <c r="H381" s="15" t="s">
        <v>1775</v>
      </c>
    </row>
    <row r="382" customFormat="false" ht="15" hidden="false" customHeight="false" outlineLevel="0" collapsed="false">
      <c r="A382" s="15" t="s">
        <v>143</v>
      </c>
      <c r="B382" s="15" t="s">
        <v>720</v>
      </c>
      <c r="C382" s="15" t="s">
        <v>166</v>
      </c>
      <c r="D382" s="17" t="s">
        <v>658</v>
      </c>
      <c r="E382" s="15" t="n">
        <v>2024</v>
      </c>
      <c r="F382" s="15" t="n">
        <v>1000</v>
      </c>
      <c r="G382" s="15" t="s">
        <v>1776</v>
      </c>
      <c r="H382" s="15" t="s">
        <v>1777</v>
      </c>
    </row>
    <row r="383" customFormat="false" ht="15" hidden="false" customHeight="false" outlineLevel="0" collapsed="false">
      <c r="A383" s="15" t="s">
        <v>143</v>
      </c>
      <c r="B383" s="15" t="s">
        <v>721</v>
      </c>
      <c r="C383" s="15" t="s">
        <v>166</v>
      </c>
      <c r="D383" s="17" t="s">
        <v>658</v>
      </c>
      <c r="E383" s="15" t="n">
        <v>2024</v>
      </c>
      <c r="F383" s="15" t="n">
        <v>500</v>
      </c>
      <c r="G383" s="15" t="s">
        <v>1778</v>
      </c>
      <c r="H383" s="15" t="s">
        <v>1779</v>
      </c>
    </row>
    <row r="384" customFormat="false" ht="15" hidden="false" customHeight="false" outlineLevel="0" collapsed="false">
      <c r="A384" s="15" t="s">
        <v>143</v>
      </c>
      <c r="B384" s="15" t="s">
        <v>722</v>
      </c>
      <c r="C384" s="15" t="s">
        <v>166</v>
      </c>
      <c r="D384" s="17" t="s">
        <v>695</v>
      </c>
      <c r="E384" s="15" t="n">
        <v>2024</v>
      </c>
      <c r="F384" s="15" t="n">
        <v>250</v>
      </c>
      <c r="G384" s="15" t="s">
        <v>1780</v>
      </c>
      <c r="H384" s="15" t="s">
        <v>1781</v>
      </c>
    </row>
    <row r="385" customFormat="false" ht="28.35" hidden="false" customHeight="false" outlineLevel="0" collapsed="false">
      <c r="A385" s="15" t="s">
        <v>143</v>
      </c>
      <c r="B385" s="15" t="s">
        <v>723</v>
      </c>
      <c r="C385" s="15" t="s">
        <v>166</v>
      </c>
      <c r="D385" s="17" t="s">
        <v>724</v>
      </c>
      <c r="E385" s="15" t="n">
        <v>2026</v>
      </c>
      <c r="F385" s="15" t="n">
        <v>5000</v>
      </c>
      <c r="G385" s="15" t="s">
        <v>1782</v>
      </c>
      <c r="H385" s="15" t="s">
        <v>1503</v>
      </c>
    </row>
    <row r="386" customFormat="false" ht="28.35" hidden="false" customHeight="false" outlineLevel="0" collapsed="false">
      <c r="A386" s="15" t="s">
        <v>143</v>
      </c>
      <c r="B386" s="15" t="s">
        <v>725</v>
      </c>
      <c r="C386" s="15" t="s">
        <v>166</v>
      </c>
      <c r="D386" s="17" t="s">
        <v>674</v>
      </c>
      <c r="E386" s="15" t="n">
        <v>2024</v>
      </c>
      <c r="F386" s="15" t="n">
        <v>3000</v>
      </c>
      <c r="G386" s="15" t="s">
        <v>1783</v>
      </c>
      <c r="H386" s="15" t="s">
        <v>1784</v>
      </c>
    </row>
    <row r="387" customFormat="false" ht="28.35" hidden="false" customHeight="false" outlineLevel="0" collapsed="false">
      <c r="A387" s="15" t="s">
        <v>143</v>
      </c>
      <c r="B387" s="15" t="s">
        <v>726</v>
      </c>
      <c r="C387" s="15" t="s">
        <v>166</v>
      </c>
      <c r="D387" s="17" t="s">
        <v>674</v>
      </c>
      <c r="E387" s="15" t="n">
        <v>2024</v>
      </c>
      <c r="F387" s="15" t="n">
        <v>2000</v>
      </c>
      <c r="G387" s="15" t="s">
        <v>1785</v>
      </c>
      <c r="H387" s="15" t="s">
        <v>1505</v>
      </c>
    </row>
    <row r="388" customFormat="false" ht="15" hidden="false" customHeight="false" outlineLevel="0" collapsed="false">
      <c r="A388" s="15" t="s">
        <v>143</v>
      </c>
      <c r="B388" s="15" t="s">
        <v>727</v>
      </c>
      <c r="C388" s="15" t="s">
        <v>166</v>
      </c>
      <c r="D388" s="17" t="s">
        <v>693</v>
      </c>
      <c r="E388" s="15" t="n">
        <v>2022</v>
      </c>
      <c r="F388" s="15" t="n">
        <v>5000</v>
      </c>
      <c r="G388" s="15" t="s">
        <v>1786</v>
      </c>
      <c r="H388" s="15" t="s">
        <v>1787</v>
      </c>
    </row>
    <row r="389" customFormat="false" ht="15" hidden="false" customHeight="false" outlineLevel="0" collapsed="false">
      <c r="A389" s="15" t="s">
        <v>143</v>
      </c>
      <c r="B389" s="15" t="s">
        <v>728</v>
      </c>
      <c r="C389" s="15" t="s">
        <v>166</v>
      </c>
      <c r="D389" s="17" t="s">
        <v>662</v>
      </c>
      <c r="E389" s="15" t="n">
        <v>2022</v>
      </c>
      <c r="F389" s="15" t="n">
        <v>500</v>
      </c>
      <c r="G389" s="15" t="s">
        <v>1788</v>
      </c>
      <c r="H389" s="15" t="s">
        <v>1188</v>
      </c>
    </row>
    <row r="390" customFormat="false" ht="15" hidden="false" customHeight="false" outlineLevel="0" collapsed="false">
      <c r="A390" s="15" t="s">
        <v>143</v>
      </c>
      <c r="B390" s="15" t="s">
        <v>729</v>
      </c>
      <c r="C390" s="15" t="s">
        <v>166</v>
      </c>
      <c r="D390" s="17" t="s">
        <v>655</v>
      </c>
      <c r="E390" s="15" t="n">
        <v>2022</v>
      </c>
      <c r="F390" s="15" t="n">
        <v>500</v>
      </c>
      <c r="G390" s="15" t="s">
        <v>1789</v>
      </c>
      <c r="H390" s="15" t="s">
        <v>1190</v>
      </c>
    </row>
    <row r="391" customFormat="false" ht="15" hidden="false" customHeight="false" outlineLevel="0" collapsed="false">
      <c r="A391" s="15" t="s">
        <v>143</v>
      </c>
      <c r="B391" s="15" t="s">
        <v>731</v>
      </c>
      <c r="C391" s="15" t="s">
        <v>166</v>
      </c>
      <c r="D391" s="17" t="s">
        <v>732</v>
      </c>
      <c r="E391" s="15" t="n">
        <v>2024</v>
      </c>
      <c r="F391" s="15" t="n">
        <v>500</v>
      </c>
      <c r="G391" s="15" t="s">
        <v>1790</v>
      </c>
      <c r="H391" s="15" t="s">
        <v>1791</v>
      </c>
    </row>
    <row r="392" customFormat="false" ht="15" hidden="false" customHeight="false" outlineLevel="0" collapsed="false">
      <c r="A392" s="15" t="s">
        <v>143</v>
      </c>
      <c r="B392" s="15" t="s">
        <v>733</v>
      </c>
      <c r="C392" s="15" t="s">
        <v>166</v>
      </c>
      <c r="D392" s="17" t="s">
        <v>695</v>
      </c>
      <c r="E392" s="15" t="n">
        <v>2022</v>
      </c>
      <c r="F392" s="15" t="n">
        <v>250</v>
      </c>
      <c r="G392" s="15" t="s">
        <v>1792</v>
      </c>
      <c r="H392" s="15" t="s">
        <v>1793</v>
      </c>
    </row>
    <row r="393" customFormat="false" ht="15" hidden="false" customHeight="false" outlineLevel="0" collapsed="false">
      <c r="A393" s="15" t="s">
        <v>143</v>
      </c>
      <c r="B393" s="15" t="s">
        <v>734</v>
      </c>
      <c r="C393" s="15" t="s">
        <v>225</v>
      </c>
      <c r="D393" s="17" t="s">
        <v>700</v>
      </c>
      <c r="E393" s="15" t="n">
        <v>2024</v>
      </c>
      <c r="F393" s="15" t="n">
        <v>7000</v>
      </c>
      <c r="G393" s="15" t="s">
        <v>1794</v>
      </c>
      <c r="H393" s="15" t="s">
        <v>1254</v>
      </c>
    </row>
    <row r="394" customFormat="false" ht="28.35" hidden="false" customHeight="false" outlineLevel="0" collapsed="false">
      <c r="A394" s="15" t="s">
        <v>143</v>
      </c>
      <c r="B394" s="15" t="s">
        <v>735</v>
      </c>
      <c r="C394" s="15" t="s">
        <v>166</v>
      </c>
      <c r="D394" s="17" t="s">
        <v>687</v>
      </c>
      <c r="E394" s="15" t="n">
        <v>2024</v>
      </c>
      <c r="F394" s="15" t="n">
        <v>13000</v>
      </c>
      <c r="G394" s="15" t="s">
        <v>1795</v>
      </c>
      <c r="H394" s="15" t="s">
        <v>1307</v>
      </c>
    </row>
    <row r="395" customFormat="false" ht="15" hidden="false" customHeight="false" outlineLevel="0" collapsed="false">
      <c r="A395" s="15" t="s">
        <v>143</v>
      </c>
      <c r="B395" s="15" t="s">
        <v>736</v>
      </c>
      <c r="C395" s="15" t="s">
        <v>166</v>
      </c>
      <c r="D395" s="17" t="s">
        <v>737</v>
      </c>
      <c r="E395" s="15" t="n">
        <v>2024</v>
      </c>
      <c r="F395" s="15" t="n">
        <v>500</v>
      </c>
      <c r="G395" s="15" t="s">
        <v>1796</v>
      </c>
      <c r="H395" s="15" t="s">
        <v>1797</v>
      </c>
    </row>
    <row r="396" customFormat="false" ht="28.35" hidden="false" customHeight="false" outlineLevel="0" collapsed="false">
      <c r="A396" s="15" t="s">
        <v>143</v>
      </c>
      <c r="B396" s="15" t="s">
        <v>738</v>
      </c>
      <c r="C396" s="15" t="s">
        <v>166</v>
      </c>
      <c r="D396" s="17" t="s">
        <v>687</v>
      </c>
      <c r="E396" s="15" t="n">
        <v>2024</v>
      </c>
      <c r="F396" s="15" t="n">
        <v>2000</v>
      </c>
      <c r="G396" s="15" t="s">
        <v>1798</v>
      </c>
      <c r="H396" s="15" t="s">
        <v>1511</v>
      </c>
    </row>
    <row r="397" customFormat="false" ht="15" hidden="false" customHeight="false" outlineLevel="0" collapsed="false">
      <c r="A397" s="15" t="s">
        <v>143</v>
      </c>
      <c r="B397" s="15" t="s">
        <v>739</v>
      </c>
      <c r="C397" s="15" t="s">
        <v>166</v>
      </c>
      <c r="D397" s="17" t="s">
        <v>658</v>
      </c>
      <c r="E397" s="15" t="n">
        <v>2024</v>
      </c>
      <c r="F397" s="15" t="n">
        <v>500</v>
      </c>
      <c r="G397" s="15" t="s">
        <v>1799</v>
      </c>
      <c r="H397" s="15" t="s">
        <v>1800</v>
      </c>
    </row>
    <row r="398" customFormat="false" ht="15" hidden="false" customHeight="false" outlineLevel="0" collapsed="false">
      <c r="A398" s="15" t="s">
        <v>143</v>
      </c>
      <c r="B398" s="15" t="s">
        <v>740</v>
      </c>
      <c r="C398" s="15" t="s">
        <v>166</v>
      </c>
      <c r="D398" s="17" t="s">
        <v>700</v>
      </c>
      <c r="E398" s="15" t="n">
        <v>2024</v>
      </c>
      <c r="F398" s="15" t="n">
        <v>750</v>
      </c>
      <c r="G398" s="15" t="s">
        <v>1801</v>
      </c>
      <c r="H398" s="15" t="s">
        <v>1802</v>
      </c>
    </row>
    <row r="399" customFormat="false" ht="28.35" hidden="false" customHeight="false" outlineLevel="0" collapsed="false">
      <c r="A399" s="15" t="s">
        <v>143</v>
      </c>
      <c r="B399" s="15" t="s">
        <v>761</v>
      </c>
      <c r="C399" s="15" t="s">
        <v>166</v>
      </c>
      <c r="D399" s="17" t="s">
        <v>762</v>
      </c>
      <c r="E399" s="15" t="n">
        <v>2024</v>
      </c>
      <c r="F399" s="15" t="n">
        <v>2000</v>
      </c>
      <c r="G399" s="15" t="s">
        <v>1803</v>
      </c>
      <c r="H399" s="15" t="s">
        <v>1624</v>
      </c>
    </row>
    <row r="400" customFormat="false" ht="28.35" hidden="false" customHeight="false" outlineLevel="0" collapsed="false">
      <c r="A400" s="15" t="s">
        <v>143</v>
      </c>
      <c r="B400" s="15" t="s">
        <v>767</v>
      </c>
      <c r="C400" s="15" t="s">
        <v>166</v>
      </c>
      <c r="D400" s="17" t="s">
        <v>674</v>
      </c>
      <c r="E400" s="15" t="n">
        <v>2024</v>
      </c>
      <c r="F400" s="15" t="n">
        <v>2000</v>
      </c>
      <c r="G400" s="15" t="s">
        <v>1804</v>
      </c>
      <c r="H400" s="15" t="s">
        <v>1327</v>
      </c>
    </row>
    <row r="401" customFormat="false" ht="15" hidden="false" customHeight="false" outlineLevel="0" collapsed="false">
      <c r="A401" s="15" t="s">
        <v>143</v>
      </c>
      <c r="B401" s="15" t="s">
        <v>772</v>
      </c>
      <c r="C401" s="15" t="s">
        <v>166</v>
      </c>
      <c r="D401" s="17" t="s">
        <v>658</v>
      </c>
      <c r="E401" s="15" t="n">
        <v>2024</v>
      </c>
      <c r="F401" s="15" t="n">
        <v>250</v>
      </c>
      <c r="G401" s="15" t="s">
        <v>1805</v>
      </c>
      <c r="H401" s="15" t="s">
        <v>1806</v>
      </c>
    </row>
    <row r="402" customFormat="false" ht="15" hidden="false" customHeight="false" outlineLevel="0" collapsed="false">
      <c r="A402" s="15" t="s">
        <v>143</v>
      </c>
      <c r="B402" s="15" t="s">
        <v>773</v>
      </c>
      <c r="C402" s="15" t="s">
        <v>166</v>
      </c>
      <c r="D402" s="17" t="s">
        <v>667</v>
      </c>
      <c r="E402" s="15" t="n">
        <v>2024</v>
      </c>
      <c r="F402" s="15" t="n">
        <v>250</v>
      </c>
      <c r="G402" s="15" t="s">
        <v>1807</v>
      </c>
      <c r="H402" s="15" t="s">
        <v>1196</v>
      </c>
    </row>
    <row r="403" customFormat="false" ht="28.35" hidden="false" customHeight="false" outlineLevel="0" collapsed="false">
      <c r="A403" s="15" t="s">
        <v>143</v>
      </c>
      <c r="B403" s="15" t="s">
        <v>774</v>
      </c>
      <c r="C403" s="15" t="s">
        <v>166</v>
      </c>
      <c r="D403" s="17" t="s">
        <v>765</v>
      </c>
      <c r="E403" s="15" t="n">
        <v>2024</v>
      </c>
      <c r="F403" s="15" t="n">
        <v>2000</v>
      </c>
      <c r="G403" s="15" t="s">
        <v>1808</v>
      </c>
      <c r="H403" s="15" t="s">
        <v>1809</v>
      </c>
    </row>
    <row r="404" customFormat="false" ht="15" hidden="false" customHeight="false" outlineLevel="0" collapsed="false">
      <c r="A404" s="15" t="s">
        <v>143</v>
      </c>
      <c r="B404" s="15" t="s">
        <v>776</v>
      </c>
      <c r="C404" s="15" t="s">
        <v>166</v>
      </c>
      <c r="D404" s="17" t="s">
        <v>655</v>
      </c>
      <c r="E404" s="15" t="n">
        <v>2024</v>
      </c>
      <c r="F404" s="15" t="n">
        <v>750</v>
      </c>
      <c r="G404" s="15" t="s">
        <v>1810</v>
      </c>
      <c r="H404" s="15" t="s">
        <v>1811</v>
      </c>
    </row>
    <row r="405" customFormat="false" ht="15" hidden="false" customHeight="false" outlineLevel="0" collapsed="false">
      <c r="A405" s="15" t="s">
        <v>143</v>
      </c>
      <c r="B405" s="15" t="s">
        <v>777</v>
      </c>
      <c r="C405" s="15" t="s">
        <v>166</v>
      </c>
      <c r="D405" s="17" t="s">
        <v>662</v>
      </c>
      <c r="E405" s="15" t="n">
        <v>2024</v>
      </c>
      <c r="F405" s="15" t="n">
        <v>500</v>
      </c>
      <c r="G405" s="15" t="s">
        <v>1812</v>
      </c>
      <c r="H405" s="15" t="s">
        <v>1813</v>
      </c>
    </row>
    <row r="406" customFormat="false" ht="15" hidden="false" customHeight="false" outlineLevel="0" collapsed="false">
      <c r="A406" s="15" t="s">
        <v>143</v>
      </c>
      <c r="B406" s="15" t="s">
        <v>778</v>
      </c>
      <c r="C406" s="15" t="s">
        <v>166</v>
      </c>
      <c r="D406" s="17" t="s">
        <v>658</v>
      </c>
      <c r="E406" s="15" t="n">
        <v>2024</v>
      </c>
      <c r="F406" s="15" t="n">
        <v>500</v>
      </c>
      <c r="G406" s="15" t="s">
        <v>1814</v>
      </c>
      <c r="H406" s="15" t="s">
        <v>1815</v>
      </c>
    </row>
    <row r="407" customFormat="false" ht="28.35" hidden="false" customHeight="false" outlineLevel="0" collapsed="false">
      <c r="A407" s="15" t="s">
        <v>143</v>
      </c>
      <c r="B407" s="15" t="s">
        <v>779</v>
      </c>
      <c r="C407" s="15" t="s">
        <v>166</v>
      </c>
      <c r="D407" s="17" t="s">
        <v>762</v>
      </c>
      <c r="E407" s="15" t="n">
        <v>2024</v>
      </c>
      <c r="F407" s="15" t="n">
        <v>2000</v>
      </c>
      <c r="G407" s="15" t="s">
        <v>1816</v>
      </c>
      <c r="H407" s="15" t="s">
        <v>1817</v>
      </c>
    </row>
    <row r="408" customFormat="false" ht="15" hidden="false" customHeight="false" outlineLevel="0" collapsed="false">
      <c r="A408" s="15" t="s">
        <v>143</v>
      </c>
      <c r="B408" s="15" t="s">
        <v>780</v>
      </c>
      <c r="C408" s="15" t="s">
        <v>166</v>
      </c>
      <c r="D408" s="17" t="s">
        <v>655</v>
      </c>
      <c r="E408" s="15" t="n">
        <v>2024</v>
      </c>
      <c r="F408" s="15" t="n">
        <v>2000</v>
      </c>
      <c r="G408" s="15" t="s">
        <v>1818</v>
      </c>
      <c r="H408" s="15" t="s">
        <v>1198</v>
      </c>
    </row>
    <row r="409" customFormat="false" ht="15" hidden="false" customHeight="false" outlineLevel="0" collapsed="false">
      <c r="A409" s="15" t="s">
        <v>143</v>
      </c>
      <c r="B409" s="15" t="s">
        <v>782</v>
      </c>
      <c r="C409" s="15" t="s">
        <v>166</v>
      </c>
      <c r="D409" s="17" t="s">
        <v>664</v>
      </c>
      <c r="E409" s="15" t="n">
        <v>2026</v>
      </c>
      <c r="F409" s="15" t="n">
        <v>250</v>
      </c>
      <c r="G409" s="15" t="s">
        <v>1819</v>
      </c>
      <c r="H409" s="15" t="s">
        <v>1426</v>
      </c>
    </row>
    <row r="410" customFormat="false" ht="41.75" hidden="false" customHeight="false" outlineLevel="0" collapsed="false">
      <c r="A410" s="15" t="s">
        <v>143</v>
      </c>
      <c r="B410" s="15" t="s">
        <v>783</v>
      </c>
      <c r="C410" s="15" t="s">
        <v>166</v>
      </c>
      <c r="D410" s="17" t="s">
        <v>784</v>
      </c>
      <c r="E410" s="15" t="n">
        <v>2026</v>
      </c>
      <c r="F410" s="15" t="n">
        <v>157000</v>
      </c>
      <c r="G410" s="15" t="s">
        <v>1820</v>
      </c>
      <c r="H410" s="15" t="s">
        <v>1428</v>
      </c>
    </row>
    <row r="411" customFormat="false" ht="28.35" hidden="false" customHeight="false" outlineLevel="0" collapsed="false">
      <c r="A411" s="15" t="s">
        <v>143</v>
      </c>
      <c r="B411" s="15" t="s">
        <v>783</v>
      </c>
      <c r="C411" s="15" t="s">
        <v>166</v>
      </c>
      <c r="D411" s="17" t="s">
        <v>674</v>
      </c>
      <c r="E411" s="15" t="n">
        <v>2024</v>
      </c>
      <c r="F411" s="15" t="n">
        <v>2000</v>
      </c>
      <c r="G411" s="15" t="s">
        <v>1821</v>
      </c>
      <c r="H411" s="15" t="s">
        <v>1822</v>
      </c>
    </row>
    <row r="412" customFormat="false" ht="15" hidden="false" customHeight="false" outlineLevel="0" collapsed="false">
      <c r="A412" s="15" t="s">
        <v>143</v>
      </c>
      <c r="B412" s="15" t="s">
        <v>785</v>
      </c>
      <c r="C412" s="15" t="s">
        <v>166</v>
      </c>
      <c r="D412" s="17" t="s">
        <v>658</v>
      </c>
      <c r="E412" s="15" t="n">
        <v>2024</v>
      </c>
      <c r="F412" s="15" t="n">
        <v>500</v>
      </c>
      <c r="G412" s="15" t="s">
        <v>1823</v>
      </c>
      <c r="H412" s="15" t="s">
        <v>1824</v>
      </c>
    </row>
    <row r="413" customFormat="false" ht="28.35" hidden="false" customHeight="false" outlineLevel="0" collapsed="false">
      <c r="A413" s="15" t="s">
        <v>143</v>
      </c>
      <c r="B413" s="15" t="s">
        <v>786</v>
      </c>
      <c r="C413" s="15" t="s">
        <v>166</v>
      </c>
      <c r="D413" s="17" t="s">
        <v>762</v>
      </c>
      <c r="E413" s="15" t="n">
        <v>2024</v>
      </c>
      <c r="F413" s="15" t="n">
        <v>2000</v>
      </c>
      <c r="G413" s="15" t="s">
        <v>1825</v>
      </c>
      <c r="H413" s="15" t="s">
        <v>1826</v>
      </c>
    </row>
    <row r="414" customFormat="false" ht="15" hidden="false" customHeight="false" outlineLevel="0" collapsed="false">
      <c r="A414" s="15" t="s">
        <v>143</v>
      </c>
      <c r="B414" s="15" t="s">
        <v>788</v>
      </c>
      <c r="C414" s="15" t="s">
        <v>166</v>
      </c>
      <c r="D414" s="17" t="s">
        <v>706</v>
      </c>
      <c r="E414" s="15" t="n">
        <v>2026</v>
      </c>
      <c r="F414" s="15" t="n">
        <v>750</v>
      </c>
      <c r="G414" s="15" t="s">
        <v>1827</v>
      </c>
      <c r="H414" s="15" t="s">
        <v>1828</v>
      </c>
    </row>
    <row r="415" customFormat="false" ht="15" hidden="false" customHeight="false" outlineLevel="0" collapsed="false">
      <c r="A415" s="15" t="s">
        <v>143</v>
      </c>
      <c r="B415" s="15" t="s">
        <v>789</v>
      </c>
      <c r="C415" s="15" t="s">
        <v>166</v>
      </c>
      <c r="D415" s="17" t="s">
        <v>658</v>
      </c>
      <c r="E415" s="15" t="n">
        <v>2024</v>
      </c>
      <c r="F415" s="15" t="n">
        <v>750</v>
      </c>
      <c r="G415" s="15" t="s">
        <v>1829</v>
      </c>
      <c r="H415" s="15" t="s">
        <v>1334</v>
      </c>
    </row>
    <row r="416" customFormat="false" ht="15" hidden="false" customHeight="false" outlineLevel="0" collapsed="false">
      <c r="A416" s="15" t="s">
        <v>143</v>
      </c>
      <c r="B416" s="15" t="s">
        <v>791</v>
      </c>
      <c r="C416" s="15" t="s">
        <v>166</v>
      </c>
      <c r="D416" s="17" t="s">
        <v>667</v>
      </c>
      <c r="E416" s="15" t="n">
        <v>2024</v>
      </c>
      <c r="F416" s="15" t="n">
        <v>750</v>
      </c>
      <c r="G416" s="15" t="s">
        <v>1830</v>
      </c>
      <c r="H416" s="15" t="s">
        <v>1431</v>
      </c>
    </row>
    <row r="417" customFormat="false" ht="15" hidden="false" customHeight="false" outlineLevel="0" collapsed="false">
      <c r="A417" s="15" t="s">
        <v>143</v>
      </c>
      <c r="B417" s="15" t="s">
        <v>793</v>
      </c>
      <c r="C417" s="15" t="s">
        <v>166</v>
      </c>
      <c r="D417" s="17" t="s">
        <v>664</v>
      </c>
      <c r="E417" s="15" t="n">
        <v>2017</v>
      </c>
      <c r="F417" s="15" t="n">
        <v>250</v>
      </c>
      <c r="G417" s="15" t="s">
        <v>1831</v>
      </c>
      <c r="H417" s="15" t="s">
        <v>1336</v>
      </c>
    </row>
    <row r="418" customFormat="false" ht="28.35" hidden="false" customHeight="false" outlineLevel="0" collapsed="false">
      <c r="A418" s="15" t="s">
        <v>143</v>
      </c>
      <c r="B418" s="15" t="s">
        <v>795</v>
      </c>
      <c r="C418" s="15" t="s">
        <v>166</v>
      </c>
      <c r="D418" s="17" t="s">
        <v>762</v>
      </c>
      <c r="E418" s="15" t="n">
        <v>2024</v>
      </c>
      <c r="F418" s="15" t="n">
        <v>2000</v>
      </c>
      <c r="G418" s="15" t="s">
        <v>1832</v>
      </c>
      <c r="H418" s="15" t="s">
        <v>1833</v>
      </c>
    </row>
    <row r="419" customFormat="false" ht="15" hidden="false" customHeight="false" outlineLevel="0" collapsed="false">
      <c r="A419" s="15" t="s">
        <v>143</v>
      </c>
      <c r="B419" s="15" t="s">
        <v>796</v>
      </c>
      <c r="C419" s="15" t="s">
        <v>166</v>
      </c>
      <c r="D419" s="17" t="s">
        <v>695</v>
      </c>
      <c r="E419" s="15" t="n">
        <v>2022</v>
      </c>
      <c r="F419" s="15" t="n">
        <v>250</v>
      </c>
      <c r="G419" s="15" t="s">
        <v>1834</v>
      </c>
      <c r="H419" s="15" t="s">
        <v>1641</v>
      </c>
    </row>
    <row r="420" customFormat="false" ht="15" hidden="false" customHeight="false" outlineLevel="0" collapsed="false">
      <c r="A420" s="15" t="s">
        <v>143</v>
      </c>
      <c r="B420" s="15" t="s">
        <v>806</v>
      </c>
      <c r="C420" s="15" t="s">
        <v>166</v>
      </c>
      <c r="D420" s="17" t="s">
        <v>658</v>
      </c>
      <c r="E420" s="15" t="n">
        <v>2020</v>
      </c>
      <c r="F420" s="15" t="n">
        <v>250</v>
      </c>
      <c r="G420" s="15" t="s">
        <v>1835</v>
      </c>
      <c r="H420" s="15" t="s">
        <v>1340</v>
      </c>
    </row>
    <row r="421" customFormat="false" ht="15" hidden="false" customHeight="false" outlineLevel="0" collapsed="false">
      <c r="A421" s="15" t="s">
        <v>143</v>
      </c>
      <c r="B421" s="15" t="s">
        <v>813</v>
      </c>
      <c r="C421" s="15" t="s">
        <v>166</v>
      </c>
      <c r="D421" s="17" t="s">
        <v>737</v>
      </c>
      <c r="E421" s="15" t="n">
        <v>2024</v>
      </c>
      <c r="F421" s="15" t="n">
        <v>1000</v>
      </c>
      <c r="G421" s="15" t="s">
        <v>1836</v>
      </c>
      <c r="H421" s="15" t="s">
        <v>1651</v>
      </c>
    </row>
    <row r="422" customFormat="false" ht="15" hidden="false" customHeight="false" outlineLevel="0" collapsed="false">
      <c r="A422" s="15" t="s">
        <v>143</v>
      </c>
      <c r="B422" s="15" t="s">
        <v>818</v>
      </c>
      <c r="C422" s="15" t="s">
        <v>166</v>
      </c>
      <c r="D422" s="17" t="s">
        <v>718</v>
      </c>
      <c r="E422" s="15" t="n">
        <v>2024</v>
      </c>
      <c r="F422" s="15" t="n">
        <v>2000</v>
      </c>
      <c r="G422" s="15" t="s">
        <v>1837</v>
      </c>
      <c r="H422" s="15" t="s">
        <v>1348</v>
      </c>
    </row>
    <row r="423" customFormat="false" ht="28.35" hidden="false" customHeight="false" outlineLevel="0" collapsed="false">
      <c r="A423" s="15" t="s">
        <v>143</v>
      </c>
      <c r="B423" s="15" t="s">
        <v>820</v>
      </c>
      <c r="C423" s="15" t="s">
        <v>166</v>
      </c>
      <c r="D423" s="17" t="s">
        <v>765</v>
      </c>
      <c r="E423" s="15" t="n">
        <v>2024</v>
      </c>
      <c r="F423" s="15" t="n">
        <v>2000</v>
      </c>
      <c r="G423" s="15" t="s">
        <v>1838</v>
      </c>
      <c r="H423" s="15" t="s">
        <v>1350</v>
      </c>
    </row>
    <row r="424" customFormat="false" ht="15" hidden="false" customHeight="false" outlineLevel="0" collapsed="false">
      <c r="A424" s="15" t="s">
        <v>143</v>
      </c>
      <c r="B424" s="15" t="s">
        <v>821</v>
      </c>
      <c r="C424" s="15" t="s">
        <v>166</v>
      </c>
      <c r="D424" s="17" t="s">
        <v>695</v>
      </c>
      <c r="E424" s="15" t="n">
        <v>2022</v>
      </c>
      <c r="F424" s="15" t="n">
        <v>500</v>
      </c>
      <c r="G424" s="15" t="s">
        <v>1839</v>
      </c>
      <c r="H424" s="15" t="s">
        <v>1840</v>
      </c>
    </row>
    <row r="425" customFormat="false" ht="28.35" hidden="false" customHeight="false" outlineLevel="0" collapsed="false">
      <c r="A425" s="15" t="s">
        <v>143</v>
      </c>
      <c r="B425" s="15" t="s">
        <v>822</v>
      </c>
      <c r="C425" s="15" t="s">
        <v>166</v>
      </c>
      <c r="D425" s="17" t="s">
        <v>823</v>
      </c>
      <c r="E425" s="15" t="n">
        <v>2024</v>
      </c>
      <c r="F425" s="15" t="n">
        <v>3000</v>
      </c>
      <c r="G425" s="15" t="s">
        <v>1841</v>
      </c>
      <c r="H425" s="15" t="s">
        <v>1202</v>
      </c>
    </row>
    <row r="426" customFormat="false" ht="15" hidden="false" customHeight="false" outlineLevel="0" collapsed="false">
      <c r="A426" s="15" t="s">
        <v>143</v>
      </c>
      <c r="B426" s="15" t="s">
        <v>837</v>
      </c>
      <c r="C426" s="15" t="s">
        <v>166</v>
      </c>
      <c r="D426" s="17" t="s">
        <v>704</v>
      </c>
      <c r="E426" s="15" t="n">
        <v>2023</v>
      </c>
      <c r="F426" s="15" t="n">
        <v>500</v>
      </c>
      <c r="G426" s="15" t="s">
        <v>1842</v>
      </c>
      <c r="H426" s="15" t="s">
        <v>1210</v>
      </c>
    </row>
    <row r="427" customFormat="false" ht="15" hidden="false" customHeight="false" outlineLevel="0" collapsed="false">
      <c r="A427" s="15" t="s">
        <v>143</v>
      </c>
      <c r="B427" s="15" t="s">
        <v>838</v>
      </c>
      <c r="C427" s="15" t="s">
        <v>166</v>
      </c>
      <c r="D427" s="17" t="s">
        <v>658</v>
      </c>
      <c r="E427" s="15" t="n">
        <v>2024</v>
      </c>
      <c r="F427" s="15" t="n">
        <v>750</v>
      </c>
      <c r="G427" s="15" t="s">
        <v>1843</v>
      </c>
      <c r="H427" s="15" t="s">
        <v>1844</v>
      </c>
    </row>
    <row r="428" customFormat="false" ht="15" hidden="false" customHeight="false" outlineLevel="0" collapsed="false">
      <c r="A428" s="15" t="s">
        <v>143</v>
      </c>
      <c r="B428" s="15" t="s">
        <v>839</v>
      </c>
      <c r="C428" s="15" t="s">
        <v>166</v>
      </c>
      <c r="D428" s="17" t="s">
        <v>662</v>
      </c>
      <c r="E428" s="15" t="n">
        <v>2021</v>
      </c>
      <c r="F428" s="15" t="n">
        <v>250</v>
      </c>
      <c r="G428" s="15" t="s">
        <v>1845</v>
      </c>
      <c r="H428" s="15" t="s">
        <v>1846</v>
      </c>
    </row>
    <row r="429" customFormat="false" ht="15" hidden="false" customHeight="false" outlineLevel="0" collapsed="false">
      <c r="A429" s="15" t="s">
        <v>143</v>
      </c>
      <c r="B429" s="15" t="s">
        <v>840</v>
      </c>
      <c r="C429" s="15" t="s">
        <v>166</v>
      </c>
      <c r="D429" s="17" t="s">
        <v>655</v>
      </c>
      <c r="E429" s="15" t="n">
        <v>2022</v>
      </c>
      <c r="F429" s="15" t="n">
        <v>500</v>
      </c>
      <c r="G429" s="15" t="s">
        <v>1847</v>
      </c>
      <c r="H429" s="15" t="s">
        <v>1212</v>
      </c>
    </row>
    <row r="430" customFormat="false" ht="15" hidden="false" customHeight="false" outlineLevel="0" collapsed="false">
      <c r="A430" s="15" t="s">
        <v>143</v>
      </c>
      <c r="B430" s="15" t="s">
        <v>841</v>
      </c>
      <c r="C430" s="15" t="s">
        <v>166</v>
      </c>
      <c r="D430" s="17" t="s">
        <v>695</v>
      </c>
      <c r="E430" s="15" t="n">
        <v>2022</v>
      </c>
      <c r="F430" s="15" t="n">
        <v>250</v>
      </c>
      <c r="G430" s="15" t="s">
        <v>1848</v>
      </c>
      <c r="H430" s="15" t="s">
        <v>1849</v>
      </c>
    </row>
    <row r="431" customFormat="false" ht="15" hidden="false" customHeight="false" outlineLevel="0" collapsed="false">
      <c r="A431" s="15" t="s">
        <v>143</v>
      </c>
      <c r="B431" s="15" t="s">
        <v>842</v>
      </c>
      <c r="C431" s="15" t="s">
        <v>166</v>
      </c>
      <c r="D431" s="17" t="s">
        <v>732</v>
      </c>
      <c r="E431" s="15" t="n">
        <v>2023</v>
      </c>
      <c r="F431" s="15" t="n">
        <v>250</v>
      </c>
      <c r="G431" s="15" t="s">
        <v>1850</v>
      </c>
      <c r="H431" s="15" t="s">
        <v>1851</v>
      </c>
    </row>
    <row r="432" customFormat="false" ht="15" hidden="false" customHeight="false" outlineLevel="0" collapsed="false">
      <c r="A432" s="15" t="s">
        <v>143</v>
      </c>
      <c r="B432" s="15" t="s">
        <v>843</v>
      </c>
      <c r="C432" s="15" t="s">
        <v>166</v>
      </c>
      <c r="D432" s="17" t="s">
        <v>658</v>
      </c>
      <c r="E432" s="15" t="n">
        <v>2024</v>
      </c>
      <c r="F432" s="15" t="n">
        <v>500</v>
      </c>
      <c r="G432" s="15" t="s">
        <v>1852</v>
      </c>
      <c r="H432" s="15" t="s">
        <v>1853</v>
      </c>
    </row>
    <row r="433" customFormat="false" ht="15" hidden="false" customHeight="false" outlineLevel="0" collapsed="false">
      <c r="A433" s="15" t="s">
        <v>143</v>
      </c>
      <c r="B433" s="15" t="s">
        <v>844</v>
      </c>
      <c r="C433" s="15" t="s">
        <v>166</v>
      </c>
      <c r="D433" s="17" t="s">
        <v>695</v>
      </c>
      <c r="E433" s="15" t="n">
        <v>2022</v>
      </c>
      <c r="F433" s="15" t="n">
        <v>250</v>
      </c>
      <c r="G433" s="15" t="s">
        <v>1854</v>
      </c>
      <c r="H433" s="15" t="s">
        <v>1855</v>
      </c>
    </row>
    <row r="434" customFormat="false" ht="15" hidden="false" customHeight="false" outlineLevel="0" collapsed="false">
      <c r="A434" s="15" t="s">
        <v>143</v>
      </c>
      <c r="B434" s="15" t="s">
        <v>845</v>
      </c>
      <c r="C434" s="15" t="s">
        <v>166</v>
      </c>
      <c r="D434" s="17" t="s">
        <v>658</v>
      </c>
      <c r="E434" s="15" t="n">
        <v>2024</v>
      </c>
      <c r="F434" s="15" t="n">
        <v>250</v>
      </c>
      <c r="G434" s="15" t="s">
        <v>1856</v>
      </c>
      <c r="H434" s="15" t="s">
        <v>1358</v>
      </c>
    </row>
    <row r="435" customFormat="false" ht="15" hidden="false" customHeight="false" outlineLevel="0" collapsed="false">
      <c r="A435" s="15" t="s">
        <v>143</v>
      </c>
      <c r="B435" s="15" t="s">
        <v>846</v>
      </c>
      <c r="C435" s="15" t="s">
        <v>166</v>
      </c>
      <c r="D435" s="17" t="s">
        <v>667</v>
      </c>
      <c r="E435" s="15" t="n">
        <v>2024</v>
      </c>
      <c r="F435" s="15" t="n">
        <v>2000</v>
      </c>
      <c r="G435" s="15" t="s">
        <v>1857</v>
      </c>
      <c r="H435" s="15" t="s">
        <v>1858</v>
      </c>
    </row>
    <row r="436" customFormat="false" ht="28.35" hidden="false" customHeight="false" outlineLevel="0" collapsed="false">
      <c r="A436" s="15" t="s">
        <v>143</v>
      </c>
      <c r="B436" s="15" t="s">
        <v>847</v>
      </c>
      <c r="C436" s="15" t="s">
        <v>166</v>
      </c>
      <c r="D436" s="17" t="s">
        <v>765</v>
      </c>
      <c r="E436" s="15" t="n">
        <v>2024</v>
      </c>
      <c r="F436" s="15" t="n">
        <v>7000</v>
      </c>
      <c r="G436" s="15" t="s">
        <v>1859</v>
      </c>
      <c r="H436" s="15" t="s">
        <v>1214</v>
      </c>
    </row>
    <row r="437" customFormat="false" ht="15" hidden="false" customHeight="false" outlineLevel="0" collapsed="false">
      <c r="A437" s="15" t="s">
        <v>143</v>
      </c>
      <c r="B437" s="15" t="s">
        <v>849</v>
      </c>
      <c r="C437" s="15" t="s">
        <v>166</v>
      </c>
      <c r="D437" s="17" t="s">
        <v>732</v>
      </c>
      <c r="E437" s="15" t="n">
        <v>2024</v>
      </c>
      <c r="F437" s="15" t="n">
        <v>500</v>
      </c>
      <c r="G437" s="15" t="s">
        <v>1860</v>
      </c>
      <c r="H437" s="15" t="s">
        <v>1551</v>
      </c>
    </row>
    <row r="438" customFormat="false" ht="15" hidden="false" customHeight="false" outlineLevel="0" collapsed="false">
      <c r="A438" s="15" t="s">
        <v>143</v>
      </c>
      <c r="B438" s="15" t="s">
        <v>850</v>
      </c>
      <c r="C438" s="15" t="s">
        <v>166</v>
      </c>
      <c r="D438" s="17" t="s">
        <v>695</v>
      </c>
      <c r="E438" s="15" t="n">
        <v>2023</v>
      </c>
      <c r="F438" s="15" t="n">
        <v>250</v>
      </c>
      <c r="G438" s="15" t="s">
        <v>1861</v>
      </c>
      <c r="H438" s="15" t="s">
        <v>1450</v>
      </c>
    </row>
    <row r="439" customFormat="false" ht="15" hidden="false" customHeight="false" outlineLevel="0" collapsed="false">
      <c r="A439" s="15" t="s">
        <v>143</v>
      </c>
      <c r="B439" s="15" t="s">
        <v>850</v>
      </c>
      <c r="C439" s="15" t="s">
        <v>166</v>
      </c>
      <c r="D439" s="17" t="s">
        <v>732</v>
      </c>
      <c r="E439" s="15" t="n">
        <v>2024</v>
      </c>
      <c r="F439" s="15" t="n">
        <v>1000</v>
      </c>
      <c r="G439" s="15" t="s">
        <v>1862</v>
      </c>
      <c r="H439" s="15" t="s">
        <v>1863</v>
      </c>
    </row>
    <row r="440" customFormat="false" ht="15" hidden="false" customHeight="false" outlineLevel="0" collapsed="false">
      <c r="A440" s="15" t="s">
        <v>143</v>
      </c>
      <c r="B440" s="15" t="s">
        <v>854</v>
      </c>
      <c r="C440" s="15" t="s">
        <v>166</v>
      </c>
      <c r="D440" s="17" t="s">
        <v>662</v>
      </c>
      <c r="E440" s="15" t="n">
        <v>2021</v>
      </c>
      <c r="F440" s="15" t="n">
        <v>250</v>
      </c>
      <c r="G440" s="15" t="s">
        <v>1864</v>
      </c>
      <c r="H440" s="15" t="s">
        <v>1865</v>
      </c>
    </row>
    <row r="441" customFormat="false" ht="15" hidden="false" customHeight="false" outlineLevel="0" collapsed="false">
      <c r="A441" s="15" t="s">
        <v>143</v>
      </c>
      <c r="B441" s="15" t="s">
        <v>860</v>
      </c>
      <c r="C441" s="15" t="s">
        <v>166</v>
      </c>
      <c r="D441" s="17" t="s">
        <v>662</v>
      </c>
      <c r="E441" s="15" t="n">
        <v>2022</v>
      </c>
      <c r="F441" s="15" t="n">
        <v>250</v>
      </c>
      <c r="G441" s="15" t="s">
        <v>1866</v>
      </c>
      <c r="H441" s="15" t="s">
        <v>1867</v>
      </c>
    </row>
    <row r="442" customFormat="false" ht="28.35" hidden="false" customHeight="false" outlineLevel="0" collapsed="false">
      <c r="A442" s="15" t="s">
        <v>143</v>
      </c>
      <c r="B442" s="15" t="s">
        <v>861</v>
      </c>
      <c r="C442" s="15" t="s">
        <v>166</v>
      </c>
      <c r="D442" s="17" t="s">
        <v>765</v>
      </c>
      <c r="E442" s="15" t="n">
        <v>2024</v>
      </c>
      <c r="F442" s="15" t="n">
        <v>2000</v>
      </c>
      <c r="G442" s="15" t="s">
        <v>1868</v>
      </c>
      <c r="H442" s="15" t="s">
        <v>1869</v>
      </c>
    </row>
    <row r="443" customFormat="false" ht="15" hidden="false" customHeight="false" outlineLevel="0" collapsed="false">
      <c r="A443" s="15" t="s">
        <v>143</v>
      </c>
      <c r="B443" s="15" t="s">
        <v>862</v>
      </c>
      <c r="C443" s="15" t="s">
        <v>166</v>
      </c>
      <c r="D443" s="17" t="s">
        <v>662</v>
      </c>
      <c r="E443" s="15" t="n">
        <v>2021</v>
      </c>
      <c r="F443" s="15" t="n">
        <v>250</v>
      </c>
      <c r="G443" s="15" t="s">
        <v>1870</v>
      </c>
      <c r="H443" s="15" t="s">
        <v>1871</v>
      </c>
    </row>
    <row r="444" customFormat="false" ht="28.35" hidden="false" customHeight="false" outlineLevel="0" collapsed="false">
      <c r="A444" s="15" t="s">
        <v>143</v>
      </c>
      <c r="B444" s="15" t="s">
        <v>863</v>
      </c>
      <c r="C444" s="15" t="s">
        <v>166</v>
      </c>
      <c r="D444" s="17" t="s">
        <v>864</v>
      </c>
      <c r="E444" s="15" t="n">
        <v>2024</v>
      </c>
      <c r="F444" s="15" t="n">
        <v>13000</v>
      </c>
      <c r="G444" s="15" t="s">
        <v>1872</v>
      </c>
      <c r="H444" s="15" t="s">
        <v>1873</v>
      </c>
    </row>
    <row r="445" customFormat="false" ht="15" hidden="false" customHeight="false" outlineLevel="0" collapsed="false">
      <c r="A445" s="15" t="s">
        <v>143</v>
      </c>
      <c r="B445" s="15" t="s">
        <v>872</v>
      </c>
      <c r="C445" s="15" t="s">
        <v>166</v>
      </c>
      <c r="D445" s="17" t="s">
        <v>658</v>
      </c>
      <c r="E445" s="15" t="n">
        <v>2024</v>
      </c>
      <c r="F445" s="15" t="n">
        <v>500</v>
      </c>
      <c r="G445" s="15" t="s">
        <v>1874</v>
      </c>
      <c r="H445" s="15" t="s">
        <v>1875</v>
      </c>
    </row>
    <row r="446" customFormat="false" ht="15" hidden="false" customHeight="false" outlineLevel="0" collapsed="false">
      <c r="A446" s="15" t="s">
        <v>143</v>
      </c>
      <c r="B446" s="15" t="s">
        <v>874</v>
      </c>
      <c r="C446" s="15" t="s">
        <v>166</v>
      </c>
      <c r="D446" s="17" t="s">
        <v>664</v>
      </c>
      <c r="E446" s="15" t="n">
        <v>2026</v>
      </c>
      <c r="F446" s="15" t="n">
        <v>1000</v>
      </c>
      <c r="G446" s="15" t="s">
        <v>1876</v>
      </c>
      <c r="H446" s="15" t="s">
        <v>1877</v>
      </c>
    </row>
    <row r="447" customFormat="false" ht="15" hidden="false" customHeight="false" outlineLevel="0" collapsed="false">
      <c r="A447" s="15" t="s">
        <v>143</v>
      </c>
      <c r="B447" s="15" t="s">
        <v>875</v>
      </c>
      <c r="C447" s="15" t="s">
        <v>166</v>
      </c>
      <c r="D447" s="17" t="s">
        <v>732</v>
      </c>
      <c r="E447" s="15" t="n">
        <v>2023</v>
      </c>
      <c r="F447" s="15" t="n">
        <v>500</v>
      </c>
      <c r="G447" s="15" t="s">
        <v>1878</v>
      </c>
      <c r="H447" s="15" t="s">
        <v>1879</v>
      </c>
    </row>
    <row r="448" customFormat="false" ht="28.35" hidden="false" customHeight="false" outlineLevel="0" collapsed="false">
      <c r="A448" s="15" t="s">
        <v>143</v>
      </c>
      <c r="B448" s="15" t="s">
        <v>877</v>
      </c>
      <c r="C448" s="15" t="s">
        <v>166</v>
      </c>
      <c r="D448" s="17" t="s">
        <v>724</v>
      </c>
      <c r="E448" s="15" t="n">
        <v>2024</v>
      </c>
      <c r="F448" s="15" t="n">
        <v>2000</v>
      </c>
      <c r="G448" s="15" t="s">
        <v>1880</v>
      </c>
      <c r="H448" s="15" t="s">
        <v>1881</v>
      </c>
    </row>
    <row r="449" customFormat="false" ht="15" hidden="false" customHeight="false" outlineLevel="0" collapsed="false">
      <c r="A449" s="15" t="s">
        <v>143</v>
      </c>
      <c r="B449" s="15" t="s">
        <v>889</v>
      </c>
      <c r="C449" s="15" t="s">
        <v>166</v>
      </c>
      <c r="D449" s="17" t="s">
        <v>662</v>
      </c>
      <c r="E449" s="15" t="n">
        <v>2021</v>
      </c>
      <c r="F449" s="15" t="n">
        <v>250</v>
      </c>
      <c r="G449" s="15" t="s">
        <v>1882</v>
      </c>
      <c r="H449" s="15" t="s">
        <v>1883</v>
      </c>
    </row>
    <row r="450" customFormat="false" ht="15" hidden="false" customHeight="false" outlineLevel="0" collapsed="false">
      <c r="A450" s="15" t="s">
        <v>143</v>
      </c>
      <c r="B450" s="15" t="s">
        <v>891</v>
      </c>
      <c r="C450" s="15" t="s">
        <v>166</v>
      </c>
      <c r="D450" s="17" t="s">
        <v>662</v>
      </c>
      <c r="E450" s="15" t="n">
        <v>2024</v>
      </c>
      <c r="F450" s="15" t="n">
        <v>250</v>
      </c>
      <c r="G450" s="15" t="s">
        <v>1884</v>
      </c>
      <c r="H450" s="15" t="s">
        <v>1230</v>
      </c>
    </row>
    <row r="451" customFormat="false" ht="15" hidden="false" customHeight="false" outlineLevel="0" collapsed="false">
      <c r="A451" s="15" t="s">
        <v>143</v>
      </c>
      <c r="B451" s="15" t="s">
        <v>891</v>
      </c>
      <c r="C451" s="15" t="s">
        <v>166</v>
      </c>
      <c r="D451" s="17" t="s">
        <v>662</v>
      </c>
      <c r="E451" s="15" t="n">
        <v>2024</v>
      </c>
      <c r="F451" s="15" t="n">
        <v>250</v>
      </c>
      <c r="G451" s="15" t="s">
        <v>1885</v>
      </c>
      <c r="H451" s="15" t="s">
        <v>1228</v>
      </c>
    </row>
    <row r="452" customFormat="false" ht="15" hidden="false" customHeight="false" outlineLevel="0" collapsed="false">
      <c r="A452" s="15" t="s">
        <v>143</v>
      </c>
      <c r="B452" s="15" t="s">
        <v>892</v>
      </c>
      <c r="C452" s="15" t="s">
        <v>166</v>
      </c>
      <c r="D452" s="17" t="s">
        <v>732</v>
      </c>
      <c r="E452" s="15" t="n">
        <v>2024</v>
      </c>
      <c r="F452" s="15" t="n">
        <v>250</v>
      </c>
      <c r="G452" s="15" t="s">
        <v>1886</v>
      </c>
      <c r="H452" s="15" t="s">
        <v>1887</v>
      </c>
    </row>
    <row r="453" customFormat="false" ht="28.35" hidden="false" customHeight="false" outlineLevel="0" collapsed="false">
      <c r="A453" s="15" t="s">
        <v>143</v>
      </c>
      <c r="B453" s="15" t="s">
        <v>893</v>
      </c>
      <c r="C453" s="15" t="s">
        <v>166</v>
      </c>
      <c r="D453" s="17" t="s">
        <v>765</v>
      </c>
      <c r="E453" s="15" t="n">
        <v>2024</v>
      </c>
      <c r="F453" s="15" t="n">
        <v>1000</v>
      </c>
      <c r="G453" s="15" t="s">
        <v>1888</v>
      </c>
      <c r="H453" s="15" t="s">
        <v>1232</v>
      </c>
    </row>
    <row r="454" customFormat="false" ht="15" hidden="false" customHeight="false" outlineLevel="0" collapsed="false">
      <c r="A454" s="15" t="s">
        <v>143</v>
      </c>
      <c r="B454" s="15" t="s">
        <v>895</v>
      </c>
      <c r="C454" s="15" t="s">
        <v>166</v>
      </c>
      <c r="D454" s="17" t="s">
        <v>695</v>
      </c>
      <c r="E454" s="15" t="n">
        <v>2022</v>
      </c>
      <c r="F454" s="15" t="n">
        <v>250</v>
      </c>
      <c r="G454" s="15" t="s">
        <v>1889</v>
      </c>
      <c r="H454" s="15" t="s">
        <v>1462</v>
      </c>
    </row>
    <row r="455" customFormat="false" ht="15" hidden="false" customHeight="false" outlineLevel="0" collapsed="false">
      <c r="A455" s="15" t="s">
        <v>143</v>
      </c>
      <c r="B455" s="15" t="s">
        <v>896</v>
      </c>
      <c r="C455" s="15" t="s">
        <v>166</v>
      </c>
      <c r="D455" s="17" t="s">
        <v>662</v>
      </c>
      <c r="E455" s="15" t="n">
        <v>2024</v>
      </c>
      <c r="F455" s="15" t="n">
        <v>500</v>
      </c>
      <c r="G455" s="15" t="s">
        <v>1890</v>
      </c>
      <c r="H455" s="15" t="s">
        <v>1891</v>
      </c>
    </row>
    <row r="456" customFormat="false" ht="15" hidden="false" customHeight="false" outlineLevel="0" collapsed="false">
      <c r="A456" s="15" t="s">
        <v>143</v>
      </c>
      <c r="B456" s="15" t="s">
        <v>898</v>
      </c>
      <c r="C456" s="15" t="s">
        <v>166</v>
      </c>
      <c r="D456" s="17" t="s">
        <v>732</v>
      </c>
      <c r="E456" s="15" t="n">
        <v>2026</v>
      </c>
      <c r="F456" s="15" t="n">
        <v>500</v>
      </c>
      <c r="G456" s="15" t="s">
        <v>1892</v>
      </c>
      <c r="H456" s="15" t="s">
        <v>1893</v>
      </c>
    </row>
    <row r="457" customFormat="false" ht="15" hidden="false" customHeight="false" outlineLevel="0" collapsed="false">
      <c r="A457" s="15" t="s">
        <v>143</v>
      </c>
      <c r="B457" s="15" t="s">
        <v>903</v>
      </c>
      <c r="C457" s="15" t="s">
        <v>166</v>
      </c>
      <c r="D457" s="17" t="s">
        <v>732</v>
      </c>
      <c r="E457" s="15" t="n">
        <v>2024</v>
      </c>
      <c r="F457" s="15" t="n">
        <v>500</v>
      </c>
      <c r="G457" s="15" t="s">
        <v>1894</v>
      </c>
      <c r="H457" s="15" t="s">
        <v>1895</v>
      </c>
    </row>
    <row r="458" customFormat="false" ht="15" hidden="false" customHeight="false" outlineLevel="0" collapsed="false">
      <c r="A458" s="15" t="s">
        <v>143</v>
      </c>
      <c r="B458" s="15" t="s">
        <v>909</v>
      </c>
      <c r="C458" s="15" t="s">
        <v>166</v>
      </c>
      <c r="D458" s="17" t="s">
        <v>662</v>
      </c>
      <c r="E458" s="15" t="n">
        <v>2022</v>
      </c>
      <c r="F458" s="15" t="n">
        <v>250</v>
      </c>
      <c r="G458" s="15" t="s">
        <v>1896</v>
      </c>
      <c r="H458" s="15" t="s">
        <v>1244</v>
      </c>
    </row>
    <row r="459" customFormat="false" ht="15" hidden="false" customHeight="false" outlineLevel="0" collapsed="false">
      <c r="A459" s="15" t="s">
        <v>143</v>
      </c>
      <c r="B459" s="15" t="s">
        <v>911</v>
      </c>
      <c r="C459" s="15" t="s">
        <v>166</v>
      </c>
      <c r="D459" s="17" t="s">
        <v>695</v>
      </c>
      <c r="E459" s="15" t="n">
        <v>2024</v>
      </c>
      <c r="F459" s="15" t="n">
        <v>500</v>
      </c>
      <c r="G459" s="15" t="s">
        <v>1897</v>
      </c>
      <c r="H459" s="15" t="s">
        <v>1246</v>
      </c>
    </row>
    <row r="460" customFormat="false" ht="15" hidden="false" customHeight="false" outlineLevel="0" collapsed="false">
      <c r="A460" s="15" t="s">
        <v>143</v>
      </c>
      <c r="B460" s="15" t="s">
        <v>929</v>
      </c>
      <c r="C460" s="15" t="s">
        <v>166</v>
      </c>
      <c r="D460" s="17" t="s">
        <v>664</v>
      </c>
      <c r="E460" s="15" t="n">
        <v>2026</v>
      </c>
      <c r="F460" s="15" t="n">
        <v>250</v>
      </c>
      <c r="G460" s="15" t="s">
        <v>1898</v>
      </c>
      <c r="H460" s="15" t="s">
        <v>1599</v>
      </c>
    </row>
    <row r="461" customFormat="false" ht="15" hidden="false" customHeight="false" outlineLevel="0" collapsed="false">
      <c r="A461" s="15" t="s">
        <v>143</v>
      </c>
      <c r="B461" s="15" t="s">
        <v>935</v>
      </c>
      <c r="C461" s="15" t="s">
        <v>166</v>
      </c>
      <c r="D461" s="17" t="s">
        <v>732</v>
      </c>
      <c r="E461" s="15" t="n">
        <v>2023</v>
      </c>
      <c r="F461" s="15" t="n">
        <v>500</v>
      </c>
      <c r="G461" s="15" t="s">
        <v>1899</v>
      </c>
      <c r="H461" s="15" t="s">
        <v>1900</v>
      </c>
    </row>
    <row r="462" customFormat="false" ht="15" hidden="false" customHeight="false" outlineLevel="0" collapsed="false">
      <c r="A462" s="15" t="s">
        <v>143</v>
      </c>
      <c r="B462" s="15" t="s">
        <v>936</v>
      </c>
      <c r="C462" s="15" t="s">
        <v>166</v>
      </c>
      <c r="D462" s="17" t="s">
        <v>737</v>
      </c>
      <c r="E462" s="15" t="n">
        <v>2024</v>
      </c>
      <c r="F462" s="15" t="n">
        <v>500</v>
      </c>
      <c r="G462" s="15" t="s">
        <v>1901</v>
      </c>
      <c r="H462" s="15" t="s">
        <v>1606</v>
      </c>
    </row>
  </sheetData>
  <mergeCells count="1">
    <mergeCell ref="A1:H1"/>
  </mergeCells>
  <hyperlinks>
    <hyperlink ref="A2" r:id="rId1" location="'Start%20here'!A1" display="← Back to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8F99"/>
    <pageSetUpPr fitToPage="false"/>
  </sheetPr>
  <dimension ref="A1:H8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40"/>
    <col collapsed="false" customWidth="true" hidden="false" outlineLevel="0" max="4" min="4" style="0" width="9"/>
    <col collapsed="false" customWidth="true" hidden="false" outlineLevel="0" max="6" min="5" style="0" width="11"/>
    <col collapsed="false" customWidth="true" hidden="false" outlineLevel="0" max="7" min="7" style="0" width="12"/>
    <col collapsed="false" customWidth="true" hidden="false" outlineLevel="0" max="8" min="8" style="0" width="26"/>
  </cols>
  <sheetData>
    <row r="1" customFormat="false" ht="42" hidden="false" customHeight="true" outlineLevel="0" collapsed="false">
      <c r="A1" s="12" t="s">
        <v>1902</v>
      </c>
      <c r="B1" s="12"/>
      <c r="C1" s="12"/>
      <c r="D1" s="12"/>
      <c r="E1" s="12"/>
      <c r="F1" s="12"/>
      <c r="G1" s="12"/>
      <c r="H1" s="12"/>
    </row>
    <row r="2" customFormat="false" ht="15" hidden="false" customHeight="false" outlineLevel="0" collapsed="false">
      <c r="A2" s="13" t="s">
        <v>129</v>
      </c>
    </row>
    <row r="4" customFormat="false" ht="33.75" hidden="false" customHeight="true" outlineLevel="0" collapsed="false">
      <c r="A4" s="14" t="s">
        <v>110</v>
      </c>
      <c r="B4" s="14" t="s">
        <v>1903</v>
      </c>
      <c r="C4" s="14" t="s">
        <v>1904</v>
      </c>
      <c r="D4" s="14" t="s">
        <v>1905</v>
      </c>
      <c r="E4" s="14" t="s">
        <v>1906</v>
      </c>
      <c r="F4" s="14" t="s">
        <v>1907</v>
      </c>
      <c r="G4" s="14" t="s">
        <v>1908</v>
      </c>
      <c r="H4" s="14" t="s">
        <v>1909</v>
      </c>
    </row>
    <row r="5" customFormat="false" ht="15" hidden="false" customHeight="false" outlineLevel="0" collapsed="false">
      <c r="A5" s="15" t="s">
        <v>163</v>
      </c>
      <c r="B5" s="15" t="s">
        <v>1910</v>
      </c>
      <c r="C5" s="15" t="s">
        <v>1911</v>
      </c>
      <c r="D5" s="15" t="s">
        <v>1912</v>
      </c>
      <c r="E5" s="15" t="s">
        <v>1913</v>
      </c>
      <c r="F5" s="15" t="s">
        <v>1914</v>
      </c>
      <c r="G5" s="15" t="n">
        <v>250</v>
      </c>
      <c r="H5" s="15"/>
    </row>
    <row r="6" customFormat="false" ht="15" hidden="false" customHeight="false" outlineLevel="0" collapsed="false">
      <c r="A6" s="15" t="s">
        <v>163</v>
      </c>
      <c r="B6" s="15" t="s">
        <v>1915</v>
      </c>
      <c r="C6" s="15" t="s">
        <v>165</v>
      </c>
      <c r="D6" s="15" t="s">
        <v>1916</v>
      </c>
      <c r="E6" s="15" t="s">
        <v>1917</v>
      </c>
      <c r="F6" s="15" t="s">
        <v>1918</v>
      </c>
      <c r="G6" s="15" t="n">
        <v>2000</v>
      </c>
      <c r="H6" s="15" t="s">
        <v>166</v>
      </c>
    </row>
    <row r="7" customFormat="false" ht="15" hidden="false" customHeight="false" outlineLevel="0" collapsed="false">
      <c r="A7" s="15" t="s">
        <v>163</v>
      </c>
      <c r="B7" s="15" t="s">
        <v>1915</v>
      </c>
      <c r="C7" s="15" t="s">
        <v>165</v>
      </c>
      <c r="D7" s="15" t="s">
        <v>1916</v>
      </c>
      <c r="E7" s="15" t="s">
        <v>1919</v>
      </c>
      <c r="F7" s="15" t="s">
        <v>1920</v>
      </c>
      <c r="G7" s="15" t="n">
        <v>1000</v>
      </c>
      <c r="H7" s="15" t="s">
        <v>166</v>
      </c>
    </row>
    <row r="8" customFormat="false" ht="15" hidden="false" customHeight="false" outlineLevel="0" collapsed="false">
      <c r="A8" s="15" t="s">
        <v>169</v>
      </c>
      <c r="B8" s="15" t="s">
        <v>1910</v>
      </c>
      <c r="C8" s="15" t="s">
        <v>1921</v>
      </c>
      <c r="D8" s="15" t="s">
        <v>1922</v>
      </c>
      <c r="E8" s="15" t="s">
        <v>1923</v>
      </c>
      <c r="F8" s="15" t="s">
        <v>1924</v>
      </c>
      <c r="G8" s="15" t="n">
        <v>500</v>
      </c>
      <c r="H8" s="15"/>
    </row>
    <row r="9" customFormat="false" ht="15" hidden="false" customHeight="false" outlineLevel="0" collapsed="false">
      <c r="A9" s="15" t="s">
        <v>169</v>
      </c>
      <c r="B9" s="15" t="s">
        <v>1910</v>
      </c>
      <c r="C9" s="15" t="s">
        <v>1921</v>
      </c>
      <c r="D9" s="15" t="s">
        <v>1922</v>
      </c>
      <c r="E9" s="15" t="s">
        <v>1925</v>
      </c>
      <c r="F9" s="15" t="s">
        <v>1926</v>
      </c>
      <c r="G9" s="15" t="n">
        <v>500</v>
      </c>
      <c r="H9" s="15"/>
    </row>
    <row r="10" customFormat="false" ht="15" hidden="false" customHeight="false" outlineLevel="0" collapsed="false">
      <c r="A10" s="15" t="s">
        <v>169</v>
      </c>
      <c r="B10" s="15" t="s">
        <v>1915</v>
      </c>
      <c r="C10" s="15" t="s">
        <v>165</v>
      </c>
      <c r="D10" s="15" t="s">
        <v>1916</v>
      </c>
      <c r="E10" s="15" t="s">
        <v>1927</v>
      </c>
      <c r="F10" s="15" t="s">
        <v>1928</v>
      </c>
      <c r="G10" s="15" t="n">
        <v>5000</v>
      </c>
      <c r="H10" s="15" t="s">
        <v>166</v>
      </c>
    </row>
    <row r="11" customFormat="false" ht="15" hidden="false" customHeight="false" outlineLevel="0" collapsed="false">
      <c r="A11" s="15" t="s">
        <v>169</v>
      </c>
      <c r="B11" s="15" t="s">
        <v>1915</v>
      </c>
      <c r="C11" s="15" t="s">
        <v>165</v>
      </c>
      <c r="D11" s="15" t="s">
        <v>1916</v>
      </c>
      <c r="E11" s="15" t="s">
        <v>1929</v>
      </c>
      <c r="F11" s="15" t="s">
        <v>1930</v>
      </c>
      <c r="G11" s="15" t="n">
        <v>2000</v>
      </c>
      <c r="H11" s="15" t="s">
        <v>166</v>
      </c>
    </row>
    <row r="12" customFormat="false" ht="15" hidden="false" customHeight="false" outlineLevel="0" collapsed="false">
      <c r="A12" s="15" t="s">
        <v>169</v>
      </c>
      <c r="B12" s="15" t="s">
        <v>1915</v>
      </c>
      <c r="C12" s="15" t="s">
        <v>208</v>
      </c>
      <c r="D12" s="15" t="s">
        <v>1931</v>
      </c>
      <c r="E12" s="15" t="s">
        <v>1932</v>
      </c>
      <c r="F12" s="15" t="s">
        <v>1933</v>
      </c>
      <c r="G12" s="15" t="n">
        <v>5000</v>
      </c>
      <c r="H12" s="15" t="s">
        <v>166</v>
      </c>
    </row>
    <row r="13" customFormat="false" ht="15" hidden="false" customHeight="false" outlineLevel="0" collapsed="false">
      <c r="A13" s="15" t="s">
        <v>169</v>
      </c>
      <c r="B13" s="15" t="s">
        <v>1915</v>
      </c>
      <c r="C13" s="15" t="s">
        <v>208</v>
      </c>
      <c r="D13" s="15" t="s">
        <v>1931</v>
      </c>
      <c r="E13" s="15" t="s">
        <v>1934</v>
      </c>
      <c r="F13" s="15" t="s">
        <v>1935</v>
      </c>
      <c r="G13" s="15" t="n">
        <v>250</v>
      </c>
      <c r="H13" s="15" t="s">
        <v>166</v>
      </c>
    </row>
    <row r="14" customFormat="false" ht="15" hidden="false" customHeight="false" outlineLevel="0" collapsed="false">
      <c r="A14" s="15" t="s">
        <v>169</v>
      </c>
      <c r="B14" s="15" t="s">
        <v>1915</v>
      </c>
      <c r="C14" s="15" t="s">
        <v>208</v>
      </c>
      <c r="D14" s="15" t="s">
        <v>1931</v>
      </c>
      <c r="E14" s="15" t="s">
        <v>1936</v>
      </c>
      <c r="F14" s="15" t="s">
        <v>1937</v>
      </c>
      <c r="G14" s="15" t="n">
        <v>5000</v>
      </c>
      <c r="H14" s="15" t="s">
        <v>166</v>
      </c>
    </row>
    <row r="15" customFormat="false" ht="15" hidden="false" customHeight="false" outlineLevel="0" collapsed="false">
      <c r="A15" s="15" t="s">
        <v>169</v>
      </c>
      <c r="B15" s="15" t="s">
        <v>1915</v>
      </c>
      <c r="C15" s="15" t="s">
        <v>208</v>
      </c>
      <c r="D15" s="15" t="s">
        <v>1931</v>
      </c>
      <c r="E15" s="15" t="s">
        <v>1938</v>
      </c>
      <c r="F15" s="15" t="s">
        <v>1939</v>
      </c>
      <c r="G15" s="15" t="n">
        <v>500</v>
      </c>
      <c r="H15" s="15" t="s">
        <v>166</v>
      </c>
    </row>
    <row r="16" customFormat="false" ht="15" hidden="false" customHeight="false" outlineLevel="0" collapsed="false">
      <c r="A16" s="15" t="s">
        <v>169</v>
      </c>
      <c r="B16" s="15" t="s">
        <v>1915</v>
      </c>
      <c r="C16" s="15" t="s">
        <v>208</v>
      </c>
      <c r="D16" s="15" t="s">
        <v>1931</v>
      </c>
      <c r="E16" s="15" t="s">
        <v>1940</v>
      </c>
      <c r="F16" s="15" t="s">
        <v>1941</v>
      </c>
      <c r="G16" s="15" t="n">
        <v>5000</v>
      </c>
      <c r="H16" s="15" t="s">
        <v>166</v>
      </c>
    </row>
    <row r="17" customFormat="false" ht="15" hidden="false" customHeight="false" outlineLevel="0" collapsed="false">
      <c r="A17" s="15" t="s">
        <v>169</v>
      </c>
      <c r="B17" s="15" t="s">
        <v>1915</v>
      </c>
      <c r="C17" s="15" t="s">
        <v>329</v>
      </c>
      <c r="D17" s="15" t="s">
        <v>1942</v>
      </c>
      <c r="E17" s="15" t="s">
        <v>1943</v>
      </c>
      <c r="F17" s="15" t="s">
        <v>1944</v>
      </c>
      <c r="G17" s="15" t="n">
        <v>1000</v>
      </c>
      <c r="H17" s="15" t="s">
        <v>166</v>
      </c>
    </row>
    <row r="18" customFormat="false" ht="15" hidden="false" customHeight="false" outlineLevel="0" collapsed="false">
      <c r="A18" s="15" t="s">
        <v>169</v>
      </c>
      <c r="B18" s="15" t="s">
        <v>1915</v>
      </c>
      <c r="C18" s="15" t="s">
        <v>165</v>
      </c>
      <c r="D18" s="15" t="s">
        <v>1916</v>
      </c>
      <c r="E18" s="15" t="s">
        <v>1945</v>
      </c>
      <c r="F18" s="15" t="s">
        <v>1946</v>
      </c>
      <c r="G18" s="15" t="n">
        <v>1000</v>
      </c>
      <c r="H18" s="15" t="s">
        <v>166</v>
      </c>
    </row>
    <row r="19" customFormat="false" ht="15" hidden="false" customHeight="false" outlineLevel="0" collapsed="false">
      <c r="A19" s="15" t="s">
        <v>169</v>
      </c>
      <c r="B19" s="15" t="s">
        <v>1915</v>
      </c>
      <c r="C19" s="15" t="s">
        <v>165</v>
      </c>
      <c r="D19" s="15" t="s">
        <v>1916</v>
      </c>
      <c r="E19" s="15" t="s">
        <v>1947</v>
      </c>
      <c r="F19" s="15" t="s">
        <v>1948</v>
      </c>
      <c r="G19" s="15" t="n">
        <v>1000</v>
      </c>
      <c r="H19" s="15" t="s">
        <v>166</v>
      </c>
    </row>
    <row r="20" customFormat="false" ht="15" hidden="false" customHeight="false" outlineLevel="0" collapsed="false">
      <c r="A20" s="15" t="s">
        <v>169</v>
      </c>
      <c r="B20" s="15" t="s">
        <v>1915</v>
      </c>
      <c r="C20" s="15" t="s">
        <v>366</v>
      </c>
      <c r="D20" s="15" t="s">
        <v>1949</v>
      </c>
      <c r="E20" s="15" t="s">
        <v>1950</v>
      </c>
      <c r="F20" s="15" t="s">
        <v>1951</v>
      </c>
      <c r="G20" s="15" t="n">
        <v>1000</v>
      </c>
      <c r="H20" s="15" t="s">
        <v>166</v>
      </c>
    </row>
    <row r="21" customFormat="false" ht="15" hidden="false" customHeight="false" outlineLevel="0" collapsed="false">
      <c r="A21" s="15" t="s">
        <v>169</v>
      </c>
      <c r="B21" s="15" t="s">
        <v>1915</v>
      </c>
      <c r="C21" s="15" t="s">
        <v>366</v>
      </c>
      <c r="D21" s="15" t="s">
        <v>1949</v>
      </c>
      <c r="E21" s="15" t="s">
        <v>1952</v>
      </c>
      <c r="F21" s="15" t="s">
        <v>1953</v>
      </c>
      <c r="G21" s="15" t="n">
        <v>1000</v>
      </c>
      <c r="H21" s="15" t="s">
        <v>166</v>
      </c>
    </row>
    <row r="22" customFormat="false" ht="15" hidden="false" customHeight="false" outlineLevel="0" collapsed="false">
      <c r="A22" s="15" t="s">
        <v>169</v>
      </c>
      <c r="B22" s="15" t="s">
        <v>1915</v>
      </c>
      <c r="C22" s="15" t="s">
        <v>279</v>
      </c>
      <c r="D22" s="15" t="s">
        <v>1954</v>
      </c>
      <c r="E22" s="15" t="s">
        <v>1955</v>
      </c>
      <c r="F22" s="15" t="s">
        <v>1956</v>
      </c>
      <c r="G22" s="15" t="n">
        <v>3000</v>
      </c>
      <c r="H22" s="15" t="s">
        <v>166</v>
      </c>
    </row>
    <row r="23" customFormat="false" ht="15" hidden="false" customHeight="false" outlineLevel="0" collapsed="false">
      <c r="A23" s="15" t="s">
        <v>169</v>
      </c>
      <c r="B23" s="15" t="s">
        <v>1915</v>
      </c>
      <c r="C23" s="15" t="s">
        <v>279</v>
      </c>
      <c r="D23" s="15" t="s">
        <v>1954</v>
      </c>
      <c r="E23" s="15" t="s">
        <v>1957</v>
      </c>
      <c r="F23" s="15" t="s">
        <v>1958</v>
      </c>
      <c r="G23" s="15" t="n">
        <v>5000</v>
      </c>
      <c r="H23" s="15" t="s">
        <v>166</v>
      </c>
    </row>
    <row r="24" customFormat="false" ht="15" hidden="false" customHeight="false" outlineLevel="0" collapsed="false">
      <c r="A24" s="15" t="s">
        <v>169</v>
      </c>
      <c r="B24" s="15" t="s">
        <v>1915</v>
      </c>
      <c r="C24" s="15" t="s">
        <v>279</v>
      </c>
      <c r="D24" s="15" t="s">
        <v>1954</v>
      </c>
      <c r="E24" s="15" t="s">
        <v>1959</v>
      </c>
      <c r="F24" s="15" t="s">
        <v>1960</v>
      </c>
      <c r="G24" s="15" t="n">
        <v>5000</v>
      </c>
      <c r="H24" s="15" t="s">
        <v>166</v>
      </c>
    </row>
    <row r="25" customFormat="false" ht="15" hidden="false" customHeight="false" outlineLevel="0" collapsed="false">
      <c r="A25" s="15" t="s">
        <v>169</v>
      </c>
      <c r="B25" s="15" t="s">
        <v>1915</v>
      </c>
      <c r="C25" s="15" t="s">
        <v>1961</v>
      </c>
      <c r="D25" s="15" t="s">
        <v>1962</v>
      </c>
      <c r="E25" s="15" t="s">
        <v>1963</v>
      </c>
      <c r="F25" s="15" t="s">
        <v>1964</v>
      </c>
      <c r="G25" s="15" t="n">
        <v>500</v>
      </c>
      <c r="H25" s="15" t="s">
        <v>166</v>
      </c>
    </row>
    <row r="26" customFormat="false" ht="15" hidden="false" customHeight="false" outlineLevel="0" collapsed="false">
      <c r="A26" s="15" t="s">
        <v>169</v>
      </c>
      <c r="B26" s="15" t="s">
        <v>1915</v>
      </c>
      <c r="C26" s="15" t="s">
        <v>475</v>
      </c>
      <c r="D26" s="15" t="s">
        <v>1965</v>
      </c>
      <c r="E26" s="15" t="s">
        <v>1966</v>
      </c>
      <c r="F26" s="15" t="s">
        <v>1967</v>
      </c>
      <c r="G26" s="15" t="n">
        <v>6000</v>
      </c>
      <c r="H26" s="15" t="s">
        <v>166</v>
      </c>
    </row>
    <row r="27" customFormat="false" ht="15" hidden="false" customHeight="false" outlineLevel="0" collapsed="false">
      <c r="A27" s="15" t="s">
        <v>169</v>
      </c>
      <c r="B27" s="15" t="s">
        <v>1915</v>
      </c>
      <c r="C27" s="15" t="s">
        <v>475</v>
      </c>
      <c r="D27" s="15" t="s">
        <v>1965</v>
      </c>
      <c r="E27" s="15" t="s">
        <v>1968</v>
      </c>
      <c r="F27" s="15" t="s">
        <v>1969</v>
      </c>
      <c r="G27" s="15" t="n">
        <v>5000</v>
      </c>
      <c r="H27" s="15" t="s">
        <v>166</v>
      </c>
    </row>
    <row r="28" customFormat="false" ht="15" hidden="false" customHeight="false" outlineLevel="0" collapsed="false">
      <c r="A28" s="15" t="s">
        <v>174</v>
      </c>
      <c r="B28" s="15" t="s">
        <v>1910</v>
      </c>
      <c r="C28" s="15" t="s">
        <v>1970</v>
      </c>
      <c r="D28" s="15" t="s">
        <v>1971</v>
      </c>
      <c r="E28" s="15" t="s">
        <v>1972</v>
      </c>
      <c r="F28" s="15" t="s">
        <v>1973</v>
      </c>
      <c r="G28" s="15" t="n">
        <v>250</v>
      </c>
      <c r="H28" s="15"/>
    </row>
    <row r="29" customFormat="false" ht="15" hidden="false" customHeight="false" outlineLevel="0" collapsed="false">
      <c r="A29" s="15" t="s">
        <v>174</v>
      </c>
      <c r="B29" s="15" t="s">
        <v>1910</v>
      </c>
      <c r="C29" s="15" t="s">
        <v>1974</v>
      </c>
      <c r="D29" s="15" t="s">
        <v>1975</v>
      </c>
      <c r="E29" s="15" t="s">
        <v>1976</v>
      </c>
      <c r="F29" s="15" t="s">
        <v>1977</v>
      </c>
      <c r="G29" s="15" t="n">
        <v>250</v>
      </c>
      <c r="H29" s="15"/>
    </row>
    <row r="30" customFormat="false" ht="15" hidden="false" customHeight="false" outlineLevel="0" collapsed="false">
      <c r="A30" s="15" t="s">
        <v>174</v>
      </c>
      <c r="B30" s="15" t="s">
        <v>1910</v>
      </c>
      <c r="C30" s="15" t="s">
        <v>1921</v>
      </c>
      <c r="D30" s="15" t="s">
        <v>1922</v>
      </c>
      <c r="E30" s="15" t="s">
        <v>1978</v>
      </c>
      <c r="F30" s="15" t="s">
        <v>1979</v>
      </c>
      <c r="G30" s="15" t="n">
        <v>500</v>
      </c>
      <c r="H30" s="15"/>
    </row>
    <row r="31" customFormat="false" ht="15" hidden="false" customHeight="false" outlineLevel="0" collapsed="false">
      <c r="A31" s="15" t="s">
        <v>174</v>
      </c>
      <c r="B31" s="15" t="s">
        <v>1910</v>
      </c>
      <c r="C31" s="15" t="s">
        <v>1921</v>
      </c>
      <c r="D31" s="15" t="s">
        <v>1922</v>
      </c>
      <c r="E31" s="15" t="s">
        <v>1980</v>
      </c>
      <c r="F31" s="15" t="s">
        <v>1981</v>
      </c>
      <c r="G31" s="15" t="n">
        <v>500</v>
      </c>
      <c r="H31" s="15"/>
    </row>
    <row r="32" customFormat="false" ht="15" hidden="false" customHeight="false" outlineLevel="0" collapsed="false">
      <c r="A32" s="15" t="s">
        <v>174</v>
      </c>
      <c r="B32" s="15" t="s">
        <v>1915</v>
      </c>
      <c r="C32" s="15" t="s">
        <v>165</v>
      </c>
      <c r="D32" s="15" t="s">
        <v>1916</v>
      </c>
      <c r="E32" s="15" t="s">
        <v>1982</v>
      </c>
      <c r="F32" s="15" t="s">
        <v>1983</v>
      </c>
      <c r="G32" s="15" t="n">
        <v>250</v>
      </c>
      <c r="H32" s="15" t="s">
        <v>166</v>
      </c>
    </row>
    <row r="33" customFormat="false" ht="15" hidden="false" customHeight="false" outlineLevel="0" collapsed="false">
      <c r="A33" s="15" t="s">
        <v>178</v>
      </c>
      <c r="B33" s="15" t="s">
        <v>1910</v>
      </c>
      <c r="C33" s="15" t="s">
        <v>1921</v>
      </c>
      <c r="D33" s="15" t="s">
        <v>1922</v>
      </c>
      <c r="E33" s="15" t="s">
        <v>1984</v>
      </c>
      <c r="F33" s="15" t="s">
        <v>1985</v>
      </c>
      <c r="G33" s="15" t="n">
        <v>500</v>
      </c>
      <c r="H33" s="15"/>
    </row>
    <row r="34" customFormat="false" ht="15" hidden="false" customHeight="false" outlineLevel="0" collapsed="false">
      <c r="A34" s="15" t="s">
        <v>178</v>
      </c>
      <c r="B34" s="15" t="s">
        <v>1910</v>
      </c>
      <c r="C34" s="15" t="s">
        <v>1921</v>
      </c>
      <c r="D34" s="15" t="s">
        <v>1922</v>
      </c>
      <c r="E34" s="15" t="s">
        <v>1986</v>
      </c>
      <c r="F34" s="15" t="s">
        <v>1987</v>
      </c>
      <c r="G34" s="15" t="n">
        <v>250</v>
      </c>
      <c r="H34" s="15"/>
    </row>
    <row r="35" customFormat="false" ht="15" hidden="false" customHeight="false" outlineLevel="0" collapsed="false">
      <c r="A35" s="15" t="s">
        <v>178</v>
      </c>
      <c r="B35" s="15" t="s">
        <v>1915</v>
      </c>
      <c r="C35" s="15" t="s">
        <v>165</v>
      </c>
      <c r="D35" s="15" t="s">
        <v>1916</v>
      </c>
      <c r="E35" s="15" t="s">
        <v>1988</v>
      </c>
      <c r="F35" s="15" t="s">
        <v>1989</v>
      </c>
      <c r="G35" s="15" t="n">
        <v>500</v>
      </c>
      <c r="H35" s="15" t="s">
        <v>166</v>
      </c>
    </row>
    <row r="36" customFormat="false" ht="15" hidden="false" customHeight="false" outlineLevel="0" collapsed="false">
      <c r="A36" s="15" t="s">
        <v>178</v>
      </c>
      <c r="B36" s="15" t="s">
        <v>1915</v>
      </c>
      <c r="C36" s="15" t="s">
        <v>165</v>
      </c>
      <c r="D36" s="15" t="s">
        <v>1916</v>
      </c>
      <c r="E36" s="15" t="s">
        <v>1990</v>
      </c>
      <c r="F36" s="15" t="s">
        <v>1991</v>
      </c>
      <c r="G36" s="15" t="n">
        <v>500</v>
      </c>
      <c r="H36" s="15" t="s">
        <v>166</v>
      </c>
    </row>
    <row r="37" customFormat="false" ht="15" hidden="false" customHeight="false" outlineLevel="0" collapsed="false">
      <c r="A37" s="15" t="s">
        <v>181</v>
      </c>
      <c r="B37" s="15" t="s">
        <v>1910</v>
      </c>
      <c r="C37" s="15" t="s">
        <v>1992</v>
      </c>
      <c r="D37" s="15" t="s">
        <v>1993</v>
      </c>
      <c r="E37" s="15" t="s">
        <v>1994</v>
      </c>
      <c r="F37" s="15" t="s">
        <v>1995</v>
      </c>
      <c r="G37" s="15" t="n">
        <v>250</v>
      </c>
      <c r="H37" s="15"/>
    </row>
    <row r="38" customFormat="false" ht="15" hidden="false" customHeight="false" outlineLevel="0" collapsed="false">
      <c r="A38" s="15" t="s">
        <v>181</v>
      </c>
      <c r="B38" s="15" t="s">
        <v>1910</v>
      </c>
      <c r="C38" s="15" t="s">
        <v>1992</v>
      </c>
      <c r="D38" s="15" t="s">
        <v>1993</v>
      </c>
      <c r="E38" s="15" t="s">
        <v>1996</v>
      </c>
      <c r="F38" s="15" t="s">
        <v>1995</v>
      </c>
      <c r="G38" s="15" t="n">
        <v>250</v>
      </c>
      <c r="H38" s="15"/>
    </row>
    <row r="39" customFormat="false" ht="15" hidden="false" customHeight="false" outlineLevel="0" collapsed="false">
      <c r="A39" s="15" t="s">
        <v>181</v>
      </c>
      <c r="B39" s="15" t="s">
        <v>1910</v>
      </c>
      <c r="C39" s="15" t="s">
        <v>1970</v>
      </c>
      <c r="D39" s="15" t="s">
        <v>1971</v>
      </c>
      <c r="E39" s="15" t="s">
        <v>1997</v>
      </c>
      <c r="F39" s="15" t="s">
        <v>1998</v>
      </c>
      <c r="G39" s="15" t="n">
        <v>250</v>
      </c>
      <c r="H39" s="15"/>
    </row>
    <row r="40" customFormat="false" ht="15" hidden="false" customHeight="false" outlineLevel="0" collapsed="false">
      <c r="A40" s="15" t="s">
        <v>181</v>
      </c>
      <c r="B40" s="15" t="s">
        <v>1910</v>
      </c>
      <c r="C40" s="15" t="s">
        <v>1970</v>
      </c>
      <c r="D40" s="15" t="s">
        <v>1971</v>
      </c>
      <c r="E40" s="15" t="s">
        <v>1999</v>
      </c>
      <c r="F40" s="15" t="s">
        <v>2000</v>
      </c>
      <c r="G40" s="15" t="n">
        <v>250</v>
      </c>
      <c r="H40" s="15"/>
    </row>
    <row r="41" customFormat="false" ht="15" hidden="false" customHeight="false" outlineLevel="0" collapsed="false">
      <c r="A41" s="15" t="s">
        <v>181</v>
      </c>
      <c r="B41" s="15" t="s">
        <v>1910</v>
      </c>
      <c r="C41" s="15" t="s">
        <v>1921</v>
      </c>
      <c r="D41" s="15" t="s">
        <v>1922</v>
      </c>
      <c r="E41" s="15" t="s">
        <v>2001</v>
      </c>
      <c r="F41" s="15" t="s">
        <v>2002</v>
      </c>
      <c r="G41" s="15" t="n">
        <v>250</v>
      </c>
      <c r="H41" s="15"/>
    </row>
    <row r="42" customFormat="false" ht="15" hidden="false" customHeight="false" outlineLevel="0" collapsed="false">
      <c r="A42" s="15" t="s">
        <v>181</v>
      </c>
      <c r="B42" s="15" t="s">
        <v>1910</v>
      </c>
      <c r="C42" s="15" t="s">
        <v>1921</v>
      </c>
      <c r="D42" s="15" t="s">
        <v>1922</v>
      </c>
      <c r="E42" s="15" t="s">
        <v>2003</v>
      </c>
      <c r="F42" s="15" t="s">
        <v>2004</v>
      </c>
      <c r="G42" s="15" t="n">
        <v>250</v>
      </c>
      <c r="H42" s="15"/>
    </row>
    <row r="43" customFormat="false" ht="15" hidden="false" customHeight="false" outlineLevel="0" collapsed="false">
      <c r="A43" s="15" t="s">
        <v>181</v>
      </c>
      <c r="B43" s="15" t="s">
        <v>1915</v>
      </c>
      <c r="C43" s="15" t="s">
        <v>165</v>
      </c>
      <c r="D43" s="15" t="s">
        <v>1916</v>
      </c>
      <c r="E43" s="15" t="s">
        <v>2005</v>
      </c>
      <c r="F43" s="15" t="s">
        <v>2006</v>
      </c>
      <c r="G43" s="15" t="n">
        <v>500</v>
      </c>
      <c r="H43" s="15" t="s">
        <v>166</v>
      </c>
    </row>
    <row r="44" customFormat="false" ht="15" hidden="false" customHeight="false" outlineLevel="0" collapsed="false">
      <c r="A44" s="15" t="s">
        <v>185</v>
      </c>
      <c r="B44" s="15" t="s">
        <v>1910</v>
      </c>
      <c r="C44" s="15" t="s">
        <v>1921</v>
      </c>
      <c r="D44" s="15" t="s">
        <v>1922</v>
      </c>
      <c r="E44" s="15" t="s">
        <v>2007</v>
      </c>
      <c r="F44" s="15" t="s">
        <v>2008</v>
      </c>
      <c r="G44" s="15" t="n">
        <v>500</v>
      </c>
      <c r="H44" s="15"/>
    </row>
    <row r="45" customFormat="false" ht="15" hidden="false" customHeight="false" outlineLevel="0" collapsed="false">
      <c r="A45" s="15" t="s">
        <v>185</v>
      </c>
      <c r="B45" s="15" t="s">
        <v>1915</v>
      </c>
      <c r="C45" s="15" t="s">
        <v>165</v>
      </c>
      <c r="D45" s="15" t="s">
        <v>1916</v>
      </c>
      <c r="E45" s="15" t="s">
        <v>2009</v>
      </c>
      <c r="F45" s="15" t="s">
        <v>2010</v>
      </c>
      <c r="G45" s="15" t="n">
        <v>2000</v>
      </c>
      <c r="H45" s="15" t="s">
        <v>166</v>
      </c>
    </row>
    <row r="46" customFormat="false" ht="15" hidden="false" customHeight="false" outlineLevel="0" collapsed="false">
      <c r="A46" s="15" t="s">
        <v>185</v>
      </c>
      <c r="B46" s="15" t="s">
        <v>1915</v>
      </c>
      <c r="C46" s="15" t="s">
        <v>208</v>
      </c>
      <c r="D46" s="15" t="s">
        <v>1931</v>
      </c>
      <c r="E46" s="15" t="s">
        <v>2011</v>
      </c>
      <c r="F46" s="15" t="s">
        <v>2012</v>
      </c>
      <c r="G46" s="15" t="n">
        <v>20000</v>
      </c>
      <c r="H46" s="15" t="s">
        <v>166</v>
      </c>
    </row>
    <row r="47" customFormat="false" ht="15" hidden="false" customHeight="false" outlineLevel="0" collapsed="false">
      <c r="A47" s="15" t="s">
        <v>185</v>
      </c>
      <c r="B47" s="15" t="s">
        <v>1915</v>
      </c>
      <c r="C47" s="15" t="s">
        <v>260</v>
      </c>
      <c r="D47" s="15" t="s">
        <v>2013</v>
      </c>
      <c r="E47" s="15" t="s">
        <v>2014</v>
      </c>
      <c r="F47" s="15" t="s">
        <v>2015</v>
      </c>
      <c r="G47" s="15" t="n">
        <v>3000</v>
      </c>
      <c r="H47" s="15" t="s">
        <v>166</v>
      </c>
    </row>
    <row r="48" customFormat="false" ht="15" hidden="false" customHeight="false" outlineLevel="0" collapsed="false">
      <c r="A48" s="15" t="s">
        <v>185</v>
      </c>
      <c r="B48" s="15" t="s">
        <v>1915</v>
      </c>
      <c r="C48" s="15" t="s">
        <v>224</v>
      </c>
      <c r="D48" s="15" t="s">
        <v>2016</v>
      </c>
      <c r="E48" s="15" t="s">
        <v>2017</v>
      </c>
      <c r="F48" s="15" t="s">
        <v>2018</v>
      </c>
      <c r="G48" s="15" t="n">
        <v>5000</v>
      </c>
      <c r="H48" s="15" t="s">
        <v>166</v>
      </c>
    </row>
    <row r="49" customFormat="false" ht="15" hidden="false" customHeight="false" outlineLevel="0" collapsed="false">
      <c r="A49" s="15" t="s">
        <v>185</v>
      </c>
      <c r="B49" s="15" t="s">
        <v>1915</v>
      </c>
      <c r="C49" s="15" t="s">
        <v>224</v>
      </c>
      <c r="D49" s="15" t="s">
        <v>2016</v>
      </c>
      <c r="E49" s="15" t="s">
        <v>2019</v>
      </c>
      <c r="F49" s="15" t="s">
        <v>2020</v>
      </c>
      <c r="G49" s="15" t="n">
        <v>5000</v>
      </c>
      <c r="H49" s="15" t="s">
        <v>166</v>
      </c>
    </row>
    <row r="50" customFormat="false" ht="15" hidden="false" customHeight="false" outlineLevel="0" collapsed="false">
      <c r="A50" s="15" t="s">
        <v>185</v>
      </c>
      <c r="B50" s="15" t="s">
        <v>1915</v>
      </c>
      <c r="C50" s="15" t="s">
        <v>260</v>
      </c>
      <c r="D50" s="15" t="s">
        <v>2013</v>
      </c>
      <c r="E50" s="15" t="s">
        <v>2021</v>
      </c>
      <c r="F50" s="15" t="s">
        <v>2022</v>
      </c>
      <c r="G50" s="15" t="n">
        <v>1000</v>
      </c>
      <c r="H50" s="15" t="s">
        <v>166</v>
      </c>
    </row>
    <row r="51" customFormat="false" ht="15" hidden="false" customHeight="false" outlineLevel="0" collapsed="false">
      <c r="A51" s="15" t="s">
        <v>185</v>
      </c>
      <c r="B51" s="15" t="s">
        <v>1915</v>
      </c>
      <c r="C51" s="15" t="s">
        <v>279</v>
      </c>
      <c r="D51" s="15" t="s">
        <v>1954</v>
      </c>
      <c r="E51" s="15" t="s">
        <v>2023</v>
      </c>
      <c r="F51" s="15" t="s">
        <v>2024</v>
      </c>
      <c r="G51" s="15" t="n">
        <v>500</v>
      </c>
      <c r="H51" s="15" t="s">
        <v>166</v>
      </c>
    </row>
    <row r="52" customFormat="false" ht="15" hidden="false" customHeight="false" outlineLevel="0" collapsed="false">
      <c r="A52" s="15" t="s">
        <v>185</v>
      </c>
      <c r="B52" s="15" t="s">
        <v>1915</v>
      </c>
      <c r="C52" s="15" t="s">
        <v>366</v>
      </c>
      <c r="D52" s="15" t="s">
        <v>1949</v>
      </c>
      <c r="E52" s="15" t="s">
        <v>2025</v>
      </c>
      <c r="F52" s="15" t="s">
        <v>2026</v>
      </c>
      <c r="G52" s="15" t="n">
        <v>1000</v>
      </c>
      <c r="H52" s="15" t="s">
        <v>166</v>
      </c>
    </row>
    <row r="53" customFormat="false" ht="15" hidden="false" customHeight="false" outlineLevel="0" collapsed="false">
      <c r="A53" s="15" t="s">
        <v>185</v>
      </c>
      <c r="B53" s="15" t="s">
        <v>1915</v>
      </c>
      <c r="C53" s="15" t="s">
        <v>279</v>
      </c>
      <c r="D53" s="15" t="s">
        <v>1954</v>
      </c>
      <c r="E53" s="15" t="s">
        <v>2027</v>
      </c>
      <c r="F53" s="15" t="s">
        <v>2028</v>
      </c>
      <c r="G53" s="15" t="n">
        <v>10000</v>
      </c>
      <c r="H53" s="15" t="s">
        <v>166</v>
      </c>
    </row>
    <row r="54" customFormat="false" ht="15" hidden="false" customHeight="false" outlineLevel="0" collapsed="false">
      <c r="A54" s="15" t="s">
        <v>185</v>
      </c>
      <c r="B54" s="15" t="s">
        <v>1915</v>
      </c>
      <c r="C54" s="15" t="s">
        <v>552</v>
      </c>
      <c r="D54" s="15" t="s">
        <v>2029</v>
      </c>
      <c r="E54" s="15" t="s">
        <v>2030</v>
      </c>
      <c r="F54" s="15" t="s">
        <v>2031</v>
      </c>
      <c r="G54" s="15" t="n">
        <v>10000</v>
      </c>
      <c r="H54" s="15" t="s">
        <v>166</v>
      </c>
    </row>
    <row r="55" customFormat="false" ht="15" hidden="false" customHeight="false" outlineLevel="0" collapsed="false">
      <c r="A55" s="15" t="s">
        <v>185</v>
      </c>
      <c r="B55" s="15" t="s">
        <v>1915</v>
      </c>
      <c r="C55" s="15" t="s">
        <v>2032</v>
      </c>
      <c r="D55" s="15" t="s">
        <v>2033</v>
      </c>
      <c r="E55" s="15" t="s">
        <v>2034</v>
      </c>
      <c r="F55" s="15" t="s">
        <v>2035</v>
      </c>
      <c r="G55" s="15" t="n">
        <v>2000</v>
      </c>
      <c r="H55" s="15" t="s">
        <v>166</v>
      </c>
    </row>
    <row r="56" customFormat="false" ht="15" hidden="false" customHeight="false" outlineLevel="0" collapsed="false">
      <c r="A56" s="15" t="s">
        <v>185</v>
      </c>
      <c r="B56" s="15" t="s">
        <v>1915</v>
      </c>
      <c r="C56" s="15" t="s">
        <v>552</v>
      </c>
      <c r="D56" s="15" t="s">
        <v>2029</v>
      </c>
      <c r="E56" s="15" t="s">
        <v>2036</v>
      </c>
      <c r="F56" s="15" t="s">
        <v>2037</v>
      </c>
      <c r="G56" s="15" t="n">
        <v>5000</v>
      </c>
      <c r="H56" s="15" t="s">
        <v>166</v>
      </c>
    </row>
    <row r="57" customFormat="false" ht="15" hidden="false" customHeight="false" outlineLevel="0" collapsed="false">
      <c r="A57" s="15" t="s">
        <v>189</v>
      </c>
      <c r="B57" s="15" t="s">
        <v>1910</v>
      </c>
      <c r="C57" s="15" t="s">
        <v>1992</v>
      </c>
      <c r="D57" s="15" t="s">
        <v>1993</v>
      </c>
      <c r="E57" s="15" t="s">
        <v>2038</v>
      </c>
      <c r="F57" s="15" t="s">
        <v>2039</v>
      </c>
      <c r="G57" s="15" t="n">
        <v>250</v>
      </c>
      <c r="H57" s="15"/>
    </row>
    <row r="58" customFormat="false" ht="15" hidden="false" customHeight="false" outlineLevel="0" collapsed="false">
      <c r="A58" s="15" t="s">
        <v>189</v>
      </c>
      <c r="B58" s="15" t="s">
        <v>1910</v>
      </c>
      <c r="C58" s="15" t="s">
        <v>1970</v>
      </c>
      <c r="D58" s="15" t="s">
        <v>1971</v>
      </c>
      <c r="E58" s="15" t="s">
        <v>2040</v>
      </c>
      <c r="F58" s="15" t="s">
        <v>2041</v>
      </c>
      <c r="G58" s="15" t="n">
        <v>250</v>
      </c>
      <c r="H58" s="15"/>
    </row>
    <row r="59" customFormat="false" ht="15" hidden="false" customHeight="false" outlineLevel="0" collapsed="false">
      <c r="A59" s="15" t="s">
        <v>189</v>
      </c>
      <c r="B59" s="15" t="s">
        <v>1910</v>
      </c>
      <c r="C59" s="15" t="s">
        <v>1970</v>
      </c>
      <c r="D59" s="15" t="s">
        <v>1971</v>
      </c>
      <c r="E59" s="15" t="s">
        <v>2042</v>
      </c>
      <c r="F59" s="15" t="s">
        <v>2043</v>
      </c>
      <c r="G59" s="15" t="n">
        <v>250</v>
      </c>
      <c r="H59" s="15"/>
    </row>
    <row r="60" customFormat="false" ht="15" hidden="false" customHeight="false" outlineLevel="0" collapsed="false">
      <c r="A60" s="15" t="s">
        <v>189</v>
      </c>
      <c r="B60" s="15" t="s">
        <v>1910</v>
      </c>
      <c r="C60" s="15" t="s">
        <v>1974</v>
      </c>
      <c r="D60" s="15" t="s">
        <v>1975</v>
      </c>
      <c r="E60" s="15" t="s">
        <v>2044</v>
      </c>
      <c r="F60" s="15" t="s">
        <v>2043</v>
      </c>
      <c r="G60" s="15" t="n">
        <v>250</v>
      </c>
      <c r="H60" s="15"/>
    </row>
    <row r="61" customFormat="false" ht="15" hidden="false" customHeight="false" outlineLevel="0" collapsed="false">
      <c r="A61" s="15" t="s">
        <v>189</v>
      </c>
      <c r="B61" s="15" t="s">
        <v>1915</v>
      </c>
      <c r="C61" s="15" t="s">
        <v>165</v>
      </c>
      <c r="D61" s="15" t="s">
        <v>1916</v>
      </c>
      <c r="E61" s="15" t="s">
        <v>2045</v>
      </c>
      <c r="F61" s="15" t="s">
        <v>2046</v>
      </c>
      <c r="G61" s="15" t="n">
        <v>3000</v>
      </c>
      <c r="H61" s="15" t="s">
        <v>166</v>
      </c>
    </row>
    <row r="62" customFormat="false" ht="15" hidden="false" customHeight="false" outlineLevel="0" collapsed="false">
      <c r="A62" s="15" t="s">
        <v>189</v>
      </c>
      <c r="B62" s="15" t="s">
        <v>1915</v>
      </c>
      <c r="C62" s="15" t="s">
        <v>165</v>
      </c>
      <c r="D62" s="15" t="s">
        <v>1916</v>
      </c>
      <c r="E62" s="15" t="s">
        <v>2047</v>
      </c>
      <c r="F62" s="15" t="s">
        <v>2048</v>
      </c>
      <c r="G62" s="15" t="n">
        <v>3000</v>
      </c>
      <c r="H62" s="15" t="s">
        <v>166</v>
      </c>
    </row>
    <row r="63" customFormat="false" ht="15" hidden="false" customHeight="false" outlineLevel="0" collapsed="false">
      <c r="A63" s="15" t="s">
        <v>189</v>
      </c>
      <c r="B63" s="15" t="s">
        <v>1915</v>
      </c>
      <c r="C63" s="15" t="s">
        <v>165</v>
      </c>
      <c r="D63" s="15" t="s">
        <v>1916</v>
      </c>
      <c r="E63" s="15" t="s">
        <v>2049</v>
      </c>
      <c r="F63" s="15" t="s">
        <v>2050</v>
      </c>
      <c r="G63" s="15" t="n">
        <v>3000</v>
      </c>
      <c r="H63" s="15" t="s">
        <v>166</v>
      </c>
    </row>
    <row r="64" customFormat="false" ht="15" hidden="false" customHeight="false" outlineLevel="0" collapsed="false">
      <c r="A64" s="15" t="s">
        <v>193</v>
      </c>
      <c r="B64" s="15" t="s">
        <v>1910</v>
      </c>
      <c r="C64" s="15" t="s">
        <v>1992</v>
      </c>
      <c r="D64" s="15" t="s">
        <v>1993</v>
      </c>
      <c r="E64" s="15" t="s">
        <v>2051</v>
      </c>
      <c r="F64" s="15" t="s">
        <v>2052</v>
      </c>
      <c r="G64" s="15" t="n">
        <v>250</v>
      </c>
      <c r="H64" s="15"/>
    </row>
    <row r="65" customFormat="false" ht="15" hidden="false" customHeight="false" outlineLevel="0" collapsed="false">
      <c r="A65" s="15" t="s">
        <v>193</v>
      </c>
      <c r="B65" s="15" t="s">
        <v>1910</v>
      </c>
      <c r="C65" s="15" t="s">
        <v>1911</v>
      </c>
      <c r="D65" s="15" t="s">
        <v>1912</v>
      </c>
      <c r="E65" s="15" t="s">
        <v>2053</v>
      </c>
      <c r="F65" s="15" t="s">
        <v>2054</v>
      </c>
      <c r="G65" s="15" t="n">
        <v>250</v>
      </c>
      <c r="H65" s="15"/>
    </row>
    <row r="66" customFormat="false" ht="15" hidden="false" customHeight="false" outlineLevel="0" collapsed="false">
      <c r="A66" s="15" t="s">
        <v>193</v>
      </c>
      <c r="B66" s="15" t="s">
        <v>1910</v>
      </c>
      <c r="C66" s="15" t="s">
        <v>1974</v>
      </c>
      <c r="D66" s="15" t="s">
        <v>1975</v>
      </c>
      <c r="E66" s="15" t="s">
        <v>2055</v>
      </c>
      <c r="F66" s="15" t="s">
        <v>2054</v>
      </c>
      <c r="G66" s="15" t="n">
        <v>250</v>
      </c>
      <c r="H66" s="15"/>
    </row>
    <row r="67" customFormat="false" ht="15" hidden="false" customHeight="false" outlineLevel="0" collapsed="false">
      <c r="A67" s="15" t="s">
        <v>193</v>
      </c>
      <c r="B67" s="15" t="s">
        <v>1915</v>
      </c>
      <c r="C67" s="15" t="s">
        <v>165</v>
      </c>
      <c r="D67" s="15" t="s">
        <v>1916</v>
      </c>
      <c r="E67" s="15" t="s">
        <v>2056</v>
      </c>
      <c r="F67" s="15" t="s">
        <v>2057</v>
      </c>
      <c r="G67" s="15" t="n">
        <v>500</v>
      </c>
      <c r="H67" s="15" t="s">
        <v>195</v>
      </c>
    </row>
    <row r="68" customFormat="false" ht="15" hidden="false" customHeight="false" outlineLevel="0" collapsed="false">
      <c r="A68" s="15" t="s">
        <v>199</v>
      </c>
      <c r="B68" s="15" t="s">
        <v>1910</v>
      </c>
      <c r="C68" s="15" t="s">
        <v>1970</v>
      </c>
      <c r="D68" s="15" t="s">
        <v>1971</v>
      </c>
      <c r="E68" s="15" t="s">
        <v>2058</v>
      </c>
      <c r="F68" s="15" t="s">
        <v>2052</v>
      </c>
      <c r="G68" s="15" t="n">
        <v>250</v>
      </c>
      <c r="H68" s="15"/>
    </row>
    <row r="69" customFormat="false" ht="15" hidden="false" customHeight="false" outlineLevel="0" collapsed="false">
      <c r="A69" s="15" t="s">
        <v>199</v>
      </c>
      <c r="B69" s="15" t="s">
        <v>1915</v>
      </c>
      <c r="C69" s="15" t="s">
        <v>208</v>
      </c>
      <c r="D69" s="15" t="s">
        <v>1931</v>
      </c>
      <c r="E69" s="15" t="s">
        <v>2059</v>
      </c>
      <c r="F69" s="15" t="s">
        <v>2060</v>
      </c>
      <c r="G69" s="15" t="n">
        <v>5000</v>
      </c>
      <c r="H69" s="15" t="s">
        <v>225</v>
      </c>
    </row>
    <row r="70" customFormat="false" ht="15" hidden="false" customHeight="false" outlineLevel="0" collapsed="false">
      <c r="A70" s="15" t="s">
        <v>199</v>
      </c>
      <c r="B70" s="15" t="s">
        <v>1915</v>
      </c>
      <c r="C70" s="15" t="s">
        <v>593</v>
      </c>
      <c r="D70" s="15" t="s">
        <v>2061</v>
      </c>
      <c r="E70" s="15" t="s">
        <v>2062</v>
      </c>
      <c r="F70" s="15" t="s">
        <v>2063</v>
      </c>
      <c r="G70" s="15" t="n">
        <v>1000</v>
      </c>
      <c r="H70" s="15" t="s">
        <v>166</v>
      </c>
    </row>
    <row r="71" customFormat="false" ht="15" hidden="false" customHeight="false" outlineLevel="0" collapsed="false">
      <c r="A71" s="15" t="s">
        <v>204</v>
      </c>
      <c r="B71" s="15" t="s">
        <v>1910</v>
      </c>
      <c r="C71" s="15" t="s">
        <v>1921</v>
      </c>
      <c r="D71" s="15" t="s">
        <v>1922</v>
      </c>
      <c r="E71" s="15" t="s">
        <v>2064</v>
      </c>
      <c r="F71" s="15" t="s">
        <v>2065</v>
      </c>
      <c r="G71" s="15" t="n">
        <v>500</v>
      </c>
      <c r="H71" s="15"/>
    </row>
    <row r="72" customFormat="false" ht="15" hidden="false" customHeight="false" outlineLevel="0" collapsed="false">
      <c r="A72" s="15" t="s">
        <v>204</v>
      </c>
      <c r="B72" s="15" t="s">
        <v>1915</v>
      </c>
      <c r="C72" s="15" t="s">
        <v>208</v>
      </c>
      <c r="D72" s="15" t="s">
        <v>1931</v>
      </c>
      <c r="E72" s="15" t="s">
        <v>2066</v>
      </c>
      <c r="F72" s="15" t="s">
        <v>2060</v>
      </c>
      <c r="G72" s="15" t="n">
        <v>2000</v>
      </c>
      <c r="H72" s="15" t="s">
        <v>166</v>
      </c>
    </row>
    <row r="73" customFormat="false" ht="15" hidden="false" customHeight="false" outlineLevel="0" collapsed="false">
      <c r="A73" s="15" t="s">
        <v>204</v>
      </c>
      <c r="B73" s="15" t="s">
        <v>1915</v>
      </c>
      <c r="C73" s="15" t="s">
        <v>593</v>
      </c>
      <c r="D73" s="15" t="s">
        <v>2061</v>
      </c>
      <c r="E73" s="15" t="s">
        <v>2067</v>
      </c>
      <c r="F73" s="15" t="s">
        <v>2068</v>
      </c>
      <c r="G73" s="15" t="n">
        <v>500</v>
      </c>
      <c r="H73" s="15" t="s">
        <v>166</v>
      </c>
    </row>
    <row r="74" customFormat="false" ht="15" hidden="false" customHeight="false" outlineLevel="0" collapsed="false">
      <c r="A74" s="15" t="s">
        <v>207</v>
      </c>
      <c r="B74" s="15" t="s">
        <v>1910</v>
      </c>
      <c r="C74" s="15" t="s">
        <v>2069</v>
      </c>
      <c r="D74" s="15" t="s">
        <v>2070</v>
      </c>
      <c r="E74" s="15" t="s">
        <v>2071</v>
      </c>
      <c r="F74" s="15" t="s">
        <v>2072</v>
      </c>
      <c r="G74" s="15" t="n">
        <v>250</v>
      </c>
      <c r="H74" s="15"/>
    </row>
    <row r="75" customFormat="false" ht="15" hidden="false" customHeight="false" outlineLevel="0" collapsed="false">
      <c r="A75" s="15" t="s">
        <v>207</v>
      </c>
      <c r="B75" s="15" t="s">
        <v>1910</v>
      </c>
      <c r="C75" s="15" t="s">
        <v>2069</v>
      </c>
      <c r="D75" s="15" t="s">
        <v>2070</v>
      </c>
      <c r="E75" s="15" t="s">
        <v>2073</v>
      </c>
      <c r="F75" s="15" t="s">
        <v>2072</v>
      </c>
      <c r="G75" s="15" t="n">
        <v>250</v>
      </c>
      <c r="H75" s="15"/>
    </row>
    <row r="76" customFormat="false" ht="15" hidden="false" customHeight="false" outlineLevel="0" collapsed="false">
      <c r="A76" s="15" t="s">
        <v>207</v>
      </c>
      <c r="B76" s="15" t="s">
        <v>1915</v>
      </c>
      <c r="C76" s="15" t="s">
        <v>208</v>
      </c>
      <c r="D76" s="15" t="s">
        <v>1931</v>
      </c>
      <c r="E76" s="15" t="s">
        <v>2074</v>
      </c>
      <c r="F76" s="15" t="s">
        <v>2075</v>
      </c>
      <c r="G76" s="15" t="n">
        <v>250</v>
      </c>
      <c r="H76" s="15" t="s">
        <v>166</v>
      </c>
    </row>
    <row r="77" customFormat="false" ht="15" hidden="false" customHeight="false" outlineLevel="0" collapsed="false">
      <c r="A77" s="15" t="s">
        <v>207</v>
      </c>
      <c r="B77" s="15" t="s">
        <v>1915</v>
      </c>
      <c r="C77" s="15" t="s">
        <v>208</v>
      </c>
      <c r="D77" s="15" t="s">
        <v>1931</v>
      </c>
      <c r="E77" s="15" t="s">
        <v>2076</v>
      </c>
      <c r="F77" s="15" t="s">
        <v>2077</v>
      </c>
      <c r="G77" s="15" t="n">
        <v>250</v>
      </c>
      <c r="H77" s="15" t="s">
        <v>166</v>
      </c>
    </row>
    <row r="78" customFormat="false" ht="15" hidden="false" customHeight="false" outlineLevel="0" collapsed="false">
      <c r="A78" s="15" t="s">
        <v>211</v>
      </c>
      <c r="B78" s="15" t="s">
        <v>1910</v>
      </c>
      <c r="C78" s="15" t="s">
        <v>1970</v>
      </c>
      <c r="D78" s="15" t="s">
        <v>1971</v>
      </c>
      <c r="E78" s="15" t="s">
        <v>2078</v>
      </c>
      <c r="F78" s="15" t="s">
        <v>2079</v>
      </c>
      <c r="G78" s="15" t="n">
        <v>250</v>
      </c>
      <c r="H78" s="15"/>
    </row>
    <row r="79" customFormat="false" ht="15" hidden="false" customHeight="false" outlineLevel="0" collapsed="false">
      <c r="A79" s="15" t="s">
        <v>211</v>
      </c>
      <c r="B79" s="15" t="s">
        <v>1910</v>
      </c>
      <c r="C79" s="15" t="s">
        <v>1921</v>
      </c>
      <c r="D79" s="15" t="s">
        <v>1922</v>
      </c>
      <c r="E79" s="15" t="s">
        <v>2080</v>
      </c>
      <c r="F79" s="15" t="s">
        <v>2081</v>
      </c>
      <c r="G79" s="15" t="n">
        <v>250</v>
      </c>
      <c r="H79" s="15"/>
    </row>
    <row r="80" customFormat="false" ht="15" hidden="false" customHeight="false" outlineLevel="0" collapsed="false">
      <c r="A80" s="15" t="s">
        <v>211</v>
      </c>
      <c r="B80" s="15" t="s">
        <v>1915</v>
      </c>
      <c r="C80" s="15" t="s">
        <v>208</v>
      </c>
      <c r="D80" s="15" t="s">
        <v>1931</v>
      </c>
      <c r="E80" s="15" t="s">
        <v>2082</v>
      </c>
      <c r="F80" s="15" t="s">
        <v>2083</v>
      </c>
      <c r="G80" s="15" t="n">
        <v>250</v>
      </c>
      <c r="H80" s="15" t="s">
        <v>166</v>
      </c>
    </row>
    <row r="81" customFormat="false" ht="15" hidden="false" customHeight="false" outlineLevel="0" collapsed="false">
      <c r="A81" s="15" t="s">
        <v>211</v>
      </c>
      <c r="B81" s="15" t="s">
        <v>1915</v>
      </c>
      <c r="C81" s="15" t="s">
        <v>208</v>
      </c>
      <c r="D81" s="15" t="s">
        <v>1931</v>
      </c>
      <c r="E81" s="15" t="s">
        <v>2084</v>
      </c>
      <c r="F81" s="15" t="s">
        <v>2085</v>
      </c>
      <c r="G81" s="15" t="n">
        <v>250</v>
      </c>
      <c r="H81" s="15" t="s">
        <v>166</v>
      </c>
    </row>
    <row r="82" customFormat="false" ht="15" hidden="false" customHeight="false" outlineLevel="0" collapsed="false">
      <c r="A82" s="15" t="s">
        <v>211</v>
      </c>
      <c r="B82" s="15" t="s">
        <v>1915</v>
      </c>
      <c r="C82" s="15" t="s">
        <v>208</v>
      </c>
      <c r="D82" s="15" t="s">
        <v>1931</v>
      </c>
      <c r="E82" s="15" t="s">
        <v>2086</v>
      </c>
      <c r="F82" s="15" t="s">
        <v>2087</v>
      </c>
      <c r="G82" s="15" t="n">
        <v>250</v>
      </c>
      <c r="H82" s="15" t="s">
        <v>166</v>
      </c>
    </row>
    <row r="83" customFormat="false" ht="15" hidden="false" customHeight="false" outlineLevel="0" collapsed="false">
      <c r="A83" s="15" t="s">
        <v>211</v>
      </c>
      <c r="B83" s="15" t="s">
        <v>1915</v>
      </c>
      <c r="C83" s="15" t="s">
        <v>208</v>
      </c>
      <c r="D83" s="15" t="s">
        <v>1931</v>
      </c>
      <c r="E83" s="15" t="s">
        <v>2088</v>
      </c>
      <c r="F83" s="15" t="s">
        <v>2089</v>
      </c>
      <c r="G83" s="15" t="n">
        <v>250</v>
      </c>
      <c r="H83" s="15" t="s">
        <v>166</v>
      </c>
    </row>
    <row r="84" customFormat="false" ht="15" hidden="false" customHeight="false" outlineLevel="0" collapsed="false">
      <c r="A84" s="15" t="s">
        <v>211</v>
      </c>
      <c r="B84" s="15" t="s">
        <v>1915</v>
      </c>
      <c r="C84" s="15" t="s">
        <v>279</v>
      </c>
      <c r="D84" s="15" t="s">
        <v>1954</v>
      </c>
      <c r="E84" s="15" t="s">
        <v>2090</v>
      </c>
      <c r="F84" s="15" t="s">
        <v>2091</v>
      </c>
      <c r="G84" s="15" t="n">
        <v>250</v>
      </c>
      <c r="H84" s="15" t="s">
        <v>166</v>
      </c>
    </row>
    <row r="85" customFormat="false" ht="15" hidden="false" customHeight="false" outlineLevel="0" collapsed="false">
      <c r="A85" s="15" t="s">
        <v>211</v>
      </c>
      <c r="B85" s="15" t="s">
        <v>1915</v>
      </c>
      <c r="C85" s="15" t="s">
        <v>279</v>
      </c>
      <c r="D85" s="15" t="s">
        <v>1954</v>
      </c>
      <c r="E85" s="15" t="s">
        <v>2092</v>
      </c>
      <c r="F85" s="15" t="s">
        <v>2093</v>
      </c>
      <c r="G85" s="15" t="n">
        <v>250</v>
      </c>
      <c r="H85" s="15" t="s">
        <v>166</v>
      </c>
    </row>
    <row r="86" customFormat="false" ht="15" hidden="false" customHeight="false" outlineLevel="0" collapsed="false">
      <c r="A86" s="15" t="s">
        <v>211</v>
      </c>
      <c r="B86" s="15" t="s">
        <v>1915</v>
      </c>
      <c r="C86" s="15" t="s">
        <v>475</v>
      </c>
      <c r="D86" s="15" t="s">
        <v>1965</v>
      </c>
      <c r="E86" s="15" t="s">
        <v>2094</v>
      </c>
      <c r="F86" s="15" t="s">
        <v>2095</v>
      </c>
      <c r="G86" s="15" t="n">
        <v>250</v>
      </c>
      <c r="H86" s="15" t="s">
        <v>225</v>
      </c>
    </row>
    <row r="87" customFormat="false" ht="15" hidden="false" customHeight="false" outlineLevel="0" collapsed="false">
      <c r="A87" s="15" t="s">
        <v>216</v>
      </c>
      <c r="B87" s="15" t="s">
        <v>1910</v>
      </c>
      <c r="C87" s="15" t="s">
        <v>1992</v>
      </c>
      <c r="D87" s="15" t="s">
        <v>1993</v>
      </c>
      <c r="E87" s="15" t="s">
        <v>2096</v>
      </c>
      <c r="F87" s="15" t="s">
        <v>2097</v>
      </c>
      <c r="G87" s="15" t="n">
        <v>250</v>
      </c>
      <c r="H87" s="15"/>
    </row>
    <row r="88" customFormat="false" ht="15" hidden="false" customHeight="false" outlineLevel="0" collapsed="false">
      <c r="A88" s="15" t="s">
        <v>216</v>
      </c>
      <c r="B88" s="15" t="s">
        <v>1910</v>
      </c>
      <c r="C88" s="15" t="s">
        <v>1992</v>
      </c>
      <c r="D88" s="15" t="s">
        <v>1993</v>
      </c>
      <c r="E88" s="15" t="s">
        <v>2098</v>
      </c>
      <c r="F88" s="15" t="s">
        <v>2052</v>
      </c>
      <c r="G88" s="15" t="n">
        <v>250</v>
      </c>
      <c r="H88" s="15"/>
    </row>
    <row r="89" customFormat="false" ht="15" hidden="false" customHeight="false" outlineLevel="0" collapsed="false">
      <c r="A89" s="15" t="s">
        <v>216</v>
      </c>
      <c r="B89" s="15" t="s">
        <v>1910</v>
      </c>
      <c r="C89" s="15" t="s">
        <v>1911</v>
      </c>
      <c r="D89" s="15" t="s">
        <v>1912</v>
      </c>
      <c r="E89" s="15" t="s">
        <v>2099</v>
      </c>
      <c r="F89" s="15" t="s">
        <v>2100</v>
      </c>
      <c r="G89" s="15" t="n">
        <v>250</v>
      </c>
      <c r="H89" s="15"/>
    </row>
    <row r="90" customFormat="false" ht="15" hidden="false" customHeight="false" outlineLevel="0" collapsed="false">
      <c r="A90" s="15" t="s">
        <v>216</v>
      </c>
      <c r="B90" s="15" t="s">
        <v>1910</v>
      </c>
      <c r="C90" s="15" t="s">
        <v>1974</v>
      </c>
      <c r="D90" s="15" t="s">
        <v>1975</v>
      </c>
      <c r="E90" s="15" t="s">
        <v>2101</v>
      </c>
      <c r="F90" s="15" t="s">
        <v>2100</v>
      </c>
      <c r="G90" s="15" t="n">
        <v>250</v>
      </c>
      <c r="H90" s="15"/>
    </row>
    <row r="91" customFormat="false" ht="15" hidden="false" customHeight="false" outlineLevel="0" collapsed="false">
      <c r="A91" s="15" t="s">
        <v>216</v>
      </c>
      <c r="B91" s="15" t="s">
        <v>1915</v>
      </c>
      <c r="C91" s="15" t="s">
        <v>208</v>
      </c>
      <c r="D91" s="15" t="s">
        <v>1931</v>
      </c>
      <c r="E91" s="15" t="s">
        <v>2102</v>
      </c>
      <c r="F91" s="15" t="s">
        <v>2103</v>
      </c>
      <c r="G91" s="15" t="n">
        <v>500</v>
      </c>
      <c r="H91" s="15" t="s">
        <v>166</v>
      </c>
    </row>
    <row r="92" customFormat="false" ht="15" hidden="false" customHeight="false" outlineLevel="0" collapsed="false">
      <c r="A92" s="15" t="s">
        <v>216</v>
      </c>
      <c r="B92" s="15" t="s">
        <v>1915</v>
      </c>
      <c r="C92" s="15" t="s">
        <v>208</v>
      </c>
      <c r="D92" s="15" t="s">
        <v>1931</v>
      </c>
      <c r="E92" s="15" t="s">
        <v>2104</v>
      </c>
      <c r="F92" s="15" t="s">
        <v>2105</v>
      </c>
      <c r="G92" s="15" t="n">
        <v>2000</v>
      </c>
      <c r="H92" s="15" t="s">
        <v>166</v>
      </c>
    </row>
    <row r="93" customFormat="false" ht="15" hidden="false" customHeight="false" outlineLevel="0" collapsed="false">
      <c r="A93" s="15" t="s">
        <v>216</v>
      </c>
      <c r="B93" s="15" t="s">
        <v>1915</v>
      </c>
      <c r="C93" s="15" t="s">
        <v>165</v>
      </c>
      <c r="D93" s="15" t="s">
        <v>1916</v>
      </c>
      <c r="E93" s="15" t="s">
        <v>2106</v>
      </c>
      <c r="F93" s="15" t="s">
        <v>2107</v>
      </c>
      <c r="G93" s="15" t="n">
        <v>1000</v>
      </c>
      <c r="H93" s="15" t="s">
        <v>166</v>
      </c>
    </row>
    <row r="94" customFormat="false" ht="15" hidden="false" customHeight="false" outlineLevel="0" collapsed="false">
      <c r="A94" s="15" t="s">
        <v>216</v>
      </c>
      <c r="B94" s="15" t="s">
        <v>1915</v>
      </c>
      <c r="C94" s="15" t="s">
        <v>279</v>
      </c>
      <c r="D94" s="15" t="s">
        <v>1954</v>
      </c>
      <c r="E94" s="15" t="s">
        <v>2108</v>
      </c>
      <c r="F94" s="15" t="s">
        <v>2109</v>
      </c>
      <c r="G94" s="15" t="n">
        <v>3000</v>
      </c>
      <c r="H94" s="15" t="s">
        <v>166</v>
      </c>
    </row>
    <row r="95" customFormat="false" ht="15" hidden="false" customHeight="false" outlineLevel="0" collapsed="false">
      <c r="A95" s="15" t="s">
        <v>216</v>
      </c>
      <c r="B95" s="15" t="s">
        <v>1915</v>
      </c>
      <c r="C95" s="15" t="s">
        <v>475</v>
      </c>
      <c r="D95" s="15" t="s">
        <v>1965</v>
      </c>
      <c r="E95" s="15" t="s">
        <v>2110</v>
      </c>
      <c r="F95" s="15" t="s">
        <v>2111</v>
      </c>
      <c r="G95" s="15" t="n">
        <v>10000</v>
      </c>
      <c r="H95" s="15" t="s">
        <v>166</v>
      </c>
    </row>
    <row r="96" customFormat="false" ht="15" hidden="false" customHeight="false" outlineLevel="0" collapsed="false">
      <c r="A96" s="15" t="s">
        <v>216</v>
      </c>
      <c r="B96" s="15" t="s">
        <v>1915</v>
      </c>
      <c r="C96" s="15" t="s">
        <v>475</v>
      </c>
      <c r="D96" s="15" t="s">
        <v>1965</v>
      </c>
      <c r="E96" s="15" t="s">
        <v>2112</v>
      </c>
      <c r="F96" s="15" t="s">
        <v>2113</v>
      </c>
      <c r="G96" s="15" t="n">
        <v>10000</v>
      </c>
      <c r="H96" s="15" t="s">
        <v>166</v>
      </c>
    </row>
    <row r="97" customFormat="false" ht="15" hidden="false" customHeight="false" outlineLevel="0" collapsed="false">
      <c r="A97" s="15" t="s">
        <v>216</v>
      </c>
      <c r="B97" s="15" t="s">
        <v>1915</v>
      </c>
      <c r="C97" s="15" t="s">
        <v>475</v>
      </c>
      <c r="D97" s="15" t="s">
        <v>1965</v>
      </c>
      <c r="E97" s="15" t="s">
        <v>2114</v>
      </c>
      <c r="F97" s="15" t="s">
        <v>2100</v>
      </c>
      <c r="G97" s="15" t="n">
        <v>10000</v>
      </c>
      <c r="H97" s="15" t="s">
        <v>166</v>
      </c>
    </row>
    <row r="98" customFormat="false" ht="15" hidden="false" customHeight="false" outlineLevel="0" collapsed="false">
      <c r="A98" s="15" t="s">
        <v>220</v>
      </c>
      <c r="B98" s="15" t="s">
        <v>1910</v>
      </c>
      <c r="C98" s="15" t="s">
        <v>1921</v>
      </c>
      <c r="D98" s="15" t="s">
        <v>1922</v>
      </c>
      <c r="E98" s="15" t="s">
        <v>2115</v>
      </c>
      <c r="F98" s="15" t="s">
        <v>2116</v>
      </c>
      <c r="G98" s="15" t="n">
        <v>500</v>
      </c>
      <c r="H98" s="15"/>
    </row>
    <row r="99" customFormat="false" ht="15" hidden="false" customHeight="false" outlineLevel="0" collapsed="false">
      <c r="A99" s="15" t="s">
        <v>220</v>
      </c>
      <c r="B99" s="15" t="s">
        <v>1915</v>
      </c>
      <c r="C99" s="15" t="s">
        <v>208</v>
      </c>
      <c r="D99" s="15" t="s">
        <v>1931</v>
      </c>
      <c r="E99" s="15" t="s">
        <v>2117</v>
      </c>
      <c r="F99" s="15" t="s">
        <v>2118</v>
      </c>
      <c r="G99" s="15" t="n">
        <v>1000</v>
      </c>
      <c r="H99" s="15" t="s">
        <v>166</v>
      </c>
    </row>
    <row r="100" customFormat="false" ht="15" hidden="false" customHeight="false" outlineLevel="0" collapsed="false">
      <c r="A100" s="15" t="s">
        <v>220</v>
      </c>
      <c r="B100" s="15" t="s">
        <v>1915</v>
      </c>
      <c r="C100" s="15" t="s">
        <v>593</v>
      </c>
      <c r="D100" s="15" t="s">
        <v>2061</v>
      </c>
      <c r="E100" s="15" t="s">
        <v>2119</v>
      </c>
      <c r="F100" s="15" t="s">
        <v>2120</v>
      </c>
      <c r="G100" s="15" t="n">
        <v>10000</v>
      </c>
      <c r="H100" s="15" t="s">
        <v>166</v>
      </c>
    </row>
    <row r="101" customFormat="false" ht="15" hidden="false" customHeight="false" outlineLevel="0" collapsed="false">
      <c r="A101" s="15" t="s">
        <v>223</v>
      </c>
      <c r="B101" s="15" t="s">
        <v>1910</v>
      </c>
      <c r="C101" s="15" t="s">
        <v>1921</v>
      </c>
      <c r="D101" s="15" t="s">
        <v>1922</v>
      </c>
      <c r="E101" s="15" t="s">
        <v>2121</v>
      </c>
      <c r="F101" s="15" t="s">
        <v>2122</v>
      </c>
      <c r="G101" s="15" t="n">
        <v>500</v>
      </c>
      <c r="H101" s="15"/>
    </row>
    <row r="102" customFormat="false" ht="15" hidden="false" customHeight="false" outlineLevel="0" collapsed="false">
      <c r="A102" s="15" t="s">
        <v>223</v>
      </c>
      <c r="B102" s="15" t="s">
        <v>1915</v>
      </c>
      <c r="C102" s="15" t="s">
        <v>224</v>
      </c>
      <c r="D102" s="15" t="s">
        <v>2016</v>
      </c>
      <c r="E102" s="15" t="s">
        <v>2123</v>
      </c>
      <c r="F102" s="15" t="s">
        <v>2124</v>
      </c>
      <c r="G102" s="15" t="n">
        <v>500</v>
      </c>
      <c r="H102" s="15" t="s">
        <v>225</v>
      </c>
    </row>
    <row r="103" customFormat="false" ht="15" hidden="false" customHeight="false" outlineLevel="0" collapsed="false">
      <c r="A103" s="15" t="s">
        <v>228</v>
      </c>
      <c r="B103" s="15" t="s">
        <v>1910</v>
      </c>
      <c r="C103" s="15" t="s">
        <v>1921</v>
      </c>
      <c r="D103" s="15" t="s">
        <v>1922</v>
      </c>
      <c r="E103" s="15" t="s">
        <v>2125</v>
      </c>
      <c r="F103" s="15" t="s">
        <v>2126</v>
      </c>
      <c r="G103" s="15" t="n">
        <v>500</v>
      </c>
      <c r="H103" s="15"/>
    </row>
    <row r="104" customFormat="false" ht="15" hidden="false" customHeight="false" outlineLevel="0" collapsed="false">
      <c r="A104" s="15" t="s">
        <v>228</v>
      </c>
      <c r="B104" s="15" t="s">
        <v>1910</v>
      </c>
      <c r="C104" s="15" t="s">
        <v>1921</v>
      </c>
      <c r="D104" s="15" t="s">
        <v>1922</v>
      </c>
      <c r="E104" s="15" t="s">
        <v>2127</v>
      </c>
      <c r="F104" s="15" t="s">
        <v>2128</v>
      </c>
      <c r="G104" s="15" t="n">
        <v>250</v>
      </c>
      <c r="H104" s="15"/>
    </row>
    <row r="105" customFormat="false" ht="15" hidden="false" customHeight="false" outlineLevel="0" collapsed="false">
      <c r="A105" s="15" t="s">
        <v>228</v>
      </c>
      <c r="B105" s="15" t="s">
        <v>1915</v>
      </c>
      <c r="C105" s="15" t="s">
        <v>224</v>
      </c>
      <c r="D105" s="15" t="s">
        <v>2016</v>
      </c>
      <c r="E105" s="15" t="s">
        <v>2129</v>
      </c>
      <c r="F105" s="15" t="s">
        <v>2050</v>
      </c>
      <c r="G105" s="15" t="n">
        <v>250</v>
      </c>
      <c r="H105" s="15" t="s">
        <v>166</v>
      </c>
    </row>
    <row r="106" customFormat="false" ht="15" hidden="false" customHeight="false" outlineLevel="0" collapsed="false">
      <c r="A106" s="15" t="s">
        <v>228</v>
      </c>
      <c r="B106" s="15" t="s">
        <v>1915</v>
      </c>
      <c r="C106" s="15" t="s">
        <v>475</v>
      </c>
      <c r="D106" s="15" t="s">
        <v>1965</v>
      </c>
      <c r="E106" s="15" t="s">
        <v>2130</v>
      </c>
      <c r="F106" s="15" t="s">
        <v>2131</v>
      </c>
      <c r="G106" s="15" t="n">
        <v>250</v>
      </c>
      <c r="H106" s="15" t="s">
        <v>166</v>
      </c>
    </row>
    <row r="107" customFormat="false" ht="15" hidden="false" customHeight="false" outlineLevel="0" collapsed="false">
      <c r="A107" s="15" t="s">
        <v>232</v>
      </c>
      <c r="B107" s="15" t="s">
        <v>1910</v>
      </c>
      <c r="C107" s="15" t="s">
        <v>1911</v>
      </c>
      <c r="D107" s="15" t="s">
        <v>1912</v>
      </c>
      <c r="E107" s="15" t="s">
        <v>2132</v>
      </c>
      <c r="F107" s="15" t="s">
        <v>2133</v>
      </c>
      <c r="G107" s="15" t="n">
        <v>250</v>
      </c>
      <c r="H107" s="15"/>
    </row>
    <row r="108" customFormat="false" ht="15" hidden="false" customHeight="false" outlineLevel="0" collapsed="false">
      <c r="A108" s="15" t="s">
        <v>232</v>
      </c>
      <c r="B108" s="15" t="s">
        <v>1910</v>
      </c>
      <c r="C108" s="15" t="s">
        <v>1911</v>
      </c>
      <c r="D108" s="15" t="s">
        <v>1912</v>
      </c>
      <c r="E108" s="15" t="s">
        <v>2134</v>
      </c>
      <c r="F108" s="15" t="s">
        <v>2135</v>
      </c>
      <c r="G108" s="15" t="n">
        <v>250</v>
      </c>
      <c r="H108" s="15"/>
    </row>
    <row r="109" customFormat="false" ht="15" hidden="false" customHeight="false" outlineLevel="0" collapsed="false">
      <c r="A109" s="15" t="s">
        <v>232</v>
      </c>
      <c r="B109" s="15" t="s">
        <v>1910</v>
      </c>
      <c r="C109" s="15" t="s">
        <v>1911</v>
      </c>
      <c r="D109" s="15" t="s">
        <v>1912</v>
      </c>
      <c r="E109" s="15" t="s">
        <v>2136</v>
      </c>
      <c r="F109" s="15" t="s">
        <v>2137</v>
      </c>
      <c r="G109" s="15" t="n">
        <v>250</v>
      </c>
      <c r="H109" s="15"/>
    </row>
    <row r="110" customFormat="false" ht="15" hidden="false" customHeight="false" outlineLevel="0" collapsed="false">
      <c r="A110" s="15" t="s">
        <v>232</v>
      </c>
      <c r="B110" s="15" t="s">
        <v>1910</v>
      </c>
      <c r="C110" s="15" t="s">
        <v>2069</v>
      </c>
      <c r="D110" s="15" t="s">
        <v>2070</v>
      </c>
      <c r="E110" s="15" t="s">
        <v>2138</v>
      </c>
      <c r="F110" s="15" t="s">
        <v>2139</v>
      </c>
      <c r="G110" s="15" t="n">
        <v>250</v>
      </c>
      <c r="H110" s="15"/>
    </row>
    <row r="111" customFormat="false" ht="15" hidden="false" customHeight="false" outlineLevel="0" collapsed="false">
      <c r="A111" s="15" t="s">
        <v>232</v>
      </c>
      <c r="B111" s="15" t="s">
        <v>1910</v>
      </c>
      <c r="C111" s="15" t="s">
        <v>2069</v>
      </c>
      <c r="D111" s="15" t="s">
        <v>2070</v>
      </c>
      <c r="E111" s="15" t="s">
        <v>2140</v>
      </c>
      <c r="F111" s="15" t="s">
        <v>2141</v>
      </c>
      <c r="G111" s="15" t="n">
        <v>250</v>
      </c>
      <c r="H111" s="15"/>
    </row>
    <row r="112" customFormat="false" ht="15" hidden="false" customHeight="false" outlineLevel="0" collapsed="false">
      <c r="A112" s="15" t="s">
        <v>232</v>
      </c>
      <c r="B112" s="15" t="s">
        <v>1915</v>
      </c>
      <c r="C112" s="15" t="s">
        <v>208</v>
      </c>
      <c r="D112" s="15" t="s">
        <v>1931</v>
      </c>
      <c r="E112" s="15" t="s">
        <v>2142</v>
      </c>
      <c r="F112" s="15" t="s">
        <v>2143</v>
      </c>
      <c r="G112" s="15" t="n">
        <v>1000</v>
      </c>
      <c r="H112" s="15" t="s">
        <v>166</v>
      </c>
    </row>
    <row r="113" customFormat="false" ht="15" hidden="false" customHeight="false" outlineLevel="0" collapsed="false">
      <c r="A113" s="15" t="s">
        <v>232</v>
      </c>
      <c r="B113" s="15" t="s">
        <v>1915</v>
      </c>
      <c r="C113" s="15" t="s">
        <v>208</v>
      </c>
      <c r="D113" s="15" t="s">
        <v>1931</v>
      </c>
      <c r="E113" s="15" t="s">
        <v>2144</v>
      </c>
      <c r="F113" s="15" t="s">
        <v>2145</v>
      </c>
      <c r="G113" s="15" t="n">
        <v>2000</v>
      </c>
      <c r="H113" s="15" t="s">
        <v>166</v>
      </c>
    </row>
    <row r="114" customFormat="false" ht="15" hidden="false" customHeight="false" outlineLevel="0" collapsed="false">
      <c r="A114" s="15" t="s">
        <v>232</v>
      </c>
      <c r="B114" s="15" t="s">
        <v>1915</v>
      </c>
      <c r="C114" s="15" t="s">
        <v>208</v>
      </c>
      <c r="D114" s="15" t="s">
        <v>1931</v>
      </c>
      <c r="E114" s="15" t="s">
        <v>2146</v>
      </c>
      <c r="F114" s="15" t="s">
        <v>2147</v>
      </c>
      <c r="G114" s="15" t="n">
        <v>1000</v>
      </c>
      <c r="H114" s="15" t="s">
        <v>166</v>
      </c>
    </row>
    <row r="115" customFormat="false" ht="15" hidden="false" customHeight="false" outlineLevel="0" collapsed="false">
      <c r="A115" s="15" t="s">
        <v>232</v>
      </c>
      <c r="B115" s="15" t="s">
        <v>1915</v>
      </c>
      <c r="C115" s="15" t="s">
        <v>208</v>
      </c>
      <c r="D115" s="15" t="s">
        <v>1931</v>
      </c>
      <c r="E115" s="15" t="s">
        <v>2148</v>
      </c>
      <c r="F115" s="15" t="s">
        <v>2149</v>
      </c>
      <c r="G115" s="15" t="n">
        <v>10000</v>
      </c>
      <c r="H115" s="15" t="s">
        <v>166</v>
      </c>
    </row>
    <row r="116" customFormat="false" ht="15" hidden="false" customHeight="false" outlineLevel="0" collapsed="false">
      <c r="A116" s="15" t="s">
        <v>232</v>
      </c>
      <c r="B116" s="15" t="s">
        <v>1915</v>
      </c>
      <c r="C116" s="15" t="s">
        <v>208</v>
      </c>
      <c r="D116" s="15" t="s">
        <v>1931</v>
      </c>
      <c r="E116" s="15" t="s">
        <v>2150</v>
      </c>
      <c r="F116" s="15" t="s">
        <v>2151</v>
      </c>
      <c r="G116" s="15" t="n">
        <v>10000</v>
      </c>
      <c r="H116" s="15" t="s">
        <v>166</v>
      </c>
    </row>
    <row r="117" customFormat="false" ht="15" hidden="false" customHeight="false" outlineLevel="0" collapsed="false">
      <c r="A117" s="15" t="s">
        <v>232</v>
      </c>
      <c r="B117" s="15" t="s">
        <v>1915</v>
      </c>
      <c r="C117" s="15" t="s">
        <v>279</v>
      </c>
      <c r="D117" s="15" t="s">
        <v>1954</v>
      </c>
      <c r="E117" s="15" t="s">
        <v>2152</v>
      </c>
      <c r="F117" s="15" t="s">
        <v>2153</v>
      </c>
      <c r="G117" s="15" t="n">
        <v>10000</v>
      </c>
      <c r="H117" s="15" t="s">
        <v>225</v>
      </c>
    </row>
    <row r="118" customFormat="false" ht="15" hidden="false" customHeight="false" outlineLevel="0" collapsed="false">
      <c r="A118" s="15" t="s">
        <v>232</v>
      </c>
      <c r="B118" s="15" t="s">
        <v>1915</v>
      </c>
      <c r="C118" s="15" t="s">
        <v>279</v>
      </c>
      <c r="D118" s="15" t="s">
        <v>1954</v>
      </c>
      <c r="E118" s="15" t="s">
        <v>2154</v>
      </c>
      <c r="F118" s="15" t="s">
        <v>2153</v>
      </c>
      <c r="G118" s="15" t="n">
        <v>10000</v>
      </c>
      <c r="H118" s="15" t="s">
        <v>225</v>
      </c>
    </row>
    <row r="119" customFormat="false" ht="15" hidden="false" customHeight="false" outlineLevel="0" collapsed="false">
      <c r="A119" s="15" t="s">
        <v>232</v>
      </c>
      <c r="B119" s="15" t="s">
        <v>1915</v>
      </c>
      <c r="C119" s="15" t="s">
        <v>279</v>
      </c>
      <c r="D119" s="15" t="s">
        <v>1954</v>
      </c>
      <c r="E119" s="15" t="s">
        <v>2155</v>
      </c>
      <c r="F119" s="15" t="s">
        <v>2156</v>
      </c>
      <c r="G119" s="15" t="n">
        <v>500</v>
      </c>
      <c r="H119" s="15" t="s">
        <v>225</v>
      </c>
    </row>
    <row r="120" customFormat="false" ht="15" hidden="false" customHeight="false" outlineLevel="0" collapsed="false">
      <c r="A120" s="15" t="s">
        <v>232</v>
      </c>
      <c r="B120" s="15" t="s">
        <v>1915</v>
      </c>
      <c r="C120" s="15" t="s">
        <v>279</v>
      </c>
      <c r="D120" s="15" t="s">
        <v>1954</v>
      </c>
      <c r="E120" s="15" t="s">
        <v>2157</v>
      </c>
      <c r="F120" s="15" t="s">
        <v>2158</v>
      </c>
      <c r="G120" s="15" t="n">
        <v>10000</v>
      </c>
      <c r="H120" s="15" t="s">
        <v>225</v>
      </c>
    </row>
    <row r="121" customFormat="false" ht="15" hidden="false" customHeight="false" outlineLevel="0" collapsed="false">
      <c r="A121" s="15" t="s">
        <v>232</v>
      </c>
      <c r="B121" s="15" t="s">
        <v>1915</v>
      </c>
      <c r="C121" s="15" t="s">
        <v>279</v>
      </c>
      <c r="D121" s="15" t="s">
        <v>1954</v>
      </c>
      <c r="E121" s="15" t="s">
        <v>2159</v>
      </c>
      <c r="F121" s="15" t="s">
        <v>2160</v>
      </c>
      <c r="G121" s="15" t="n">
        <v>250</v>
      </c>
      <c r="H121" s="15" t="s">
        <v>225</v>
      </c>
    </row>
    <row r="122" customFormat="false" ht="15" hidden="false" customHeight="false" outlineLevel="0" collapsed="false">
      <c r="A122" s="15" t="s">
        <v>232</v>
      </c>
      <c r="B122" s="15" t="s">
        <v>1915</v>
      </c>
      <c r="C122" s="15" t="s">
        <v>279</v>
      </c>
      <c r="D122" s="15" t="s">
        <v>1954</v>
      </c>
      <c r="E122" s="15" t="s">
        <v>2161</v>
      </c>
      <c r="F122" s="15" t="s">
        <v>2162</v>
      </c>
      <c r="G122" s="15" t="n">
        <v>5000</v>
      </c>
      <c r="H122" s="15" t="s">
        <v>225</v>
      </c>
    </row>
    <row r="123" customFormat="false" ht="15" hidden="false" customHeight="false" outlineLevel="0" collapsed="false">
      <c r="A123" s="15" t="s">
        <v>232</v>
      </c>
      <c r="B123" s="15" t="s">
        <v>1915</v>
      </c>
      <c r="C123" s="15" t="s">
        <v>279</v>
      </c>
      <c r="D123" s="15" t="s">
        <v>1954</v>
      </c>
      <c r="E123" s="15" t="s">
        <v>2163</v>
      </c>
      <c r="F123" s="15" t="s">
        <v>2164</v>
      </c>
      <c r="G123" s="15" t="n">
        <v>5000</v>
      </c>
      <c r="H123" s="15" t="s">
        <v>225</v>
      </c>
    </row>
    <row r="124" customFormat="false" ht="15" hidden="false" customHeight="false" outlineLevel="0" collapsed="false">
      <c r="A124" s="15" t="s">
        <v>232</v>
      </c>
      <c r="B124" s="15" t="s">
        <v>1915</v>
      </c>
      <c r="C124" s="15" t="s">
        <v>475</v>
      </c>
      <c r="D124" s="15" t="s">
        <v>1965</v>
      </c>
      <c r="E124" s="15" t="s">
        <v>2165</v>
      </c>
      <c r="F124" s="15" t="s">
        <v>2166</v>
      </c>
      <c r="G124" s="15" t="n">
        <v>1000</v>
      </c>
      <c r="H124" s="15" t="s">
        <v>166</v>
      </c>
    </row>
    <row r="125" customFormat="false" ht="15" hidden="false" customHeight="false" outlineLevel="0" collapsed="false">
      <c r="A125" s="15" t="s">
        <v>232</v>
      </c>
      <c r="B125" s="15" t="s">
        <v>1915</v>
      </c>
      <c r="C125" s="15" t="s">
        <v>552</v>
      </c>
      <c r="D125" s="15" t="s">
        <v>2029</v>
      </c>
      <c r="E125" s="15" t="s">
        <v>2167</v>
      </c>
      <c r="F125" s="15" t="s">
        <v>2168</v>
      </c>
      <c r="G125" s="15" t="n">
        <v>250</v>
      </c>
      <c r="H125" s="15" t="s">
        <v>166</v>
      </c>
    </row>
    <row r="126" customFormat="false" ht="15" hidden="false" customHeight="false" outlineLevel="0" collapsed="false">
      <c r="A126" s="15" t="s">
        <v>237</v>
      </c>
      <c r="B126" s="15" t="s">
        <v>1910</v>
      </c>
      <c r="C126" s="15" t="s">
        <v>1992</v>
      </c>
      <c r="D126" s="15" t="s">
        <v>1993</v>
      </c>
      <c r="E126" s="15" t="s">
        <v>2169</v>
      </c>
      <c r="F126" s="15" t="s">
        <v>2097</v>
      </c>
      <c r="G126" s="15" t="n">
        <v>250</v>
      </c>
      <c r="H126" s="15"/>
    </row>
    <row r="127" customFormat="false" ht="15" hidden="false" customHeight="false" outlineLevel="0" collapsed="false">
      <c r="A127" s="15" t="s">
        <v>237</v>
      </c>
      <c r="B127" s="15" t="s">
        <v>1910</v>
      </c>
      <c r="C127" s="15" t="s">
        <v>1974</v>
      </c>
      <c r="D127" s="15" t="s">
        <v>1975</v>
      </c>
      <c r="E127" s="15" t="s">
        <v>2170</v>
      </c>
      <c r="F127" s="15" t="s">
        <v>2054</v>
      </c>
      <c r="G127" s="15" t="n">
        <v>250</v>
      </c>
      <c r="H127" s="15"/>
    </row>
    <row r="128" customFormat="false" ht="15" hidden="false" customHeight="false" outlineLevel="0" collapsed="false">
      <c r="A128" s="15" t="s">
        <v>237</v>
      </c>
      <c r="B128" s="15" t="s">
        <v>1915</v>
      </c>
      <c r="C128" s="15" t="s">
        <v>208</v>
      </c>
      <c r="D128" s="15" t="s">
        <v>1931</v>
      </c>
      <c r="E128" s="15" t="s">
        <v>2171</v>
      </c>
      <c r="F128" s="15" t="s">
        <v>2172</v>
      </c>
      <c r="G128" s="15" t="n">
        <v>1000</v>
      </c>
      <c r="H128" s="15" t="s">
        <v>195</v>
      </c>
    </row>
    <row r="129" customFormat="false" ht="15" hidden="false" customHeight="false" outlineLevel="0" collapsed="false">
      <c r="A129" s="15" t="s">
        <v>237</v>
      </c>
      <c r="B129" s="15" t="s">
        <v>1915</v>
      </c>
      <c r="C129" s="15" t="s">
        <v>208</v>
      </c>
      <c r="D129" s="15" t="s">
        <v>1931</v>
      </c>
      <c r="E129" s="15" t="s">
        <v>2173</v>
      </c>
      <c r="F129" s="15" t="s">
        <v>2174</v>
      </c>
      <c r="G129" s="15" t="n">
        <v>250</v>
      </c>
      <c r="H129" s="15" t="s">
        <v>195</v>
      </c>
    </row>
    <row r="130" customFormat="false" ht="15" hidden="false" customHeight="false" outlineLevel="0" collapsed="false">
      <c r="A130" s="15" t="s">
        <v>242</v>
      </c>
      <c r="B130" s="15" t="s">
        <v>1910</v>
      </c>
      <c r="C130" s="15" t="s">
        <v>1992</v>
      </c>
      <c r="D130" s="15" t="s">
        <v>1993</v>
      </c>
      <c r="E130" s="15" t="s">
        <v>2175</v>
      </c>
      <c r="F130" s="15" t="s">
        <v>2097</v>
      </c>
      <c r="G130" s="15" t="n">
        <v>250</v>
      </c>
      <c r="H130" s="15"/>
    </row>
    <row r="131" customFormat="false" ht="15" hidden="false" customHeight="false" outlineLevel="0" collapsed="false">
      <c r="A131" s="15" t="s">
        <v>242</v>
      </c>
      <c r="B131" s="15" t="s">
        <v>1915</v>
      </c>
      <c r="C131" s="15" t="s">
        <v>208</v>
      </c>
      <c r="D131" s="15" t="s">
        <v>1931</v>
      </c>
      <c r="E131" s="15" t="s">
        <v>2176</v>
      </c>
      <c r="F131" s="15" t="s">
        <v>2147</v>
      </c>
      <c r="G131" s="15" t="n">
        <v>1000</v>
      </c>
      <c r="H131" s="15" t="s">
        <v>166</v>
      </c>
    </row>
    <row r="132" customFormat="false" ht="15" hidden="false" customHeight="false" outlineLevel="0" collapsed="false">
      <c r="A132" s="15" t="s">
        <v>242</v>
      </c>
      <c r="B132" s="15" t="s">
        <v>1915</v>
      </c>
      <c r="C132" s="15" t="s">
        <v>208</v>
      </c>
      <c r="D132" s="15" t="s">
        <v>1931</v>
      </c>
      <c r="E132" s="15" t="s">
        <v>2177</v>
      </c>
      <c r="F132" s="15" t="s">
        <v>2174</v>
      </c>
      <c r="G132" s="15" t="n">
        <v>500</v>
      </c>
      <c r="H132" s="15" t="s">
        <v>166</v>
      </c>
    </row>
    <row r="133" customFormat="false" ht="15" hidden="false" customHeight="false" outlineLevel="0" collapsed="false">
      <c r="A133" s="15" t="s">
        <v>242</v>
      </c>
      <c r="B133" s="15" t="s">
        <v>1915</v>
      </c>
      <c r="C133" s="15" t="s">
        <v>279</v>
      </c>
      <c r="D133" s="15" t="s">
        <v>1954</v>
      </c>
      <c r="E133" s="15" t="s">
        <v>2178</v>
      </c>
      <c r="F133" s="15" t="s">
        <v>2179</v>
      </c>
      <c r="G133" s="15" t="n">
        <v>250</v>
      </c>
      <c r="H133" s="15" t="s">
        <v>166</v>
      </c>
    </row>
    <row r="134" customFormat="false" ht="15" hidden="false" customHeight="false" outlineLevel="0" collapsed="false">
      <c r="A134" s="15" t="s">
        <v>242</v>
      </c>
      <c r="B134" s="15" t="s">
        <v>1915</v>
      </c>
      <c r="C134" s="15" t="s">
        <v>279</v>
      </c>
      <c r="D134" s="15" t="s">
        <v>1954</v>
      </c>
      <c r="E134" s="15" t="s">
        <v>2180</v>
      </c>
      <c r="F134" s="15" t="s">
        <v>2181</v>
      </c>
      <c r="G134" s="15" t="n">
        <v>500</v>
      </c>
      <c r="H134" s="15" t="s">
        <v>166</v>
      </c>
    </row>
    <row r="135" customFormat="false" ht="15" hidden="false" customHeight="false" outlineLevel="0" collapsed="false">
      <c r="A135" s="15" t="s">
        <v>242</v>
      </c>
      <c r="B135" s="15" t="s">
        <v>1915</v>
      </c>
      <c r="C135" s="15" t="s">
        <v>279</v>
      </c>
      <c r="D135" s="15" t="s">
        <v>1954</v>
      </c>
      <c r="E135" s="15" t="s">
        <v>2182</v>
      </c>
      <c r="F135" s="15" t="s">
        <v>2183</v>
      </c>
      <c r="G135" s="15" t="n">
        <v>500</v>
      </c>
      <c r="H135" s="15" t="s">
        <v>166</v>
      </c>
    </row>
    <row r="136" customFormat="false" ht="15" hidden="false" customHeight="false" outlineLevel="0" collapsed="false">
      <c r="A136" s="15" t="s">
        <v>242</v>
      </c>
      <c r="B136" s="15" t="s">
        <v>1915</v>
      </c>
      <c r="C136" s="15" t="s">
        <v>329</v>
      </c>
      <c r="D136" s="15" t="s">
        <v>1942</v>
      </c>
      <c r="E136" s="15" t="s">
        <v>2184</v>
      </c>
      <c r="F136" s="15" t="s">
        <v>2185</v>
      </c>
      <c r="G136" s="15" t="n">
        <v>250</v>
      </c>
      <c r="H136" s="15" t="s">
        <v>166</v>
      </c>
    </row>
    <row r="137" customFormat="false" ht="15" hidden="false" customHeight="false" outlineLevel="0" collapsed="false">
      <c r="A137" s="15" t="s">
        <v>242</v>
      </c>
      <c r="B137" s="15" t="s">
        <v>1915</v>
      </c>
      <c r="C137" s="15" t="s">
        <v>329</v>
      </c>
      <c r="D137" s="15" t="s">
        <v>1942</v>
      </c>
      <c r="E137" s="15" t="s">
        <v>2186</v>
      </c>
      <c r="F137" s="15" t="s">
        <v>2187</v>
      </c>
      <c r="G137" s="15" t="n">
        <v>1000</v>
      </c>
      <c r="H137" s="15" t="s">
        <v>166</v>
      </c>
    </row>
    <row r="138" customFormat="false" ht="15" hidden="false" customHeight="false" outlineLevel="0" collapsed="false">
      <c r="A138" s="15" t="s">
        <v>242</v>
      </c>
      <c r="B138" s="15" t="s">
        <v>1915</v>
      </c>
      <c r="C138" s="15" t="s">
        <v>165</v>
      </c>
      <c r="D138" s="15" t="s">
        <v>1916</v>
      </c>
      <c r="E138" s="15" t="s">
        <v>2188</v>
      </c>
      <c r="F138" s="15" t="s">
        <v>2189</v>
      </c>
      <c r="G138" s="15" t="n">
        <v>500</v>
      </c>
      <c r="H138" s="15" t="s">
        <v>166</v>
      </c>
    </row>
    <row r="139" customFormat="false" ht="15" hidden="false" customHeight="false" outlineLevel="0" collapsed="false">
      <c r="A139" s="15" t="s">
        <v>242</v>
      </c>
      <c r="B139" s="15" t="s">
        <v>1915</v>
      </c>
      <c r="C139" s="15" t="s">
        <v>165</v>
      </c>
      <c r="D139" s="15" t="s">
        <v>1916</v>
      </c>
      <c r="E139" s="15" t="s">
        <v>2190</v>
      </c>
      <c r="F139" s="15" t="s">
        <v>2191</v>
      </c>
      <c r="G139" s="15" t="n">
        <v>500</v>
      </c>
      <c r="H139" s="15" t="s">
        <v>166</v>
      </c>
    </row>
    <row r="140" customFormat="false" ht="15" hidden="false" customHeight="false" outlineLevel="0" collapsed="false">
      <c r="A140" s="15" t="s">
        <v>242</v>
      </c>
      <c r="B140" s="15" t="s">
        <v>1915</v>
      </c>
      <c r="C140" s="15" t="s">
        <v>366</v>
      </c>
      <c r="D140" s="15" t="s">
        <v>1949</v>
      </c>
      <c r="E140" s="15" t="s">
        <v>2192</v>
      </c>
      <c r="F140" s="15" t="s">
        <v>2191</v>
      </c>
      <c r="G140" s="15" t="n">
        <v>500</v>
      </c>
      <c r="H140" s="15" t="s">
        <v>166</v>
      </c>
    </row>
    <row r="141" customFormat="false" ht="15" hidden="false" customHeight="false" outlineLevel="0" collapsed="false">
      <c r="A141" s="15" t="s">
        <v>242</v>
      </c>
      <c r="B141" s="15" t="s">
        <v>1915</v>
      </c>
      <c r="C141" s="15" t="s">
        <v>366</v>
      </c>
      <c r="D141" s="15" t="s">
        <v>1949</v>
      </c>
      <c r="E141" s="15" t="s">
        <v>2193</v>
      </c>
      <c r="F141" s="15" t="s">
        <v>2194</v>
      </c>
      <c r="G141" s="15" t="n">
        <v>500</v>
      </c>
      <c r="H141" s="15" t="s">
        <v>166</v>
      </c>
    </row>
    <row r="142" customFormat="false" ht="15" hidden="false" customHeight="false" outlineLevel="0" collapsed="false">
      <c r="A142" s="15" t="s">
        <v>242</v>
      </c>
      <c r="B142" s="15" t="s">
        <v>1915</v>
      </c>
      <c r="C142" s="15" t="s">
        <v>366</v>
      </c>
      <c r="D142" s="15" t="s">
        <v>1949</v>
      </c>
      <c r="E142" s="15" t="s">
        <v>2195</v>
      </c>
      <c r="F142" s="15" t="s">
        <v>2196</v>
      </c>
      <c r="G142" s="15" t="n">
        <v>500</v>
      </c>
      <c r="H142" s="15" t="s">
        <v>166</v>
      </c>
    </row>
    <row r="143" customFormat="false" ht="15" hidden="false" customHeight="false" outlineLevel="0" collapsed="false">
      <c r="A143" s="15" t="s">
        <v>242</v>
      </c>
      <c r="B143" s="15" t="s">
        <v>1915</v>
      </c>
      <c r="C143" s="15" t="s">
        <v>279</v>
      </c>
      <c r="D143" s="15" t="s">
        <v>1954</v>
      </c>
      <c r="E143" s="15" t="s">
        <v>2197</v>
      </c>
      <c r="F143" s="15" t="s">
        <v>2198</v>
      </c>
      <c r="G143" s="15" t="n">
        <v>1000</v>
      </c>
      <c r="H143" s="15" t="s">
        <v>166</v>
      </c>
    </row>
    <row r="144" customFormat="false" ht="15" hidden="false" customHeight="false" outlineLevel="0" collapsed="false">
      <c r="A144" s="15" t="s">
        <v>242</v>
      </c>
      <c r="B144" s="15" t="s">
        <v>1915</v>
      </c>
      <c r="C144" s="15" t="s">
        <v>2199</v>
      </c>
      <c r="D144" s="15" t="s">
        <v>2200</v>
      </c>
      <c r="E144" s="15" t="s">
        <v>2201</v>
      </c>
      <c r="F144" s="15" t="s">
        <v>2202</v>
      </c>
      <c r="G144" s="15" t="n">
        <v>500</v>
      </c>
      <c r="H144" s="15" t="s">
        <v>166</v>
      </c>
    </row>
    <row r="145" customFormat="false" ht="15" hidden="false" customHeight="false" outlineLevel="0" collapsed="false">
      <c r="A145" s="15" t="s">
        <v>242</v>
      </c>
      <c r="B145" s="15" t="s">
        <v>1915</v>
      </c>
      <c r="C145" s="15" t="s">
        <v>2199</v>
      </c>
      <c r="D145" s="15" t="s">
        <v>2200</v>
      </c>
      <c r="E145" s="15" t="s">
        <v>2203</v>
      </c>
      <c r="F145" s="15" t="s">
        <v>2204</v>
      </c>
      <c r="G145" s="15" t="n">
        <v>500</v>
      </c>
      <c r="H145" s="15" t="s">
        <v>166</v>
      </c>
    </row>
    <row r="146" customFormat="false" ht="15" hidden="false" customHeight="false" outlineLevel="0" collapsed="false">
      <c r="A146" s="15" t="s">
        <v>242</v>
      </c>
      <c r="B146" s="15" t="s">
        <v>1915</v>
      </c>
      <c r="C146" s="15" t="s">
        <v>475</v>
      </c>
      <c r="D146" s="15" t="s">
        <v>1965</v>
      </c>
      <c r="E146" s="15" t="s">
        <v>2205</v>
      </c>
      <c r="F146" s="15" t="s">
        <v>2206</v>
      </c>
      <c r="G146" s="15" t="n">
        <v>500</v>
      </c>
      <c r="H146" s="15" t="s">
        <v>166</v>
      </c>
    </row>
    <row r="147" customFormat="false" ht="15" hidden="false" customHeight="false" outlineLevel="0" collapsed="false">
      <c r="A147" s="15" t="s">
        <v>242</v>
      </c>
      <c r="B147" s="15" t="s">
        <v>1915</v>
      </c>
      <c r="C147" s="15" t="s">
        <v>475</v>
      </c>
      <c r="D147" s="15" t="s">
        <v>1965</v>
      </c>
      <c r="E147" s="15" t="s">
        <v>2207</v>
      </c>
      <c r="F147" s="15" t="s">
        <v>2208</v>
      </c>
      <c r="G147" s="15" t="n">
        <v>500</v>
      </c>
      <c r="H147" s="15" t="s">
        <v>166</v>
      </c>
    </row>
    <row r="148" customFormat="false" ht="15" hidden="false" customHeight="false" outlineLevel="0" collapsed="false">
      <c r="A148" s="15" t="s">
        <v>242</v>
      </c>
      <c r="B148" s="15" t="s">
        <v>1915</v>
      </c>
      <c r="C148" s="15" t="s">
        <v>475</v>
      </c>
      <c r="D148" s="15" t="s">
        <v>1965</v>
      </c>
      <c r="E148" s="15" t="s">
        <v>2209</v>
      </c>
      <c r="F148" s="15" t="s">
        <v>2210</v>
      </c>
      <c r="G148" s="15" t="n">
        <v>1000</v>
      </c>
      <c r="H148" s="15" t="s">
        <v>166</v>
      </c>
    </row>
    <row r="149" customFormat="false" ht="15" hidden="false" customHeight="false" outlineLevel="0" collapsed="false">
      <c r="A149" s="15" t="s">
        <v>242</v>
      </c>
      <c r="B149" s="15" t="s">
        <v>1915</v>
      </c>
      <c r="C149" s="15" t="s">
        <v>475</v>
      </c>
      <c r="D149" s="15" t="s">
        <v>1965</v>
      </c>
      <c r="E149" s="15" t="s">
        <v>2211</v>
      </c>
      <c r="F149" s="15" t="s">
        <v>2212</v>
      </c>
      <c r="G149" s="15" t="n">
        <v>5000</v>
      </c>
      <c r="H149" s="15" t="s">
        <v>166</v>
      </c>
    </row>
    <row r="150" customFormat="false" ht="15" hidden="false" customHeight="false" outlineLevel="0" collapsed="false">
      <c r="A150" s="15" t="s">
        <v>246</v>
      </c>
      <c r="B150" s="15" t="s">
        <v>1910</v>
      </c>
      <c r="C150" s="15" t="s">
        <v>1992</v>
      </c>
      <c r="D150" s="15" t="s">
        <v>1993</v>
      </c>
      <c r="E150" s="15" t="s">
        <v>2213</v>
      </c>
      <c r="F150" s="15" t="s">
        <v>2097</v>
      </c>
      <c r="G150" s="15" t="n">
        <v>250</v>
      </c>
      <c r="H150" s="15"/>
    </row>
    <row r="151" customFormat="false" ht="15" hidden="false" customHeight="false" outlineLevel="0" collapsed="false">
      <c r="A151" s="15" t="s">
        <v>246</v>
      </c>
      <c r="B151" s="15" t="s">
        <v>1915</v>
      </c>
      <c r="C151" s="15" t="s">
        <v>208</v>
      </c>
      <c r="D151" s="15" t="s">
        <v>1931</v>
      </c>
      <c r="E151" s="15" t="s">
        <v>2214</v>
      </c>
      <c r="F151" s="15" t="s">
        <v>2215</v>
      </c>
      <c r="G151" s="15" t="n">
        <v>10000</v>
      </c>
      <c r="H151" s="15" t="s">
        <v>225</v>
      </c>
    </row>
    <row r="152" customFormat="false" ht="15" hidden="false" customHeight="false" outlineLevel="0" collapsed="false">
      <c r="A152" s="15" t="s">
        <v>246</v>
      </c>
      <c r="B152" s="15" t="s">
        <v>1915</v>
      </c>
      <c r="C152" s="15" t="s">
        <v>279</v>
      </c>
      <c r="D152" s="15" t="s">
        <v>1954</v>
      </c>
      <c r="E152" s="15" t="s">
        <v>2216</v>
      </c>
      <c r="F152" s="15" t="s">
        <v>2217</v>
      </c>
      <c r="G152" s="15" t="n">
        <v>1000</v>
      </c>
      <c r="H152" s="15" t="s">
        <v>166</v>
      </c>
    </row>
    <row r="153" customFormat="false" ht="15" hidden="false" customHeight="false" outlineLevel="0" collapsed="false">
      <c r="A153" s="15" t="s">
        <v>246</v>
      </c>
      <c r="B153" s="15" t="s">
        <v>1915</v>
      </c>
      <c r="C153" s="15" t="s">
        <v>279</v>
      </c>
      <c r="D153" s="15" t="s">
        <v>1954</v>
      </c>
      <c r="E153" s="15" t="s">
        <v>2218</v>
      </c>
      <c r="F153" s="15" t="s">
        <v>2219</v>
      </c>
      <c r="G153" s="15" t="n">
        <v>1000</v>
      </c>
      <c r="H153" s="15" t="s">
        <v>166</v>
      </c>
    </row>
    <row r="154" customFormat="false" ht="15" hidden="false" customHeight="false" outlineLevel="0" collapsed="false">
      <c r="A154" s="15" t="s">
        <v>246</v>
      </c>
      <c r="B154" s="15" t="s">
        <v>1915</v>
      </c>
      <c r="C154" s="15" t="s">
        <v>279</v>
      </c>
      <c r="D154" s="15" t="s">
        <v>1954</v>
      </c>
      <c r="E154" s="15" t="s">
        <v>2220</v>
      </c>
      <c r="F154" s="15" t="s">
        <v>2221</v>
      </c>
      <c r="G154" s="15" t="n">
        <v>5000</v>
      </c>
      <c r="H154" s="15" t="s">
        <v>166</v>
      </c>
    </row>
    <row r="155" customFormat="false" ht="15" hidden="false" customHeight="false" outlineLevel="0" collapsed="false">
      <c r="A155" s="15" t="s">
        <v>246</v>
      </c>
      <c r="B155" s="15" t="s">
        <v>1915</v>
      </c>
      <c r="C155" s="15" t="s">
        <v>279</v>
      </c>
      <c r="D155" s="15" t="s">
        <v>1954</v>
      </c>
      <c r="E155" s="15" t="s">
        <v>2222</v>
      </c>
      <c r="F155" s="15" t="s">
        <v>2223</v>
      </c>
      <c r="G155" s="15" t="n">
        <v>10000</v>
      </c>
      <c r="H155" s="15" t="s">
        <v>166</v>
      </c>
    </row>
    <row r="156" customFormat="false" ht="15" hidden="false" customHeight="false" outlineLevel="0" collapsed="false">
      <c r="A156" s="15" t="s">
        <v>250</v>
      </c>
      <c r="B156" s="15" t="s">
        <v>1910</v>
      </c>
      <c r="C156" s="15" t="s">
        <v>1992</v>
      </c>
      <c r="D156" s="15" t="s">
        <v>1993</v>
      </c>
      <c r="E156" s="15" t="s">
        <v>2224</v>
      </c>
      <c r="F156" s="15" t="s">
        <v>1995</v>
      </c>
      <c r="G156" s="15" t="n">
        <v>250</v>
      </c>
      <c r="H156" s="15"/>
    </row>
    <row r="157" customFormat="false" ht="15" hidden="false" customHeight="false" outlineLevel="0" collapsed="false">
      <c r="A157" s="15" t="s">
        <v>250</v>
      </c>
      <c r="B157" s="15" t="s">
        <v>1910</v>
      </c>
      <c r="C157" s="15" t="s">
        <v>1970</v>
      </c>
      <c r="D157" s="15" t="s">
        <v>1971</v>
      </c>
      <c r="E157" s="15" t="s">
        <v>2225</v>
      </c>
      <c r="F157" s="15" t="s">
        <v>2226</v>
      </c>
      <c r="G157" s="15" t="n">
        <v>250</v>
      </c>
      <c r="H157" s="15"/>
    </row>
    <row r="158" customFormat="false" ht="15" hidden="false" customHeight="false" outlineLevel="0" collapsed="false">
      <c r="A158" s="15" t="s">
        <v>250</v>
      </c>
      <c r="B158" s="15" t="s">
        <v>1910</v>
      </c>
      <c r="C158" s="15" t="s">
        <v>1974</v>
      </c>
      <c r="D158" s="15" t="s">
        <v>1975</v>
      </c>
      <c r="E158" s="15" t="s">
        <v>2227</v>
      </c>
      <c r="F158" s="15" t="s">
        <v>2228</v>
      </c>
      <c r="G158" s="15" t="n">
        <v>250</v>
      </c>
      <c r="H158" s="15"/>
    </row>
    <row r="159" customFormat="false" ht="15" hidden="false" customHeight="false" outlineLevel="0" collapsed="false">
      <c r="A159" s="15" t="s">
        <v>250</v>
      </c>
      <c r="B159" s="15" t="s">
        <v>1910</v>
      </c>
      <c r="C159" s="15" t="s">
        <v>1974</v>
      </c>
      <c r="D159" s="15" t="s">
        <v>1975</v>
      </c>
      <c r="E159" s="15" t="s">
        <v>2229</v>
      </c>
      <c r="F159" s="15" t="s">
        <v>2226</v>
      </c>
      <c r="G159" s="15" t="n">
        <v>250</v>
      </c>
      <c r="H159" s="15"/>
    </row>
    <row r="160" customFormat="false" ht="15" hidden="false" customHeight="false" outlineLevel="0" collapsed="false">
      <c r="A160" s="15" t="s">
        <v>250</v>
      </c>
      <c r="B160" s="15" t="s">
        <v>1910</v>
      </c>
      <c r="C160" s="15" t="s">
        <v>1921</v>
      </c>
      <c r="D160" s="15" t="s">
        <v>1922</v>
      </c>
      <c r="E160" s="15" t="s">
        <v>2230</v>
      </c>
      <c r="F160" s="15" t="s">
        <v>2231</v>
      </c>
      <c r="G160" s="15" t="n">
        <v>500</v>
      </c>
      <c r="H160" s="15"/>
    </row>
    <row r="161" customFormat="false" ht="15" hidden="false" customHeight="false" outlineLevel="0" collapsed="false">
      <c r="A161" s="15" t="s">
        <v>250</v>
      </c>
      <c r="B161" s="15" t="s">
        <v>1910</v>
      </c>
      <c r="C161" s="15" t="s">
        <v>1921</v>
      </c>
      <c r="D161" s="15" t="s">
        <v>1922</v>
      </c>
      <c r="E161" s="15" t="s">
        <v>2232</v>
      </c>
      <c r="F161" s="15" t="s">
        <v>2233</v>
      </c>
      <c r="G161" s="15" t="n">
        <v>500</v>
      </c>
      <c r="H161" s="15"/>
    </row>
    <row r="162" customFormat="false" ht="15" hidden="false" customHeight="false" outlineLevel="0" collapsed="false">
      <c r="A162" s="15" t="s">
        <v>250</v>
      </c>
      <c r="B162" s="15" t="s">
        <v>1910</v>
      </c>
      <c r="C162" s="15" t="s">
        <v>1921</v>
      </c>
      <c r="D162" s="15" t="s">
        <v>1922</v>
      </c>
      <c r="E162" s="15" t="s">
        <v>2234</v>
      </c>
      <c r="F162" s="15" t="s">
        <v>2231</v>
      </c>
      <c r="G162" s="15" t="n">
        <v>500</v>
      </c>
      <c r="H162" s="15"/>
    </row>
    <row r="163" customFormat="false" ht="15" hidden="false" customHeight="false" outlineLevel="0" collapsed="false">
      <c r="A163" s="15" t="s">
        <v>250</v>
      </c>
      <c r="B163" s="15" t="s">
        <v>1910</v>
      </c>
      <c r="C163" s="15" t="s">
        <v>1921</v>
      </c>
      <c r="D163" s="15" t="s">
        <v>1922</v>
      </c>
      <c r="E163" s="15" t="s">
        <v>2235</v>
      </c>
      <c r="F163" s="15" t="s">
        <v>2236</v>
      </c>
      <c r="G163" s="15" t="n">
        <v>500</v>
      </c>
      <c r="H163" s="15"/>
    </row>
    <row r="164" customFormat="false" ht="15" hidden="false" customHeight="false" outlineLevel="0" collapsed="false">
      <c r="A164" s="15" t="s">
        <v>250</v>
      </c>
      <c r="B164" s="15" t="s">
        <v>1915</v>
      </c>
      <c r="C164" s="15" t="s">
        <v>208</v>
      </c>
      <c r="D164" s="15" t="s">
        <v>1931</v>
      </c>
      <c r="E164" s="15" t="s">
        <v>2237</v>
      </c>
      <c r="F164" s="15" t="s">
        <v>2238</v>
      </c>
      <c r="G164" s="15" t="n">
        <v>250</v>
      </c>
      <c r="H164" s="15" t="s">
        <v>166</v>
      </c>
    </row>
    <row r="165" customFormat="false" ht="15" hidden="false" customHeight="false" outlineLevel="0" collapsed="false">
      <c r="A165" s="15" t="s">
        <v>250</v>
      </c>
      <c r="B165" s="15" t="s">
        <v>1915</v>
      </c>
      <c r="C165" s="15" t="s">
        <v>208</v>
      </c>
      <c r="D165" s="15" t="s">
        <v>1931</v>
      </c>
      <c r="E165" s="15" t="s">
        <v>2239</v>
      </c>
      <c r="F165" s="15" t="s">
        <v>2240</v>
      </c>
      <c r="G165" s="15" t="n">
        <v>500</v>
      </c>
      <c r="H165" s="15" t="s">
        <v>166</v>
      </c>
    </row>
    <row r="166" customFormat="false" ht="15" hidden="false" customHeight="false" outlineLevel="0" collapsed="false">
      <c r="A166" s="15" t="s">
        <v>250</v>
      </c>
      <c r="B166" s="15" t="s">
        <v>1915</v>
      </c>
      <c r="C166" s="15" t="s">
        <v>279</v>
      </c>
      <c r="D166" s="15" t="s">
        <v>1954</v>
      </c>
      <c r="E166" s="15" t="s">
        <v>2241</v>
      </c>
      <c r="F166" s="15" t="s">
        <v>2242</v>
      </c>
      <c r="G166" s="15" t="n">
        <v>1000</v>
      </c>
      <c r="H166" s="15" t="s">
        <v>166</v>
      </c>
    </row>
    <row r="167" customFormat="false" ht="15" hidden="false" customHeight="false" outlineLevel="0" collapsed="false">
      <c r="A167" s="15" t="s">
        <v>250</v>
      </c>
      <c r="B167" s="15" t="s">
        <v>1915</v>
      </c>
      <c r="C167" s="15" t="s">
        <v>279</v>
      </c>
      <c r="D167" s="15" t="s">
        <v>1954</v>
      </c>
      <c r="E167" s="15" t="s">
        <v>2243</v>
      </c>
      <c r="F167" s="15" t="s">
        <v>2244</v>
      </c>
      <c r="G167" s="15" t="n">
        <v>250</v>
      </c>
      <c r="H167" s="15" t="s">
        <v>166</v>
      </c>
    </row>
    <row r="168" customFormat="false" ht="15" hidden="false" customHeight="false" outlineLevel="0" collapsed="false">
      <c r="A168" s="15" t="s">
        <v>250</v>
      </c>
      <c r="B168" s="15" t="s">
        <v>1915</v>
      </c>
      <c r="C168" s="15" t="s">
        <v>279</v>
      </c>
      <c r="D168" s="15" t="s">
        <v>1954</v>
      </c>
      <c r="E168" s="15" t="s">
        <v>2245</v>
      </c>
      <c r="F168" s="15" t="s">
        <v>2246</v>
      </c>
      <c r="G168" s="15" t="n">
        <v>250</v>
      </c>
      <c r="H168" s="15" t="s">
        <v>166</v>
      </c>
    </row>
    <row r="169" customFormat="false" ht="15" hidden="false" customHeight="false" outlineLevel="0" collapsed="false">
      <c r="A169" s="15" t="s">
        <v>254</v>
      </c>
      <c r="B169" s="15" t="s">
        <v>1910</v>
      </c>
      <c r="C169" s="15" t="s">
        <v>1992</v>
      </c>
      <c r="D169" s="15" t="s">
        <v>1993</v>
      </c>
      <c r="E169" s="15" t="s">
        <v>2247</v>
      </c>
      <c r="F169" s="15" t="s">
        <v>2248</v>
      </c>
      <c r="G169" s="15" t="n">
        <v>250</v>
      </c>
      <c r="H169" s="15"/>
    </row>
    <row r="170" customFormat="false" ht="15" hidden="false" customHeight="false" outlineLevel="0" collapsed="false">
      <c r="A170" s="15" t="s">
        <v>254</v>
      </c>
      <c r="B170" s="15" t="s">
        <v>1910</v>
      </c>
      <c r="C170" s="15" t="s">
        <v>1911</v>
      </c>
      <c r="D170" s="15" t="s">
        <v>1912</v>
      </c>
      <c r="E170" s="15" t="s">
        <v>2249</v>
      </c>
      <c r="F170" s="15" t="s">
        <v>2250</v>
      </c>
      <c r="G170" s="15" t="n">
        <v>250</v>
      </c>
      <c r="H170" s="15"/>
    </row>
    <row r="171" customFormat="false" ht="15" hidden="false" customHeight="false" outlineLevel="0" collapsed="false">
      <c r="A171" s="15" t="s">
        <v>254</v>
      </c>
      <c r="B171" s="15" t="s">
        <v>1910</v>
      </c>
      <c r="C171" s="15" t="s">
        <v>1970</v>
      </c>
      <c r="D171" s="15" t="s">
        <v>1971</v>
      </c>
      <c r="E171" s="15" t="s">
        <v>2251</v>
      </c>
      <c r="F171" s="15" t="s">
        <v>2252</v>
      </c>
      <c r="G171" s="15" t="n">
        <v>250</v>
      </c>
      <c r="H171" s="15"/>
    </row>
    <row r="172" customFormat="false" ht="15" hidden="false" customHeight="false" outlineLevel="0" collapsed="false">
      <c r="A172" s="15" t="s">
        <v>254</v>
      </c>
      <c r="B172" s="15" t="s">
        <v>1910</v>
      </c>
      <c r="C172" s="15" t="s">
        <v>1970</v>
      </c>
      <c r="D172" s="15" t="s">
        <v>1971</v>
      </c>
      <c r="E172" s="15" t="s">
        <v>2253</v>
      </c>
      <c r="F172" s="15" t="s">
        <v>2254</v>
      </c>
      <c r="G172" s="15" t="n">
        <v>250</v>
      </c>
      <c r="H172" s="15"/>
    </row>
    <row r="173" customFormat="false" ht="15" hidden="false" customHeight="false" outlineLevel="0" collapsed="false">
      <c r="A173" s="15" t="s">
        <v>254</v>
      </c>
      <c r="B173" s="15" t="s">
        <v>1910</v>
      </c>
      <c r="C173" s="15" t="s">
        <v>1974</v>
      </c>
      <c r="D173" s="15" t="s">
        <v>1975</v>
      </c>
      <c r="E173" s="15" t="s">
        <v>2255</v>
      </c>
      <c r="F173" s="15" t="s">
        <v>2256</v>
      </c>
      <c r="G173" s="15" t="n">
        <v>250</v>
      </c>
      <c r="H173" s="15"/>
    </row>
    <row r="174" customFormat="false" ht="15" hidden="false" customHeight="false" outlineLevel="0" collapsed="false">
      <c r="A174" s="15" t="s">
        <v>254</v>
      </c>
      <c r="B174" s="15" t="s">
        <v>1910</v>
      </c>
      <c r="C174" s="15" t="s">
        <v>1974</v>
      </c>
      <c r="D174" s="15" t="s">
        <v>1975</v>
      </c>
      <c r="E174" s="15" t="s">
        <v>2257</v>
      </c>
      <c r="F174" s="15" t="s">
        <v>2258</v>
      </c>
      <c r="G174" s="15" t="n">
        <v>250</v>
      </c>
      <c r="H174" s="15"/>
    </row>
    <row r="175" customFormat="false" ht="15" hidden="false" customHeight="false" outlineLevel="0" collapsed="false">
      <c r="A175" s="15" t="s">
        <v>254</v>
      </c>
      <c r="B175" s="15" t="s">
        <v>1910</v>
      </c>
      <c r="C175" s="15" t="s">
        <v>1921</v>
      </c>
      <c r="D175" s="15" t="s">
        <v>1922</v>
      </c>
      <c r="E175" s="15" t="s">
        <v>2259</v>
      </c>
      <c r="F175" s="15" t="s">
        <v>2260</v>
      </c>
      <c r="G175" s="15" t="n">
        <v>500</v>
      </c>
      <c r="H175" s="15"/>
    </row>
    <row r="176" customFormat="false" ht="15" hidden="false" customHeight="false" outlineLevel="0" collapsed="false">
      <c r="A176" s="15" t="s">
        <v>254</v>
      </c>
      <c r="B176" s="15" t="s">
        <v>1910</v>
      </c>
      <c r="C176" s="15" t="s">
        <v>1921</v>
      </c>
      <c r="D176" s="15" t="s">
        <v>1922</v>
      </c>
      <c r="E176" s="15" t="s">
        <v>2261</v>
      </c>
      <c r="F176" s="15" t="s">
        <v>1926</v>
      </c>
      <c r="G176" s="15" t="n">
        <v>500</v>
      </c>
      <c r="H176" s="15"/>
    </row>
    <row r="177" customFormat="false" ht="15" hidden="false" customHeight="false" outlineLevel="0" collapsed="false">
      <c r="A177" s="15" t="s">
        <v>254</v>
      </c>
      <c r="B177" s="15" t="s">
        <v>1910</v>
      </c>
      <c r="C177" s="15" t="s">
        <v>1921</v>
      </c>
      <c r="D177" s="15" t="s">
        <v>1922</v>
      </c>
      <c r="E177" s="15" t="s">
        <v>2262</v>
      </c>
      <c r="F177" s="15" t="s">
        <v>2263</v>
      </c>
      <c r="G177" s="15" t="n">
        <v>500</v>
      </c>
      <c r="H177" s="15"/>
    </row>
    <row r="178" customFormat="false" ht="15" hidden="false" customHeight="false" outlineLevel="0" collapsed="false">
      <c r="A178" s="15" t="s">
        <v>254</v>
      </c>
      <c r="B178" s="15" t="s">
        <v>1915</v>
      </c>
      <c r="C178" s="15" t="s">
        <v>208</v>
      </c>
      <c r="D178" s="15" t="s">
        <v>1931</v>
      </c>
      <c r="E178" s="15" t="s">
        <v>2264</v>
      </c>
      <c r="F178" s="15" t="s">
        <v>2265</v>
      </c>
      <c r="G178" s="15" t="n">
        <v>1000</v>
      </c>
      <c r="H178" s="15" t="s">
        <v>195</v>
      </c>
    </row>
    <row r="179" customFormat="false" ht="15" hidden="false" customHeight="false" outlineLevel="0" collapsed="false">
      <c r="A179" s="15" t="s">
        <v>259</v>
      </c>
      <c r="B179" s="15" t="s">
        <v>1910</v>
      </c>
      <c r="C179" s="15" t="s">
        <v>1992</v>
      </c>
      <c r="D179" s="15" t="s">
        <v>1993</v>
      </c>
      <c r="E179" s="15" t="s">
        <v>2266</v>
      </c>
      <c r="F179" s="15" t="s">
        <v>1995</v>
      </c>
      <c r="G179" s="15" t="n">
        <v>250</v>
      </c>
      <c r="H179" s="15"/>
    </row>
    <row r="180" customFormat="false" ht="15" hidden="false" customHeight="false" outlineLevel="0" collapsed="false">
      <c r="A180" s="15" t="s">
        <v>259</v>
      </c>
      <c r="B180" s="15" t="s">
        <v>1910</v>
      </c>
      <c r="C180" s="15" t="s">
        <v>1911</v>
      </c>
      <c r="D180" s="15" t="s">
        <v>1912</v>
      </c>
      <c r="E180" s="15" t="s">
        <v>2267</v>
      </c>
      <c r="F180" s="15" t="s">
        <v>2268</v>
      </c>
      <c r="G180" s="15" t="n">
        <v>250</v>
      </c>
      <c r="H180" s="15"/>
    </row>
    <row r="181" customFormat="false" ht="15" hidden="false" customHeight="false" outlineLevel="0" collapsed="false">
      <c r="A181" s="15" t="s">
        <v>259</v>
      </c>
      <c r="B181" s="15" t="s">
        <v>1910</v>
      </c>
      <c r="C181" s="15" t="s">
        <v>1970</v>
      </c>
      <c r="D181" s="15" t="s">
        <v>1971</v>
      </c>
      <c r="E181" s="15" t="s">
        <v>2269</v>
      </c>
      <c r="F181" s="15" t="s">
        <v>2122</v>
      </c>
      <c r="G181" s="15" t="n">
        <v>250</v>
      </c>
      <c r="H181" s="15"/>
    </row>
    <row r="182" customFormat="false" ht="15" hidden="false" customHeight="false" outlineLevel="0" collapsed="false">
      <c r="A182" s="15" t="s">
        <v>259</v>
      </c>
      <c r="B182" s="15" t="s">
        <v>1910</v>
      </c>
      <c r="C182" s="15" t="s">
        <v>1970</v>
      </c>
      <c r="D182" s="15" t="s">
        <v>1971</v>
      </c>
      <c r="E182" s="15" t="s">
        <v>2270</v>
      </c>
      <c r="F182" s="15" t="s">
        <v>2226</v>
      </c>
      <c r="G182" s="15" t="n">
        <v>250</v>
      </c>
      <c r="H182" s="15"/>
    </row>
    <row r="183" customFormat="false" ht="15" hidden="false" customHeight="false" outlineLevel="0" collapsed="false">
      <c r="A183" s="15" t="s">
        <v>259</v>
      </c>
      <c r="B183" s="15" t="s">
        <v>1910</v>
      </c>
      <c r="C183" s="15" t="s">
        <v>1974</v>
      </c>
      <c r="D183" s="15" t="s">
        <v>1975</v>
      </c>
      <c r="E183" s="15" t="s">
        <v>2271</v>
      </c>
      <c r="F183" s="15" t="s">
        <v>2272</v>
      </c>
      <c r="G183" s="15" t="n">
        <v>250</v>
      </c>
      <c r="H183" s="15"/>
    </row>
    <row r="184" customFormat="false" ht="15" hidden="false" customHeight="false" outlineLevel="0" collapsed="false">
      <c r="A184" s="15" t="s">
        <v>259</v>
      </c>
      <c r="B184" s="15" t="s">
        <v>1910</v>
      </c>
      <c r="C184" s="15" t="s">
        <v>1974</v>
      </c>
      <c r="D184" s="15" t="s">
        <v>1975</v>
      </c>
      <c r="E184" s="15" t="s">
        <v>2273</v>
      </c>
      <c r="F184" s="15" t="s">
        <v>2226</v>
      </c>
      <c r="G184" s="15" t="n">
        <v>250</v>
      </c>
      <c r="H184" s="15"/>
    </row>
    <row r="185" customFormat="false" ht="15" hidden="false" customHeight="false" outlineLevel="0" collapsed="false">
      <c r="A185" s="15" t="s">
        <v>259</v>
      </c>
      <c r="B185" s="15" t="s">
        <v>1910</v>
      </c>
      <c r="C185" s="15" t="s">
        <v>1921</v>
      </c>
      <c r="D185" s="15" t="s">
        <v>1922</v>
      </c>
      <c r="E185" s="15" t="s">
        <v>2274</v>
      </c>
      <c r="F185" s="15" t="s">
        <v>2275</v>
      </c>
      <c r="G185" s="15" t="n">
        <v>250</v>
      </c>
      <c r="H185" s="15"/>
    </row>
    <row r="186" customFormat="false" ht="15" hidden="false" customHeight="false" outlineLevel="0" collapsed="false">
      <c r="A186" s="15" t="s">
        <v>259</v>
      </c>
      <c r="B186" s="15" t="s">
        <v>1915</v>
      </c>
      <c r="C186" s="15" t="s">
        <v>260</v>
      </c>
      <c r="D186" s="15" t="s">
        <v>2013</v>
      </c>
      <c r="E186" s="15" t="s">
        <v>2276</v>
      </c>
      <c r="F186" s="15" t="s">
        <v>2277</v>
      </c>
      <c r="G186" s="15" t="n">
        <v>250</v>
      </c>
      <c r="H186" s="15" t="s">
        <v>225</v>
      </c>
    </row>
    <row r="187" customFormat="false" ht="15" hidden="false" customHeight="false" outlineLevel="0" collapsed="false">
      <c r="A187" s="15" t="s">
        <v>263</v>
      </c>
      <c r="B187" s="15" t="s">
        <v>1910</v>
      </c>
      <c r="C187" s="15" t="s">
        <v>1992</v>
      </c>
      <c r="D187" s="15" t="s">
        <v>1993</v>
      </c>
      <c r="E187" s="15" t="s">
        <v>2278</v>
      </c>
      <c r="F187" s="15" t="s">
        <v>2279</v>
      </c>
      <c r="G187" s="15" t="n">
        <v>250</v>
      </c>
      <c r="H187" s="15"/>
    </row>
    <row r="188" customFormat="false" ht="15" hidden="false" customHeight="false" outlineLevel="0" collapsed="false">
      <c r="A188" s="15" t="s">
        <v>263</v>
      </c>
      <c r="B188" s="15" t="s">
        <v>1910</v>
      </c>
      <c r="C188" s="15" t="s">
        <v>1970</v>
      </c>
      <c r="D188" s="15" t="s">
        <v>1971</v>
      </c>
      <c r="E188" s="15" t="s">
        <v>2280</v>
      </c>
      <c r="F188" s="15" t="s">
        <v>2281</v>
      </c>
      <c r="G188" s="15" t="n">
        <v>250</v>
      </c>
      <c r="H188" s="15"/>
    </row>
    <row r="189" customFormat="false" ht="15" hidden="false" customHeight="false" outlineLevel="0" collapsed="false">
      <c r="A189" s="15" t="s">
        <v>263</v>
      </c>
      <c r="B189" s="15" t="s">
        <v>1910</v>
      </c>
      <c r="C189" s="15" t="s">
        <v>1974</v>
      </c>
      <c r="D189" s="15" t="s">
        <v>1975</v>
      </c>
      <c r="E189" s="15" t="s">
        <v>2282</v>
      </c>
      <c r="F189" s="15" t="s">
        <v>2281</v>
      </c>
      <c r="G189" s="15" t="n">
        <v>250</v>
      </c>
      <c r="H189" s="15"/>
    </row>
    <row r="190" customFormat="false" ht="15" hidden="false" customHeight="false" outlineLevel="0" collapsed="false">
      <c r="A190" s="15" t="s">
        <v>263</v>
      </c>
      <c r="B190" s="15" t="s">
        <v>1910</v>
      </c>
      <c r="C190" s="15" t="s">
        <v>1921</v>
      </c>
      <c r="D190" s="15" t="s">
        <v>1922</v>
      </c>
      <c r="E190" s="15" t="s">
        <v>2283</v>
      </c>
      <c r="F190" s="15" t="s">
        <v>2284</v>
      </c>
      <c r="G190" s="15" t="n">
        <v>500</v>
      </c>
      <c r="H190" s="15"/>
    </row>
    <row r="191" customFormat="false" ht="15" hidden="false" customHeight="false" outlineLevel="0" collapsed="false">
      <c r="A191" s="15" t="s">
        <v>263</v>
      </c>
      <c r="B191" s="15" t="s">
        <v>1910</v>
      </c>
      <c r="C191" s="15" t="s">
        <v>1921</v>
      </c>
      <c r="D191" s="15" t="s">
        <v>1922</v>
      </c>
      <c r="E191" s="15" t="s">
        <v>2285</v>
      </c>
      <c r="F191" s="15" t="s">
        <v>2286</v>
      </c>
      <c r="G191" s="15" t="n">
        <v>500</v>
      </c>
      <c r="H191" s="15"/>
    </row>
    <row r="192" customFormat="false" ht="15" hidden="false" customHeight="false" outlineLevel="0" collapsed="false">
      <c r="A192" s="15" t="s">
        <v>263</v>
      </c>
      <c r="B192" s="15" t="s">
        <v>1915</v>
      </c>
      <c r="C192" s="15" t="s">
        <v>279</v>
      </c>
      <c r="D192" s="15" t="s">
        <v>1954</v>
      </c>
      <c r="E192" s="15" t="s">
        <v>2287</v>
      </c>
      <c r="F192" s="15" t="s">
        <v>2288</v>
      </c>
      <c r="G192" s="15" t="n">
        <v>250</v>
      </c>
      <c r="H192" s="15" t="s">
        <v>166</v>
      </c>
    </row>
    <row r="193" customFormat="false" ht="15" hidden="false" customHeight="false" outlineLevel="0" collapsed="false">
      <c r="A193" s="15" t="s">
        <v>263</v>
      </c>
      <c r="B193" s="15" t="s">
        <v>1915</v>
      </c>
      <c r="C193" s="15" t="s">
        <v>329</v>
      </c>
      <c r="D193" s="15" t="s">
        <v>1942</v>
      </c>
      <c r="E193" s="15" t="s">
        <v>2289</v>
      </c>
      <c r="F193" s="15" t="s">
        <v>2290</v>
      </c>
      <c r="G193" s="15" t="n">
        <v>250</v>
      </c>
      <c r="H193" s="15" t="s">
        <v>166</v>
      </c>
    </row>
    <row r="194" customFormat="false" ht="15" hidden="false" customHeight="false" outlineLevel="0" collapsed="false">
      <c r="A194" s="15" t="s">
        <v>263</v>
      </c>
      <c r="B194" s="15" t="s">
        <v>1915</v>
      </c>
      <c r="C194" s="15" t="s">
        <v>366</v>
      </c>
      <c r="D194" s="15" t="s">
        <v>1949</v>
      </c>
      <c r="E194" s="15" t="s">
        <v>2291</v>
      </c>
      <c r="F194" s="15" t="s">
        <v>2292</v>
      </c>
      <c r="G194" s="15" t="n">
        <v>500</v>
      </c>
      <c r="H194" s="15" t="s">
        <v>166</v>
      </c>
    </row>
    <row r="195" customFormat="false" ht="15" hidden="false" customHeight="false" outlineLevel="0" collapsed="false">
      <c r="A195" s="15" t="s">
        <v>263</v>
      </c>
      <c r="B195" s="15" t="s">
        <v>1915</v>
      </c>
      <c r="C195" s="15" t="s">
        <v>279</v>
      </c>
      <c r="D195" s="15" t="s">
        <v>1954</v>
      </c>
      <c r="E195" s="15" t="s">
        <v>2293</v>
      </c>
      <c r="F195" s="15" t="s">
        <v>2294</v>
      </c>
      <c r="G195" s="15" t="n">
        <v>1000</v>
      </c>
      <c r="H195" s="15" t="s">
        <v>166</v>
      </c>
    </row>
    <row r="196" customFormat="false" ht="15" hidden="false" customHeight="false" outlineLevel="0" collapsed="false">
      <c r="A196" s="15" t="s">
        <v>263</v>
      </c>
      <c r="B196" s="15" t="s">
        <v>1915</v>
      </c>
      <c r="C196" s="15" t="s">
        <v>224</v>
      </c>
      <c r="D196" s="15" t="s">
        <v>2016</v>
      </c>
      <c r="E196" s="15" t="s">
        <v>2295</v>
      </c>
      <c r="F196" s="15" t="s">
        <v>2296</v>
      </c>
      <c r="G196" s="15" t="n">
        <v>250</v>
      </c>
      <c r="H196" s="15" t="s">
        <v>166</v>
      </c>
    </row>
    <row r="197" customFormat="false" ht="15" hidden="false" customHeight="false" outlineLevel="0" collapsed="false">
      <c r="A197" s="15" t="s">
        <v>263</v>
      </c>
      <c r="B197" s="15" t="s">
        <v>1915</v>
      </c>
      <c r="C197" s="15" t="s">
        <v>1961</v>
      </c>
      <c r="D197" s="15" t="s">
        <v>1962</v>
      </c>
      <c r="E197" s="15" t="s">
        <v>2297</v>
      </c>
      <c r="F197" s="15" t="s">
        <v>2298</v>
      </c>
      <c r="G197" s="15" t="n">
        <v>500</v>
      </c>
      <c r="H197" s="15" t="s">
        <v>166</v>
      </c>
    </row>
    <row r="198" customFormat="false" ht="15" hidden="false" customHeight="false" outlineLevel="0" collapsed="false">
      <c r="A198" s="15" t="s">
        <v>263</v>
      </c>
      <c r="B198" s="15" t="s">
        <v>1915</v>
      </c>
      <c r="C198" s="15" t="s">
        <v>475</v>
      </c>
      <c r="D198" s="15" t="s">
        <v>1965</v>
      </c>
      <c r="E198" s="15" t="s">
        <v>2299</v>
      </c>
      <c r="F198" s="15" t="s">
        <v>2281</v>
      </c>
      <c r="G198" s="15" t="n">
        <v>2000</v>
      </c>
      <c r="H198" s="15" t="s">
        <v>166</v>
      </c>
    </row>
    <row r="199" customFormat="false" ht="15" hidden="false" customHeight="false" outlineLevel="0" collapsed="false">
      <c r="A199" s="15" t="s">
        <v>267</v>
      </c>
      <c r="B199" s="15" t="s">
        <v>1910</v>
      </c>
      <c r="C199" s="15" t="s">
        <v>1992</v>
      </c>
      <c r="D199" s="15" t="s">
        <v>1993</v>
      </c>
      <c r="E199" s="15" t="s">
        <v>2300</v>
      </c>
      <c r="F199" s="15" t="s">
        <v>2097</v>
      </c>
      <c r="G199" s="15" t="n">
        <v>250</v>
      </c>
      <c r="H199" s="15"/>
    </row>
    <row r="200" customFormat="false" ht="15" hidden="false" customHeight="false" outlineLevel="0" collapsed="false">
      <c r="A200" s="15" t="s">
        <v>267</v>
      </c>
      <c r="B200" s="15" t="s">
        <v>1910</v>
      </c>
      <c r="C200" s="15" t="s">
        <v>1992</v>
      </c>
      <c r="D200" s="15" t="s">
        <v>1993</v>
      </c>
      <c r="E200" s="15" t="s">
        <v>2301</v>
      </c>
      <c r="F200" s="15" t="s">
        <v>2039</v>
      </c>
      <c r="G200" s="15" t="n">
        <v>250</v>
      </c>
      <c r="H200" s="15"/>
    </row>
    <row r="201" customFormat="false" ht="15" hidden="false" customHeight="false" outlineLevel="0" collapsed="false">
      <c r="A201" s="15" t="s">
        <v>267</v>
      </c>
      <c r="B201" s="15" t="s">
        <v>1910</v>
      </c>
      <c r="C201" s="15" t="s">
        <v>1911</v>
      </c>
      <c r="D201" s="15" t="s">
        <v>1912</v>
      </c>
      <c r="E201" s="15" t="s">
        <v>2302</v>
      </c>
      <c r="F201" s="15" t="s">
        <v>2303</v>
      </c>
      <c r="G201" s="15" t="n">
        <v>250</v>
      </c>
      <c r="H201" s="15"/>
    </row>
    <row r="202" customFormat="false" ht="15" hidden="false" customHeight="false" outlineLevel="0" collapsed="false">
      <c r="A202" s="15" t="s">
        <v>267</v>
      </c>
      <c r="B202" s="15" t="s">
        <v>1910</v>
      </c>
      <c r="C202" s="15" t="s">
        <v>1974</v>
      </c>
      <c r="D202" s="15" t="s">
        <v>1975</v>
      </c>
      <c r="E202" s="15" t="s">
        <v>2304</v>
      </c>
      <c r="F202" s="15" t="s">
        <v>1977</v>
      </c>
      <c r="G202" s="15" t="n">
        <v>250</v>
      </c>
      <c r="H202" s="15"/>
    </row>
    <row r="203" customFormat="false" ht="15" hidden="false" customHeight="false" outlineLevel="0" collapsed="false">
      <c r="A203" s="15" t="s">
        <v>267</v>
      </c>
      <c r="B203" s="15" t="s">
        <v>1910</v>
      </c>
      <c r="C203" s="15" t="s">
        <v>1974</v>
      </c>
      <c r="D203" s="15" t="s">
        <v>1975</v>
      </c>
      <c r="E203" s="15" t="s">
        <v>2305</v>
      </c>
      <c r="F203" s="15" t="s">
        <v>2306</v>
      </c>
      <c r="G203" s="15" t="n">
        <v>250</v>
      </c>
      <c r="H203" s="15"/>
    </row>
    <row r="204" customFormat="false" ht="15" hidden="false" customHeight="false" outlineLevel="0" collapsed="false">
      <c r="A204" s="15" t="s">
        <v>267</v>
      </c>
      <c r="B204" s="15" t="s">
        <v>1910</v>
      </c>
      <c r="C204" s="15" t="s">
        <v>1921</v>
      </c>
      <c r="D204" s="15" t="s">
        <v>1922</v>
      </c>
      <c r="E204" s="15" t="s">
        <v>2307</v>
      </c>
      <c r="F204" s="15" t="s">
        <v>2284</v>
      </c>
      <c r="G204" s="15" t="n">
        <v>500</v>
      </c>
      <c r="H204" s="15"/>
    </row>
    <row r="205" customFormat="false" ht="15" hidden="false" customHeight="false" outlineLevel="0" collapsed="false">
      <c r="A205" s="15" t="s">
        <v>267</v>
      </c>
      <c r="B205" s="15" t="s">
        <v>1910</v>
      </c>
      <c r="C205" s="15" t="s">
        <v>1921</v>
      </c>
      <c r="D205" s="15" t="s">
        <v>1922</v>
      </c>
      <c r="E205" s="15" t="s">
        <v>2308</v>
      </c>
      <c r="F205" s="15" t="s">
        <v>2309</v>
      </c>
      <c r="G205" s="15" t="n">
        <v>500</v>
      </c>
      <c r="H205" s="15"/>
    </row>
    <row r="206" customFormat="false" ht="15" hidden="false" customHeight="false" outlineLevel="0" collapsed="false">
      <c r="A206" s="15" t="s">
        <v>267</v>
      </c>
      <c r="B206" s="15" t="s">
        <v>1915</v>
      </c>
      <c r="C206" s="15" t="s">
        <v>260</v>
      </c>
      <c r="D206" s="15" t="s">
        <v>2013</v>
      </c>
      <c r="E206" s="15" t="s">
        <v>2310</v>
      </c>
      <c r="F206" s="15" t="s">
        <v>2311</v>
      </c>
      <c r="G206" s="15" t="n">
        <v>1000</v>
      </c>
      <c r="H206" s="15" t="s">
        <v>166</v>
      </c>
    </row>
    <row r="207" customFormat="false" ht="15" hidden="false" customHeight="false" outlineLevel="0" collapsed="false">
      <c r="A207" s="15" t="s">
        <v>267</v>
      </c>
      <c r="B207" s="15" t="s">
        <v>1915</v>
      </c>
      <c r="C207" s="15" t="s">
        <v>260</v>
      </c>
      <c r="D207" s="15" t="s">
        <v>2013</v>
      </c>
      <c r="E207" s="15" t="s">
        <v>2312</v>
      </c>
      <c r="F207" s="15" t="s">
        <v>2313</v>
      </c>
      <c r="G207" s="15" t="n">
        <v>250</v>
      </c>
      <c r="H207" s="15" t="s">
        <v>166</v>
      </c>
    </row>
    <row r="208" customFormat="false" ht="15" hidden="false" customHeight="false" outlineLevel="0" collapsed="false">
      <c r="A208" s="15" t="s">
        <v>267</v>
      </c>
      <c r="B208" s="15" t="s">
        <v>1915</v>
      </c>
      <c r="C208" s="15" t="s">
        <v>279</v>
      </c>
      <c r="D208" s="15" t="s">
        <v>1954</v>
      </c>
      <c r="E208" s="15" t="s">
        <v>2314</v>
      </c>
      <c r="F208" s="15" t="s">
        <v>2315</v>
      </c>
      <c r="G208" s="15" t="n">
        <v>250</v>
      </c>
      <c r="H208" s="15" t="s">
        <v>166</v>
      </c>
    </row>
    <row r="209" customFormat="false" ht="15" hidden="false" customHeight="false" outlineLevel="0" collapsed="false">
      <c r="A209" s="15" t="s">
        <v>267</v>
      </c>
      <c r="B209" s="15" t="s">
        <v>1915</v>
      </c>
      <c r="C209" s="15" t="s">
        <v>260</v>
      </c>
      <c r="D209" s="15" t="s">
        <v>2013</v>
      </c>
      <c r="E209" s="15" t="s">
        <v>2316</v>
      </c>
      <c r="F209" s="15" t="s">
        <v>2317</v>
      </c>
      <c r="G209" s="15" t="n">
        <v>500</v>
      </c>
      <c r="H209" s="15" t="s">
        <v>166</v>
      </c>
    </row>
    <row r="210" customFormat="false" ht="15" hidden="false" customHeight="false" outlineLevel="0" collapsed="false">
      <c r="A210" s="15" t="s">
        <v>267</v>
      </c>
      <c r="B210" s="15" t="s">
        <v>1915</v>
      </c>
      <c r="C210" s="15" t="s">
        <v>279</v>
      </c>
      <c r="D210" s="15" t="s">
        <v>1954</v>
      </c>
      <c r="E210" s="15" t="s">
        <v>2318</v>
      </c>
      <c r="F210" s="15" t="s">
        <v>2319</v>
      </c>
      <c r="G210" s="15" t="n">
        <v>10000</v>
      </c>
      <c r="H210" s="15" t="s">
        <v>166</v>
      </c>
    </row>
    <row r="211" customFormat="false" ht="15" hidden="false" customHeight="false" outlineLevel="0" collapsed="false">
      <c r="A211" s="15" t="s">
        <v>267</v>
      </c>
      <c r="B211" s="15" t="s">
        <v>1915</v>
      </c>
      <c r="C211" s="15" t="s">
        <v>279</v>
      </c>
      <c r="D211" s="15" t="s">
        <v>1954</v>
      </c>
      <c r="E211" s="15" t="s">
        <v>2320</v>
      </c>
      <c r="F211" s="15" t="s">
        <v>2321</v>
      </c>
      <c r="G211" s="15" t="n">
        <v>10000</v>
      </c>
      <c r="H211" s="15" t="s">
        <v>166</v>
      </c>
    </row>
    <row r="212" customFormat="false" ht="15" hidden="false" customHeight="false" outlineLevel="0" collapsed="false">
      <c r="A212" s="15" t="s">
        <v>267</v>
      </c>
      <c r="B212" s="15" t="s">
        <v>1915</v>
      </c>
      <c r="C212" s="15" t="s">
        <v>552</v>
      </c>
      <c r="D212" s="15" t="s">
        <v>2029</v>
      </c>
      <c r="E212" s="15" t="s">
        <v>2322</v>
      </c>
      <c r="F212" s="15" t="s">
        <v>2323</v>
      </c>
      <c r="G212" s="15" t="n">
        <v>500</v>
      </c>
      <c r="H212" s="15" t="s">
        <v>166</v>
      </c>
    </row>
    <row r="213" customFormat="false" ht="15" hidden="false" customHeight="false" outlineLevel="0" collapsed="false">
      <c r="A213" s="15" t="s">
        <v>272</v>
      </c>
      <c r="B213" s="15" t="s">
        <v>1910</v>
      </c>
      <c r="C213" s="15" t="s">
        <v>1992</v>
      </c>
      <c r="D213" s="15" t="s">
        <v>1993</v>
      </c>
      <c r="E213" s="15" t="s">
        <v>2324</v>
      </c>
      <c r="F213" s="15" t="s">
        <v>2097</v>
      </c>
      <c r="G213" s="15" t="n">
        <v>250</v>
      </c>
      <c r="H213" s="15"/>
    </row>
    <row r="214" customFormat="false" ht="15" hidden="false" customHeight="false" outlineLevel="0" collapsed="false">
      <c r="A214" s="15" t="s">
        <v>272</v>
      </c>
      <c r="B214" s="15" t="s">
        <v>1910</v>
      </c>
      <c r="C214" s="15" t="s">
        <v>1970</v>
      </c>
      <c r="D214" s="15" t="s">
        <v>1971</v>
      </c>
      <c r="E214" s="15" t="s">
        <v>2325</v>
      </c>
      <c r="F214" s="15" t="s">
        <v>2326</v>
      </c>
      <c r="G214" s="15" t="n">
        <v>500</v>
      </c>
      <c r="H214" s="15"/>
    </row>
    <row r="215" customFormat="false" ht="15" hidden="false" customHeight="false" outlineLevel="0" collapsed="false">
      <c r="A215" s="15" t="s">
        <v>272</v>
      </c>
      <c r="B215" s="15" t="s">
        <v>1910</v>
      </c>
      <c r="C215" s="15" t="s">
        <v>2069</v>
      </c>
      <c r="D215" s="15" t="s">
        <v>2070</v>
      </c>
      <c r="E215" s="15" t="s">
        <v>2327</v>
      </c>
      <c r="F215" s="15" t="s">
        <v>2328</v>
      </c>
      <c r="G215" s="15" t="n">
        <v>250</v>
      </c>
      <c r="H215" s="15"/>
    </row>
    <row r="216" customFormat="false" ht="15" hidden="false" customHeight="false" outlineLevel="0" collapsed="false">
      <c r="A216" s="15" t="s">
        <v>272</v>
      </c>
      <c r="B216" s="15" t="s">
        <v>1910</v>
      </c>
      <c r="C216" s="15" t="s">
        <v>2069</v>
      </c>
      <c r="D216" s="15" t="s">
        <v>2070</v>
      </c>
      <c r="E216" s="15" t="s">
        <v>2329</v>
      </c>
      <c r="F216" s="15" t="s">
        <v>2137</v>
      </c>
      <c r="G216" s="15" t="n">
        <v>250</v>
      </c>
      <c r="H216" s="15"/>
    </row>
    <row r="217" customFormat="false" ht="15" hidden="false" customHeight="false" outlineLevel="0" collapsed="false">
      <c r="A217" s="15" t="s">
        <v>272</v>
      </c>
      <c r="B217" s="15" t="s">
        <v>1910</v>
      </c>
      <c r="C217" s="15" t="s">
        <v>1921</v>
      </c>
      <c r="D217" s="15" t="s">
        <v>1922</v>
      </c>
      <c r="E217" s="15" t="s">
        <v>2330</v>
      </c>
      <c r="F217" s="15" t="s">
        <v>1979</v>
      </c>
      <c r="G217" s="15" t="n">
        <v>500</v>
      </c>
      <c r="H217" s="15"/>
    </row>
    <row r="218" customFormat="false" ht="15" hidden="false" customHeight="false" outlineLevel="0" collapsed="false">
      <c r="A218" s="15" t="s">
        <v>272</v>
      </c>
      <c r="B218" s="15" t="s">
        <v>1910</v>
      </c>
      <c r="C218" s="15" t="s">
        <v>1921</v>
      </c>
      <c r="D218" s="15" t="s">
        <v>1922</v>
      </c>
      <c r="E218" s="15" t="s">
        <v>2331</v>
      </c>
      <c r="F218" s="15" t="s">
        <v>2063</v>
      </c>
      <c r="G218" s="15" t="n">
        <v>500</v>
      </c>
      <c r="H218" s="15"/>
    </row>
    <row r="219" customFormat="false" ht="15" hidden="false" customHeight="false" outlineLevel="0" collapsed="false">
      <c r="A219" s="15" t="s">
        <v>272</v>
      </c>
      <c r="B219" s="15" t="s">
        <v>1915</v>
      </c>
      <c r="C219" s="15" t="s">
        <v>279</v>
      </c>
      <c r="D219" s="15" t="s">
        <v>1954</v>
      </c>
      <c r="E219" s="15" t="s">
        <v>2332</v>
      </c>
      <c r="F219" s="15" t="s">
        <v>2333</v>
      </c>
      <c r="G219" s="15" t="n">
        <v>250</v>
      </c>
      <c r="H219" s="15" t="s">
        <v>166</v>
      </c>
    </row>
    <row r="220" customFormat="false" ht="15" hidden="false" customHeight="false" outlineLevel="0" collapsed="false">
      <c r="A220" s="15" t="s">
        <v>272</v>
      </c>
      <c r="B220" s="15" t="s">
        <v>1915</v>
      </c>
      <c r="C220" s="15" t="s">
        <v>279</v>
      </c>
      <c r="D220" s="15" t="s">
        <v>1954</v>
      </c>
      <c r="E220" s="15" t="s">
        <v>2334</v>
      </c>
      <c r="F220" s="15" t="s">
        <v>2183</v>
      </c>
      <c r="G220" s="15" t="n">
        <v>250</v>
      </c>
      <c r="H220" s="15" t="s">
        <v>166</v>
      </c>
    </row>
    <row r="221" customFormat="false" ht="15" hidden="false" customHeight="false" outlineLevel="0" collapsed="false">
      <c r="A221" s="15" t="s">
        <v>272</v>
      </c>
      <c r="B221" s="15" t="s">
        <v>1915</v>
      </c>
      <c r="C221" s="15" t="s">
        <v>329</v>
      </c>
      <c r="D221" s="15" t="s">
        <v>1942</v>
      </c>
      <c r="E221" s="15" t="s">
        <v>2335</v>
      </c>
      <c r="F221" s="15" t="s">
        <v>2336</v>
      </c>
      <c r="G221" s="15" t="n">
        <v>250</v>
      </c>
      <c r="H221" s="15" t="s">
        <v>166</v>
      </c>
    </row>
    <row r="222" customFormat="false" ht="15" hidden="false" customHeight="false" outlineLevel="0" collapsed="false">
      <c r="A222" s="15" t="s">
        <v>272</v>
      </c>
      <c r="B222" s="15" t="s">
        <v>1915</v>
      </c>
      <c r="C222" s="15" t="s">
        <v>329</v>
      </c>
      <c r="D222" s="15" t="s">
        <v>1942</v>
      </c>
      <c r="E222" s="15" t="s">
        <v>2337</v>
      </c>
      <c r="F222" s="15" t="s">
        <v>2338</v>
      </c>
      <c r="G222" s="15" t="n">
        <v>250</v>
      </c>
      <c r="H222" s="15" t="s">
        <v>166</v>
      </c>
    </row>
    <row r="223" customFormat="false" ht="15" hidden="false" customHeight="false" outlineLevel="0" collapsed="false">
      <c r="A223" s="15" t="s">
        <v>272</v>
      </c>
      <c r="B223" s="15" t="s">
        <v>1915</v>
      </c>
      <c r="C223" s="15" t="s">
        <v>366</v>
      </c>
      <c r="D223" s="15" t="s">
        <v>1949</v>
      </c>
      <c r="E223" s="15" t="s">
        <v>2339</v>
      </c>
      <c r="F223" s="15" t="s">
        <v>2292</v>
      </c>
      <c r="G223" s="15" t="n">
        <v>1000</v>
      </c>
      <c r="H223" s="15" t="s">
        <v>166</v>
      </c>
    </row>
    <row r="224" customFormat="false" ht="15" hidden="false" customHeight="false" outlineLevel="0" collapsed="false">
      <c r="A224" s="15" t="s">
        <v>272</v>
      </c>
      <c r="B224" s="15" t="s">
        <v>1915</v>
      </c>
      <c r="C224" s="15" t="s">
        <v>279</v>
      </c>
      <c r="D224" s="15" t="s">
        <v>1954</v>
      </c>
      <c r="E224" s="15" t="s">
        <v>2340</v>
      </c>
      <c r="F224" s="15" t="s">
        <v>2341</v>
      </c>
      <c r="G224" s="15" t="n">
        <v>250</v>
      </c>
      <c r="H224" s="15" t="s">
        <v>166</v>
      </c>
    </row>
    <row r="225" customFormat="false" ht="15" hidden="false" customHeight="false" outlineLevel="0" collapsed="false">
      <c r="A225" s="15" t="s">
        <v>272</v>
      </c>
      <c r="B225" s="15" t="s">
        <v>1915</v>
      </c>
      <c r="C225" s="15" t="s">
        <v>279</v>
      </c>
      <c r="D225" s="15" t="s">
        <v>1954</v>
      </c>
      <c r="E225" s="15" t="s">
        <v>2342</v>
      </c>
      <c r="F225" s="15" t="s">
        <v>2343</v>
      </c>
      <c r="G225" s="15" t="n">
        <v>1000</v>
      </c>
      <c r="H225" s="15" t="s">
        <v>166</v>
      </c>
    </row>
    <row r="226" customFormat="false" ht="15" hidden="false" customHeight="false" outlineLevel="0" collapsed="false">
      <c r="A226" s="15" t="s">
        <v>272</v>
      </c>
      <c r="B226" s="15" t="s">
        <v>1915</v>
      </c>
      <c r="C226" s="15" t="s">
        <v>552</v>
      </c>
      <c r="D226" s="15" t="s">
        <v>2029</v>
      </c>
      <c r="E226" s="15" t="s">
        <v>2344</v>
      </c>
      <c r="F226" s="15" t="s">
        <v>2345</v>
      </c>
      <c r="G226" s="15" t="n">
        <v>250</v>
      </c>
      <c r="H226" s="15" t="s">
        <v>166</v>
      </c>
    </row>
    <row r="227" customFormat="false" ht="15" hidden="false" customHeight="false" outlineLevel="0" collapsed="false">
      <c r="A227" s="15" t="s">
        <v>272</v>
      </c>
      <c r="B227" s="15" t="s">
        <v>1915</v>
      </c>
      <c r="C227" s="15" t="s">
        <v>552</v>
      </c>
      <c r="D227" s="15" t="s">
        <v>2029</v>
      </c>
      <c r="E227" s="15" t="s">
        <v>2346</v>
      </c>
      <c r="F227" s="15" t="s">
        <v>2347</v>
      </c>
      <c r="G227" s="15" t="n">
        <v>250</v>
      </c>
      <c r="H227" s="15" t="s">
        <v>166</v>
      </c>
    </row>
    <row r="228" customFormat="false" ht="15" hidden="false" customHeight="false" outlineLevel="0" collapsed="false">
      <c r="A228" s="15" t="s">
        <v>277</v>
      </c>
      <c r="B228" s="15" t="s">
        <v>1910</v>
      </c>
      <c r="C228" s="15" t="s">
        <v>1911</v>
      </c>
      <c r="D228" s="15" t="s">
        <v>1912</v>
      </c>
      <c r="E228" s="15" t="s">
        <v>2348</v>
      </c>
      <c r="F228" s="15" t="s">
        <v>2349</v>
      </c>
      <c r="G228" s="15" t="n">
        <v>250</v>
      </c>
      <c r="H228" s="15"/>
    </row>
    <row r="229" customFormat="false" ht="15" hidden="false" customHeight="false" outlineLevel="0" collapsed="false">
      <c r="A229" s="15" t="s">
        <v>277</v>
      </c>
      <c r="B229" s="15" t="s">
        <v>1910</v>
      </c>
      <c r="C229" s="15" t="s">
        <v>1970</v>
      </c>
      <c r="D229" s="15" t="s">
        <v>1971</v>
      </c>
      <c r="E229" s="15" t="s">
        <v>2350</v>
      </c>
      <c r="F229" s="15" t="s">
        <v>2052</v>
      </c>
      <c r="G229" s="15" t="n">
        <v>250</v>
      </c>
      <c r="H229" s="15"/>
    </row>
    <row r="230" customFormat="false" ht="15" hidden="false" customHeight="false" outlineLevel="0" collapsed="false">
      <c r="A230" s="15" t="s">
        <v>277</v>
      </c>
      <c r="B230" s="15" t="s">
        <v>1910</v>
      </c>
      <c r="C230" s="15" t="s">
        <v>1921</v>
      </c>
      <c r="D230" s="15" t="s">
        <v>1922</v>
      </c>
      <c r="E230" s="15" t="s">
        <v>2351</v>
      </c>
      <c r="F230" s="15" t="s">
        <v>2352</v>
      </c>
      <c r="G230" s="15" t="n">
        <v>500</v>
      </c>
      <c r="H230" s="15"/>
    </row>
    <row r="231" customFormat="false" ht="15" hidden="false" customHeight="false" outlineLevel="0" collapsed="false">
      <c r="A231" s="15" t="s">
        <v>277</v>
      </c>
      <c r="B231" s="15" t="s">
        <v>1910</v>
      </c>
      <c r="C231" s="15" t="s">
        <v>1921</v>
      </c>
      <c r="D231" s="15" t="s">
        <v>1922</v>
      </c>
      <c r="E231" s="15" t="s">
        <v>2353</v>
      </c>
      <c r="F231" s="15" t="s">
        <v>2236</v>
      </c>
      <c r="G231" s="15" t="n">
        <v>500</v>
      </c>
      <c r="H231" s="15"/>
    </row>
    <row r="232" customFormat="false" ht="15" hidden="false" customHeight="false" outlineLevel="0" collapsed="false">
      <c r="A232" s="15" t="s">
        <v>277</v>
      </c>
      <c r="B232" s="15" t="s">
        <v>1910</v>
      </c>
      <c r="C232" s="15" t="s">
        <v>1921</v>
      </c>
      <c r="D232" s="15" t="s">
        <v>1922</v>
      </c>
      <c r="E232" s="15" t="s">
        <v>2354</v>
      </c>
      <c r="F232" s="15" t="s">
        <v>2355</v>
      </c>
      <c r="G232" s="15" t="n">
        <v>500</v>
      </c>
      <c r="H232" s="15"/>
    </row>
    <row r="233" customFormat="false" ht="15" hidden="false" customHeight="false" outlineLevel="0" collapsed="false">
      <c r="A233" s="15" t="s">
        <v>277</v>
      </c>
      <c r="B233" s="15" t="s">
        <v>1915</v>
      </c>
      <c r="C233" s="15" t="s">
        <v>279</v>
      </c>
      <c r="D233" s="15" t="s">
        <v>1954</v>
      </c>
      <c r="E233" s="15" t="s">
        <v>2356</v>
      </c>
      <c r="F233" s="15" t="s">
        <v>2357</v>
      </c>
      <c r="G233" s="15" t="n">
        <v>250</v>
      </c>
      <c r="H233" s="15" t="s">
        <v>166</v>
      </c>
    </row>
    <row r="234" customFormat="false" ht="15" hidden="false" customHeight="false" outlineLevel="0" collapsed="false">
      <c r="A234" s="15" t="s">
        <v>277</v>
      </c>
      <c r="B234" s="15" t="s">
        <v>1915</v>
      </c>
      <c r="C234" s="15" t="s">
        <v>279</v>
      </c>
      <c r="D234" s="15" t="s">
        <v>1954</v>
      </c>
      <c r="E234" s="15" t="s">
        <v>2358</v>
      </c>
      <c r="F234" s="15" t="s">
        <v>2359</v>
      </c>
      <c r="G234" s="15" t="n">
        <v>250</v>
      </c>
      <c r="H234" s="15" t="s">
        <v>166</v>
      </c>
    </row>
    <row r="235" customFormat="false" ht="15" hidden="false" customHeight="false" outlineLevel="0" collapsed="false">
      <c r="A235" s="15" t="s">
        <v>277</v>
      </c>
      <c r="B235" s="15" t="s">
        <v>1915</v>
      </c>
      <c r="C235" s="15" t="s">
        <v>279</v>
      </c>
      <c r="D235" s="15" t="s">
        <v>1954</v>
      </c>
      <c r="E235" s="15" t="s">
        <v>2360</v>
      </c>
      <c r="F235" s="15" t="s">
        <v>2361</v>
      </c>
      <c r="G235" s="15" t="n">
        <v>250</v>
      </c>
      <c r="H235" s="15" t="s">
        <v>166</v>
      </c>
    </row>
    <row r="236" customFormat="false" ht="15" hidden="false" customHeight="false" outlineLevel="0" collapsed="false">
      <c r="A236" s="15" t="s">
        <v>277</v>
      </c>
      <c r="B236" s="15" t="s">
        <v>1915</v>
      </c>
      <c r="C236" s="15" t="s">
        <v>279</v>
      </c>
      <c r="D236" s="15" t="s">
        <v>1954</v>
      </c>
      <c r="E236" s="15" t="s">
        <v>2362</v>
      </c>
      <c r="F236" s="15" t="s">
        <v>2363</v>
      </c>
      <c r="G236" s="15" t="n">
        <v>500</v>
      </c>
      <c r="H236" s="15" t="s">
        <v>166</v>
      </c>
    </row>
    <row r="237" customFormat="false" ht="15" hidden="false" customHeight="false" outlineLevel="0" collapsed="false">
      <c r="A237" s="15" t="s">
        <v>277</v>
      </c>
      <c r="B237" s="15" t="s">
        <v>1915</v>
      </c>
      <c r="C237" s="15" t="s">
        <v>279</v>
      </c>
      <c r="D237" s="15" t="s">
        <v>1954</v>
      </c>
      <c r="E237" s="15" t="s">
        <v>2364</v>
      </c>
      <c r="F237" s="15" t="s">
        <v>2365</v>
      </c>
      <c r="G237" s="15" t="n">
        <v>1000</v>
      </c>
      <c r="H237" s="15" t="s">
        <v>166</v>
      </c>
    </row>
    <row r="238" customFormat="false" ht="15" hidden="false" customHeight="false" outlineLevel="0" collapsed="false">
      <c r="A238" s="15" t="s">
        <v>277</v>
      </c>
      <c r="B238" s="15" t="s">
        <v>1915</v>
      </c>
      <c r="C238" s="15" t="s">
        <v>279</v>
      </c>
      <c r="D238" s="15" t="s">
        <v>1954</v>
      </c>
      <c r="E238" s="15" t="s">
        <v>2366</v>
      </c>
      <c r="F238" s="15" t="s">
        <v>2367</v>
      </c>
      <c r="G238" s="15" t="n">
        <v>5000</v>
      </c>
      <c r="H238" s="15" t="s">
        <v>166</v>
      </c>
    </row>
    <row r="239" customFormat="false" ht="15" hidden="false" customHeight="false" outlineLevel="0" collapsed="false">
      <c r="A239" s="15" t="s">
        <v>282</v>
      </c>
      <c r="B239" s="15" t="s">
        <v>1910</v>
      </c>
      <c r="C239" s="15" t="s">
        <v>1921</v>
      </c>
      <c r="D239" s="15" t="s">
        <v>1922</v>
      </c>
      <c r="E239" s="15" t="s">
        <v>2368</v>
      </c>
      <c r="F239" s="15" t="s">
        <v>2369</v>
      </c>
      <c r="G239" s="15" t="n">
        <v>500</v>
      </c>
      <c r="H239" s="15"/>
    </row>
    <row r="240" customFormat="false" ht="15" hidden="false" customHeight="false" outlineLevel="0" collapsed="false">
      <c r="A240" s="15" t="s">
        <v>282</v>
      </c>
      <c r="B240" s="15" t="s">
        <v>1910</v>
      </c>
      <c r="C240" s="15" t="s">
        <v>1921</v>
      </c>
      <c r="D240" s="15" t="s">
        <v>1922</v>
      </c>
      <c r="E240" s="15" t="s">
        <v>2370</v>
      </c>
      <c r="F240" s="15" t="s">
        <v>2063</v>
      </c>
      <c r="G240" s="15" t="n">
        <v>250</v>
      </c>
      <c r="H240" s="15"/>
    </row>
    <row r="241" customFormat="false" ht="15" hidden="false" customHeight="false" outlineLevel="0" collapsed="false">
      <c r="A241" s="15" t="s">
        <v>282</v>
      </c>
      <c r="B241" s="15" t="s">
        <v>1910</v>
      </c>
      <c r="C241" s="15" t="s">
        <v>1921</v>
      </c>
      <c r="D241" s="15" t="s">
        <v>1922</v>
      </c>
      <c r="E241" s="15" t="s">
        <v>2371</v>
      </c>
      <c r="F241" s="15" t="s">
        <v>2372</v>
      </c>
      <c r="G241" s="15" t="n">
        <v>250</v>
      </c>
      <c r="H241" s="15"/>
    </row>
    <row r="242" customFormat="false" ht="15" hidden="false" customHeight="false" outlineLevel="0" collapsed="false">
      <c r="A242" s="15" t="s">
        <v>282</v>
      </c>
      <c r="B242" s="15" t="s">
        <v>1915</v>
      </c>
      <c r="C242" s="15" t="s">
        <v>260</v>
      </c>
      <c r="D242" s="15" t="s">
        <v>2013</v>
      </c>
      <c r="E242" s="15" t="s">
        <v>2373</v>
      </c>
      <c r="F242" s="15" t="s">
        <v>2374</v>
      </c>
      <c r="G242" s="15" t="n">
        <v>250</v>
      </c>
      <c r="H242" s="15" t="s">
        <v>166</v>
      </c>
    </row>
    <row r="243" customFormat="false" ht="15" hidden="false" customHeight="false" outlineLevel="0" collapsed="false">
      <c r="A243" s="15" t="s">
        <v>282</v>
      </c>
      <c r="B243" s="15" t="s">
        <v>1915</v>
      </c>
      <c r="C243" s="15" t="s">
        <v>260</v>
      </c>
      <c r="D243" s="15" t="s">
        <v>2013</v>
      </c>
      <c r="E243" s="15" t="s">
        <v>2375</v>
      </c>
      <c r="F243" s="15" t="s">
        <v>2376</v>
      </c>
      <c r="G243" s="15" t="n">
        <v>250</v>
      </c>
      <c r="H243" s="15" t="s">
        <v>166</v>
      </c>
    </row>
    <row r="244" customFormat="false" ht="15" hidden="false" customHeight="false" outlineLevel="0" collapsed="false">
      <c r="A244" s="15" t="s">
        <v>282</v>
      </c>
      <c r="B244" s="15" t="s">
        <v>1915</v>
      </c>
      <c r="C244" s="15" t="s">
        <v>260</v>
      </c>
      <c r="D244" s="15" t="s">
        <v>2013</v>
      </c>
      <c r="E244" s="15" t="s">
        <v>2377</v>
      </c>
      <c r="F244" s="15" t="s">
        <v>2183</v>
      </c>
      <c r="G244" s="15" t="n">
        <v>250</v>
      </c>
      <c r="H244" s="15" t="s">
        <v>166</v>
      </c>
    </row>
    <row r="245" customFormat="false" ht="15" hidden="false" customHeight="false" outlineLevel="0" collapsed="false">
      <c r="A245" s="15" t="s">
        <v>282</v>
      </c>
      <c r="B245" s="15" t="s">
        <v>1915</v>
      </c>
      <c r="C245" s="15" t="s">
        <v>475</v>
      </c>
      <c r="D245" s="15" t="s">
        <v>1965</v>
      </c>
      <c r="E245" s="15" t="s">
        <v>2378</v>
      </c>
      <c r="F245" s="15" t="s">
        <v>2379</v>
      </c>
      <c r="G245" s="15" t="n">
        <v>2000</v>
      </c>
      <c r="H245" s="15" t="s">
        <v>166</v>
      </c>
    </row>
    <row r="246" customFormat="false" ht="15" hidden="false" customHeight="false" outlineLevel="0" collapsed="false">
      <c r="A246" s="15" t="s">
        <v>282</v>
      </c>
      <c r="B246" s="15" t="s">
        <v>1915</v>
      </c>
      <c r="C246" s="15" t="s">
        <v>475</v>
      </c>
      <c r="D246" s="15" t="s">
        <v>1965</v>
      </c>
      <c r="E246" s="15" t="s">
        <v>2380</v>
      </c>
      <c r="F246" s="15" t="s">
        <v>2381</v>
      </c>
      <c r="G246" s="15" t="n">
        <v>3000</v>
      </c>
      <c r="H246" s="15" t="s">
        <v>166</v>
      </c>
    </row>
    <row r="247" customFormat="false" ht="15" hidden="false" customHeight="false" outlineLevel="0" collapsed="false">
      <c r="A247" s="15" t="s">
        <v>282</v>
      </c>
      <c r="B247" s="15" t="s">
        <v>1915</v>
      </c>
      <c r="C247" s="15" t="s">
        <v>475</v>
      </c>
      <c r="D247" s="15" t="s">
        <v>1965</v>
      </c>
      <c r="E247" s="15" t="s">
        <v>2382</v>
      </c>
      <c r="F247" s="15" t="s">
        <v>2383</v>
      </c>
      <c r="G247" s="15" t="n">
        <v>500</v>
      </c>
      <c r="H247" s="15" t="s">
        <v>166</v>
      </c>
    </row>
    <row r="248" customFormat="false" ht="15" hidden="false" customHeight="false" outlineLevel="0" collapsed="false">
      <c r="A248" s="15" t="s">
        <v>282</v>
      </c>
      <c r="B248" s="15" t="s">
        <v>1915</v>
      </c>
      <c r="C248" s="15" t="s">
        <v>475</v>
      </c>
      <c r="D248" s="15" t="s">
        <v>1965</v>
      </c>
      <c r="E248" s="15" t="s">
        <v>2384</v>
      </c>
      <c r="F248" s="15" t="s">
        <v>2383</v>
      </c>
      <c r="G248" s="15" t="n">
        <v>1000</v>
      </c>
      <c r="H248" s="15" t="s">
        <v>166</v>
      </c>
    </row>
    <row r="249" customFormat="false" ht="15" hidden="false" customHeight="false" outlineLevel="0" collapsed="false">
      <c r="A249" s="15" t="s">
        <v>282</v>
      </c>
      <c r="B249" s="15" t="s">
        <v>1915</v>
      </c>
      <c r="C249" s="15" t="s">
        <v>475</v>
      </c>
      <c r="D249" s="15" t="s">
        <v>1965</v>
      </c>
      <c r="E249" s="15" t="s">
        <v>2385</v>
      </c>
      <c r="F249" s="15" t="s">
        <v>2383</v>
      </c>
      <c r="G249" s="15" t="n">
        <v>500</v>
      </c>
      <c r="H249" s="15" t="s">
        <v>166</v>
      </c>
    </row>
    <row r="250" customFormat="false" ht="15" hidden="false" customHeight="false" outlineLevel="0" collapsed="false">
      <c r="A250" s="15" t="s">
        <v>282</v>
      </c>
      <c r="B250" s="15" t="s">
        <v>1915</v>
      </c>
      <c r="C250" s="15" t="s">
        <v>475</v>
      </c>
      <c r="D250" s="15" t="s">
        <v>1965</v>
      </c>
      <c r="E250" s="15" t="s">
        <v>2386</v>
      </c>
      <c r="F250" s="15" t="s">
        <v>2387</v>
      </c>
      <c r="G250" s="15" t="n">
        <v>1000</v>
      </c>
      <c r="H250" s="15" t="s">
        <v>166</v>
      </c>
    </row>
    <row r="251" customFormat="false" ht="15" hidden="false" customHeight="false" outlineLevel="0" collapsed="false">
      <c r="A251" s="15" t="s">
        <v>282</v>
      </c>
      <c r="B251" s="15" t="s">
        <v>1915</v>
      </c>
      <c r="C251" s="15" t="s">
        <v>552</v>
      </c>
      <c r="D251" s="15" t="s">
        <v>2029</v>
      </c>
      <c r="E251" s="15" t="s">
        <v>2388</v>
      </c>
      <c r="F251" s="15" t="s">
        <v>2389</v>
      </c>
      <c r="G251" s="15" t="n">
        <v>10000</v>
      </c>
      <c r="H251" s="15" t="s">
        <v>166</v>
      </c>
    </row>
    <row r="252" customFormat="false" ht="15" hidden="false" customHeight="false" outlineLevel="0" collapsed="false">
      <c r="A252" s="15" t="s">
        <v>282</v>
      </c>
      <c r="B252" s="15" t="s">
        <v>1915</v>
      </c>
      <c r="C252" s="15" t="s">
        <v>552</v>
      </c>
      <c r="D252" s="15" t="s">
        <v>2029</v>
      </c>
      <c r="E252" s="15" t="s">
        <v>2390</v>
      </c>
      <c r="F252" s="15" t="s">
        <v>2391</v>
      </c>
      <c r="G252" s="15" t="n">
        <v>5000</v>
      </c>
      <c r="H252" s="15" t="s">
        <v>166</v>
      </c>
    </row>
    <row r="253" customFormat="false" ht="15" hidden="false" customHeight="false" outlineLevel="0" collapsed="false">
      <c r="A253" s="15" t="s">
        <v>286</v>
      </c>
      <c r="B253" s="15" t="s">
        <v>1910</v>
      </c>
      <c r="C253" s="15" t="s">
        <v>1992</v>
      </c>
      <c r="D253" s="15" t="s">
        <v>1993</v>
      </c>
      <c r="E253" s="15" t="s">
        <v>2392</v>
      </c>
      <c r="F253" s="15" t="s">
        <v>1995</v>
      </c>
      <c r="G253" s="15" t="n">
        <v>250</v>
      </c>
      <c r="H253" s="15"/>
    </row>
    <row r="254" customFormat="false" ht="15" hidden="false" customHeight="false" outlineLevel="0" collapsed="false">
      <c r="A254" s="15" t="s">
        <v>286</v>
      </c>
      <c r="B254" s="15" t="s">
        <v>1910</v>
      </c>
      <c r="C254" s="15" t="s">
        <v>1911</v>
      </c>
      <c r="D254" s="15" t="s">
        <v>1912</v>
      </c>
      <c r="E254" s="15" t="s">
        <v>2393</v>
      </c>
      <c r="F254" s="15" t="s">
        <v>2394</v>
      </c>
      <c r="G254" s="15" t="n">
        <v>250</v>
      </c>
      <c r="H254" s="15"/>
    </row>
    <row r="255" customFormat="false" ht="15" hidden="false" customHeight="false" outlineLevel="0" collapsed="false">
      <c r="A255" s="15" t="s">
        <v>286</v>
      </c>
      <c r="B255" s="15" t="s">
        <v>1910</v>
      </c>
      <c r="C255" s="15" t="s">
        <v>1970</v>
      </c>
      <c r="D255" s="15" t="s">
        <v>1971</v>
      </c>
      <c r="E255" s="15" t="s">
        <v>2395</v>
      </c>
      <c r="F255" s="15" t="s">
        <v>2396</v>
      </c>
      <c r="G255" s="15" t="n">
        <v>250</v>
      </c>
      <c r="H255" s="15"/>
    </row>
    <row r="256" customFormat="false" ht="15" hidden="false" customHeight="false" outlineLevel="0" collapsed="false">
      <c r="A256" s="15" t="s">
        <v>286</v>
      </c>
      <c r="B256" s="15" t="s">
        <v>1910</v>
      </c>
      <c r="C256" s="15" t="s">
        <v>1970</v>
      </c>
      <c r="D256" s="15" t="s">
        <v>1971</v>
      </c>
      <c r="E256" s="15" t="s">
        <v>2397</v>
      </c>
      <c r="F256" s="15" t="s">
        <v>2398</v>
      </c>
      <c r="G256" s="15" t="n">
        <v>250</v>
      </c>
      <c r="H256" s="15"/>
    </row>
    <row r="257" customFormat="false" ht="15" hidden="false" customHeight="false" outlineLevel="0" collapsed="false">
      <c r="A257" s="15" t="s">
        <v>286</v>
      </c>
      <c r="B257" s="15" t="s">
        <v>1910</v>
      </c>
      <c r="C257" s="15" t="s">
        <v>1974</v>
      </c>
      <c r="D257" s="15" t="s">
        <v>1975</v>
      </c>
      <c r="E257" s="15" t="s">
        <v>2399</v>
      </c>
      <c r="F257" s="15" t="s">
        <v>2400</v>
      </c>
      <c r="G257" s="15" t="n">
        <v>250</v>
      </c>
      <c r="H257" s="15"/>
    </row>
    <row r="258" customFormat="false" ht="15" hidden="false" customHeight="false" outlineLevel="0" collapsed="false">
      <c r="A258" s="15" t="s">
        <v>286</v>
      </c>
      <c r="B258" s="15" t="s">
        <v>1910</v>
      </c>
      <c r="C258" s="15" t="s">
        <v>1974</v>
      </c>
      <c r="D258" s="15" t="s">
        <v>1975</v>
      </c>
      <c r="E258" s="15" t="s">
        <v>2401</v>
      </c>
      <c r="F258" s="15" t="s">
        <v>2402</v>
      </c>
      <c r="G258" s="15" t="n">
        <v>250</v>
      </c>
      <c r="H258" s="15"/>
    </row>
    <row r="259" customFormat="false" ht="15" hidden="false" customHeight="false" outlineLevel="0" collapsed="false">
      <c r="A259" s="15" t="s">
        <v>286</v>
      </c>
      <c r="B259" s="15" t="s">
        <v>1910</v>
      </c>
      <c r="C259" s="15" t="s">
        <v>1921</v>
      </c>
      <c r="D259" s="15" t="s">
        <v>1922</v>
      </c>
      <c r="E259" s="15" t="s">
        <v>2403</v>
      </c>
      <c r="F259" s="15" t="s">
        <v>2404</v>
      </c>
      <c r="G259" s="15" t="n">
        <v>500</v>
      </c>
      <c r="H259" s="15"/>
    </row>
    <row r="260" customFormat="false" ht="15" hidden="false" customHeight="false" outlineLevel="0" collapsed="false">
      <c r="A260" s="15" t="s">
        <v>286</v>
      </c>
      <c r="B260" s="15" t="s">
        <v>1910</v>
      </c>
      <c r="C260" s="15" t="s">
        <v>1921</v>
      </c>
      <c r="D260" s="15" t="s">
        <v>1922</v>
      </c>
      <c r="E260" s="15" t="s">
        <v>2405</v>
      </c>
      <c r="F260" s="15" t="s">
        <v>1924</v>
      </c>
      <c r="G260" s="15" t="n">
        <v>500</v>
      </c>
      <c r="H260" s="15"/>
    </row>
    <row r="261" customFormat="false" ht="15" hidden="false" customHeight="false" outlineLevel="0" collapsed="false">
      <c r="A261" s="15" t="s">
        <v>286</v>
      </c>
      <c r="B261" s="15" t="s">
        <v>1910</v>
      </c>
      <c r="C261" s="15" t="s">
        <v>1921</v>
      </c>
      <c r="D261" s="15" t="s">
        <v>1922</v>
      </c>
      <c r="E261" s="15" t="s">
        <v>2406</v>
      </c>
      <c r="F261" s="15" t="s">
        <v>2236</v>
      </c>
      <c r="G261" s="15" t="n">
        <v>500</v>
      </c>
      <c r="H261" s="15"/>
    </row>
    <row r="262" customFormat="false" ht="15" hidden="false" customHeight="false" outlineLevel="0" collapsed="false">
      <c r="A262" s="15" t="s">
        <v>286</v>
      </c>
      <c r="B262" s="15" t="s">
        <v>1910</v>
      </c>
      <c r="C262" s="15" t="s">
        <v>1921</v>
      </c>
      <c r="D262" s="15" t="s">
        <v>1922</v>
      </c>
      <c r="E262" s="15" t="s">
        <v>2407</v>
      </c>
      <c r="F262" s="15" t="s">
        <v>2372</v>
      </c>
      <c r="G262" s="15" t="n">
        <v>500</v>
      </c>
      <c r="H262" s="15"/>
    </row>
    <row r="263" customFormat="false" ht="15" hidden="false" customHeight="false" outlineLevel="0" collapsed="false">
      <c r="A263" s="15" t="s">
        <v>286</v>
      </c>
      <c r="B263" s="15" t="s">
        <v>1915</v>
      </c>
      <c r="C263" s="15" t="s">
        <v>2408</v>
      </c>
      <c r="D263" s="15" t="s">
        <v>2409</v>
      </c>
      <c r="E263" s="15" t="s">
        <v>2410</v>
      </c>
      <c r="F263" s="15" t="s">
        <v>2411</v>
      </c>
      <c r="G263" s="15" t="n">
        <v>250</v>
      </c>
      <c r="H263" s="15" t="s">
        <v>166</v>
      </c>
    </row>
    <row r="264" customFormat="false" ht="15" hidden="false" customHeight="false" outlineLevel="0" collapsed="false">
      <c r="A264" s="15" t="s">
        <v>286</v>
      </c>
      <c r="B264" s="15" t="s">
        <v>1915</v>
      </c>
      <c r="C264" s="15" t="s">
        <v>279</v>
      </c>
      <c r="D264" s="15" t="s">
        <v>1954</v>
      </c>
      <c r="E264" s="15" t="s">
        <v>2412</v>
      </c>
      <c r="F264" s="15" t="s">
        <v>2315</v>
      </c>
      <c r="G264" s="15" t="n">
        <v>1000</v>
      </c>
      <c r="H264" s="15" t="s">
        <v>166</v>
      </c>
    </row>
    <row r="265" customFormat="false" ht="15" hidden="false" customHeight="false" outlineLevel="0" collapsed="false">
      <c r="A265" s="15" t="s">
        <v>286</v>
      </c>
      <c r="B265" s="15" t="s">
        <v>1915</v>
      </c>
      <c r="C265" s="15" t="s">
        <v>2408</v>
      </c>
      <c r="D265" s="15" t="s">
        <v>2409</v>
      </c>
      <c r="E265" s="15" t="s">
        <v>2413</v>
      </c>
      <c r="F265" s="15" t="s">
        <v>2414</v>
      </c>
      <c r="G265" s="15" t="n">
        <v>250</v>
      </c>
      <c r="H265" s="15" t="s">
        <v>166</v>
      </c>
    </row>
    <row r="266" customFormat="false" ht="15" hidden="false" customHeight="false" outlineLevel="0" collapsed="false">
      <c r="A266" s="15" t="s">
        <v>286</v>
      </c>
      <c r="B266" s="15" t="s">
        <v>1915</v>
      </c>
      <c r="C266" s="15" t="s">
        <v>2408</v>
      </c>
      <c r="D266" s="15" t="s">
        <v>2409</v>
      </c>
      <c r="E266" s="15" t="s">
        <v>2415</v>
      </c>
      <c r="F266" s="15" t="s">
        <v>2416</v>
      </c>
      <c r="G266" s="15" t="n">
        <v>500</v>
      </c>
      <c r="H266" s="15" t="s">
        <v>166</v>
      </c>
    </row>
    <row r="267" customFormat="false" ht="15" hidden="false" customHeight="false" outlineLevel="0" collapsed="false">
      <c r="A267" s="15" t="s">
        <v>286</v>
      </c>
      <c r="B267" s="15" t="s">
        <v>1915</v>
      </c>
      <c r="C267" s="15" t="s">
        <v>329</v>
      </c>
      <c r="D267" s="15" t="s">
        <v>1942</v>
      </c>
      <c r="E267" s="15" t="s">
        <v>2417</v>
      </c>
      <c r="F267" s="15" t="s">
        <v>2418</v>
      </c>
      <c r="G267" s="15" t="n">
        <v>250</v>
      </c>
      <c r="H267" s="15" t="s">
        <v>166</v>
      </c>
    </row>
    <row r="268" customFormat="false" ht="15" hidden="false" customHeight="false" outlineLevel="0" collapsed="false">
      <c r="A268" s="15" t="s">
        <v>286</v>
      </c>
      <c r="B268" s="15" t="s">
        <v>1915</v>
      </c>
      <c r="C268" s="15" t="s">
        <v>329</v>
      </c>
      <c r="D268" s="15" t="s">
        <v>1942</v>
      </c>
      <c r="E268" s="15" t="s">
        <v>2419</v>
      </c>
      <c r="F268" s="15" t="s">
        <v>2420</v>
      </c>
      <c r="G268" s="15" t="n">
        <v>250</v>
      </c>
      <c r="H268" s="15" t="s">
        <v>166</v>
      </c>
    </row>
    <row r="269" customFormat="false" ht="15" hidden="false" customHeight="false" outlineLevel="0" collapsed="false">
      <c r="A269" s="15" t="s">
        <v>286</v>
      </c>
      <c r="B269" s="15" t="s">
        <v>1915</v>
      </c>
      <c r="C269" s="15" t="s">
        <v>279</v>
      </c>
      <c r="D269" s="15" t="s">
        <v>1954</v>
      </c>
      <c r="E269" s="15" t="s">
        <v>2421</v>
      </c>
      <c r="F269" s="15" t="s">
        <v>2422</v>
      </c>
      <c r="G269" s="15" t="n">
        <v>250</v>
      </c>
      <c r="H269" s="15" t="s">
        <v>166</v>
      </c>
    </row>
    <row r="270" customFormat="false" ht="15" hidden="false" customHeight="false" outlineLevel="0" collapsed="false">
      <c r="A270" s="15" t="s">
        <v>286</v>
      </c>
      <c r="B270" s="15" t="s">
        <v>1915</v>
      </c>
      <c r="C270" s="15" t="s">
        <v>475</v>
      </c>
      <c r="D270" s="15" t="s">
        <v>1965</v>
      </c>
      <c r="E270" s="15" t="s">
        <v>2423</v>
      </c>
      <c r="F270" s="15" t="s">
        <v>2424</v>
      </c>
      <c r="G270" s="15" t="n">
        <v>250</v>
      </c>
      <c r="H270" s="15" t="s">
        <v>166</v>
      </c>
    </row>
    <row r="271" customFormat="false" ht="15" hidden="false" customHeight="false" outlineLevel="0" collapsed="false">
      <c r="A271" s="15" t="s">
        <v>286</v>
      </c>
      <c r="B271" s="15" t="s">
        <v>1915</v>
      </c>
      <c r="C271" s="15" t="s">
        <v>2408</v>
      </c>
      <c r="D271" s="15" t="s">
        <v>2409</v>
      </c>
      <c r="E271" s="15" t="s">
        <v>2425</v>
      </c>
      <c r="F271" s="15" t="s">
        <v>2426</v>
      </c>
      <c r="G271" s="15" t="n">
        <v>500</v>
      </c>
      <c r="H271" s="15" t="s">
        <v>166</v>
      </c>
    </row>
    <row r="272" customFormat="false" ht="15" hidden="false" customHeight="false" outlineLevel="0" collapsed="false">
      <c r="A272" s="15" t="s">
        <v>286</v>
      </c>
      <c r="B272" s="15" t="s">
        <v>1915</v>
      </c>
      <c r="C272" s="15" t="s">
        <v>612</v>
      </c>
      <c r="D272" s="15" t="s">
        <v>2427</v>
      </c>
      <c r="E272" s="15" t="s">
        <v>2428</v>
      </c>
      <c r="F272" s="15" t="s">
        <v>2429</v>
      </c>
      <c r="G272" s="15" t="n">
        <v>1000</v>
      </c>
      <c r="H272" s="15" t="s">
        <v>166</v>
      </c>
    </row>
    <row r="273" customFormat="false" ht="15" hidden="false" customHeight="false" outlineLevel="0" collapsed="false">
      <c r="A273" s="15" t="s">
        <v>290</v>
      </c>
      <c r="B273" s="15" t="s">
        <v>1910</v>
      </c>
      <c r="C273" s="15" t="s">
        <v>2069</v>
      </c>
      <c r="D273" s="15" t="s">
        <v>2070</v>
      </c>
      <c r="E273" s="15" t="s">
        <v>2430</v>
      </c>
      <c r="F273" s="15" t="s">
        <v>2431</v>
      </c>
      <c r="G273" s="15" t="n">
        <v>250</v>
      </c>
      <c r="H273" s="15"/>
    </row>
    <row r="274" customFormat="false" ht="15" hidden="false" customHeight="false" outlineLevel="0" collapsed="false">
      <c r="A274" s="15" t="s">
        <v>290</v>
      </c>
      <c r="B274" s="15" t="s">
        <v>1915</v>
      </c>
      <c r="C274" s="15" t="s">
        <v>279</v>
      </c>
      <c r="D274" s="15" t="s">
        <v>1954</v>
      </c>
      <c r="E274" s="15" t="s">
        <v>2432</v>
      </c>
      <c r="F274" s="15" t="s">
        <v>2433</v>
      </c>
      <c r="G274" s="15" t="n">
        <v>250</v>
      </c>
      <c r="H274" s="15" t="s">
        <v>166</v>
      </c>
    </row>
    <row r="275" customFormat="false" ht="15" hidden="false" customHeight="false" outlineLevel="0" collapsed="false">
      <c r="A275" s="15" t="s">
        <v>290</v>
      </c>
      <c r="B275" s="15" t="s">
        <v>1915</v>
      </c>
      <c r="C275" s="15" t="s">
        <v>366</v>
      </c>
      <c r="D275" s="15" t="s">
        <v>1949</v>
      </c>
      <c r="E275" s="15" t="s">
        <v>2434</v>
      </c>
      <c r="F275" s="15" t="s">
        <v>2435</v>
      </c>
      <c r="G275" s="15" t="n">
        <v>250</v>
      </c>
      <c r="H275" s="15" t="s">
        <v>166</v>
      </c>
    </row>
    <row r="276" customFormat="false" ht="15" hidden="false" customHeight="false" outlineLevel="0" collapsed="false">
      <c r="A276" s="15" t="s">
        <v>290</v>
      </c>
      <c r="B276" s="15" t="s">
        <v>1915</v>
      </c>
      <c r="C276" s="15" t="s">
        <v>279</v>
      </c>
      <c r="D276" s="15" t="s">
        <v>1954</v>
      </c>
      <c r="E276" s="15" t="s">
        <v>2436</v>
      </c>
      <c r="F276" s="15" t="s">
        <v>2437</v>
      </c>
      <c r="G276" s="15" t="n">
        <v>250</v>
      </c>
      <c r="H276" s="15" t="s">
        <v>166</v>
      </c>
    </row>
    <row r="277" customFormat="false" ht="15" hidden="false" customHeight="false" outlineLevel="0" collapsed="false">
      <c r="A277" s="15" t="s">
        <v>290</v>
      </c>
      <c r="B277" s="15" t="s">
        <v>1915</v>
      </c>
      <c r="C277" s="15" t="s">
        <v>279</v>
      </c>
      <c r="D277" s="15" t="s">
        <v>1954</v>
      </c>
      <c r="E277" s="15" t="s">
        <v>2438</v>
      </c>
      <c r="F277" s="15" t="s">
        <v>2439</v>
      </c>
      <c r="G277" s="15" t="n">
        <v>250</v>
      </c>
      <c r="H277" s="15" t="s">
        <v>166</v>
      </c>
    </row>
    <row r="278" customFormat="false" ht="15" hidden="false" customHeight="false" outlineLevel="0" collapsed="false">
      <c r="A278" s="15" t="s">
        <v>290</v>
      </c>
      <c r="B278" s="15" t="s">
        <v>1915</v>
      </c>
      <c r="C278" s="15" t="s">
        <v>279</v>
      </c>
      <c r="D278" s="15" t="s">
        <v>1954</v>
      </c>
      <c r="E278" s="15" t="s">
        <v>2440</v>
      </c>
      <c r="F278" s="15" t="s">
        <v>2441</v>
      </c>
      <c r="G278" s="15" t="n">
        <v>250</v>
      </c>
      <c r="H278" s="15" t="s">
        <v>166</v>
      </c>
    </row>
    <row r="279" customFormat="false" ht="15" hidden="false" customHeight="false" outlineLevel="0" collapsed="false">
      <c r="A279" s="15" t="s">
        <v>290</v>
      </c>
      <c r="B279" s="15" t="s">
        <v>1915</v>
      </c>
      <c r="C279" s="15" t="s">
        <v>279</v>
      </c>
      <c r="D279" s="15" t="s">
        <v>1954</v>
      </c>
      <c r="E279" s="15" t="s">
        <v>2442</v>
      </c>
      <c r="F279" s="15" t="s">
        <v>2443</v>
      </c>
      <c r="G279" s="15" t="n">
        <v>250</v>
      </c>
      <c r="H279" s="15" t="s">
        <v>166</v>
      </c>
    </row>
    <row r="280" customFormat="false" ht="15" hidden="false" customHeight="false" outlineLevel="0" collapsed="false">
      <c r="A280" s="15" t="s">
        <v>290</v>
      </c>
      <c r="B280" s="15" t="s">
        <v>1915</v>
      </c>
      <c r="C280" s="15" t="s">
        <v>475</v>
      </c>
      <c r="D280" s="15" t="s">
        <v>1965</v>
      </c>
      <c r="E280" s="15" t="s">
        <v>2444</v>
      </c>
      <c r="F280" s="15" t="s">
        <v>2445</v>
      </c>
      <c r="G280" s="15" t="n">
        <v>250</v>
      </c>
      <c r="H280" s="15" t="s">
        <v>166</v>
      </c>
    </row>
    <row r="281" customFormat="false" ht="15" hidden="false" customHeight="false" outlineLevel="0" collapsed="false">
      <c r="A281" s="15" t="s">
        <v>290</v>
      </c>
      <c r="B281" s="15" t="s">
        <v>1915</v>
      </c>
      <c r="C281" s="15" t="s">
        <v>475</v>
      </c>
      <c r="D281" s="15" t="s">
        <v>1965</v>
      </c>
      <c r="E281" s="15" t="s">
        <v>2446</v>
      </c>
      <c r="F281" s="15" t="s">
        <v>2447</v>
      </c>
      <c r="G281" s="15" t="n">
        <v>250</v>
      </c>
      <c r="H281" s="15" t="s">
        <v>166</v>
      </c>
    </row>
    <row r="282" customFormat="false" ht="15" hidden="false" customHeight="false" outlineLevel="0" collapsed="false">
      <c r="A282" s="15" t="s">
        <v>294</v>
      </c>
      <c r="B282" s="15" t="s">
        <v>1910</v>
      </c>
      <c r="C282" s="15" t="s">
        <v>1974</v>
      </c>
      <c r="D282" s="15" t="s">
        <v>1975</v>
      </c>
      <c r="E282" s="15" t="s">
        <v>2448</v>
      </c>
      <c r="F282" s="15" t="s">
        <v>2449</v>
      </c>
      <c r="G282" s="15" t="n">
        <v>250</v>
      </c>
      <c r="H282" s="15"/>
    </row>
    <row r="283" customFormat="false" ht="15" hidden="false" customHeight="false" outlineLevel="0" collapsed="false">
      <c r="A283" s="15" t="s">
        <v>294</v>
      </c>
      <c r="B283" s="15" t="s">
        <v>1910</v>
      </c>
      <c r="C283" s="15" t="s">
        <v>1921</v>
      </c>
      <c r="D283" s="15" t="s">
        <v>1922</v>
      </c>
      <c r="E283" s="15" t="s">
        <v>2450</v>
      </c>
      <c r="F283" s="15" t="s">
        <v>2233</v>
      </c>
      <c r="G283" s="15" t="n">
        <v>500</v>
      </c>
      <c r="H283" s="15"/>
    </row>
    <row r="284" customFormat="false" ht="15" hidden="false" customHeight="false" outlineLevel="0" collapsed="false">
      <c r="A284" s="15" t="s">
        <v>294</v>
      </c>
      <c r="B284" s="15" t="s">
        <v>1915</v>
      </c>
      <c r="C284" s="15" t="s">
        <v>279</v>
      </c>
      <c r="D284" s="15" t="s">
        <v>1954</v>
      </c>
      <c r="E284" s="15" t="s">
        <v>2451</v>
      </c>
      <c r="F284" s="15" t="s">
        <v>2452</v>
      </c>
      <c r="G284" s="15" t="n">
        <v>500</v>
      </c>
      <c r="H284" s="15" t="s">
        <v>166</v>
      </c>
    </row>
    <row r="285" customFormat="false" ht="15" hidden="false" customHeight="false" outlineLevel="0" collapsed="false">
      <c r="A285" s="15" t="s">
        <v>294</v>
      </c>
      <c r="B285" s="15" t="s">
        <v>1915</v>
      </c>
      <c r="C285" s="15" t="s">
        <v>329</v>
      </c>
      <c r="D285" s="15" t="s">
        <v>1942</v>
      </c>
      <c r="E285" s="15" t="s">
        <v>2453</v>
      </c>
      <c r="F285" s="15" t="s">
        <v>2454</v>
      </c>
      <c r="G285" s="15" t="n">
        <v>250</v>
      </c>
      <c r="H285" s="15" t="s">
        <v>166</v>
      </c>
    </row>
    <row r="286" customFormat="false" ht="15" hidden="false" customHeight="false" outlineLevel="0" collapsed="false">
      <c r="A286" s="15" t="s">
        <v>294</v>
      </c>
      <c r="B286" s="15" t="s">
        <v>1915</v>
      </c>
      <c r="C286" s="15" t="s">
        <v>279</v>
      </c>
      <c r="D286" s="15" t="s">
        <v>1954</v>
      </c>
      <c r="E286" s="15" t="s">
        <v>2455</v>
      </c>
      <c r="F286" s="15" t="s">
        <v>2456</v>
      </c>
      <c r="G286" s="15" t="n">
        <v>250</v>
      </c>
      <c r="H286" s="15" t="s">
        <v>166</v>
      </c>
    </row>
    <row r="287" customFormat="false" ht="15" hidden="false" customHeight="false" outlineLevel="0" collapsed="false">
      <c r="A287" s="15" t="s">
        <v>294</v>
      </c>
      <c r="B287" s="15" t="s">
        <v>1915</v>
      </c>
      <c r="C287" s="15" t="s">
        <v>279</v>
      </c>
      <c r="D287" s="15" t="s">
        <v>1954</v>
      </c>
      <c r="E287" s="15" t="s">
        <v>2457</v>
      </c>
      <c r="F287" s="15" t="s">
        <v>2458</v>
      </c>
      <c r="G287" s="15" t="n">
        <v>250</v>
      </c>
      <c r="H287" s="15" t="s">
        <v>166</v>
      </c>
    </row>
    <row r="288" customFormat="false" ht="15" hidden="false" customHeight="false" outlineLevel="0" collapsed="false">
      <c r="A288" s="15" t="s">
        <v>294</v>
      </c>
      <c r="B288" s="15" t="s">
        <v>1915</v>
      </c>
      <c r="C288" s="15" t="s">
        <v>279</v>
      </c>
      <c r="D288" s="15" t="s">
        <v>1954</v>
      </c>
      <c r="E288" s="15" t="s">
        <v>2459</v>
      </c>
      <c r="F288" s="15" t="s">
        <v>2460</v>
      </c>
      <c r="G288" s="15" t="n">
        <v>1000</v>
      </c>
      <c r="H288" s="15" t="s">
        <v>166</v>
      </c>
    </row>
    <row r="289" customFormat="false" ht="15" hidden="false" customHeight="false" outlineLevel="0" collapsed="false">
      <c r="A289" s="15" t="s">
        <v>294</v>
      </c>
      <c r="B289" s="15" t="s">
        <v>1915</v>
      </c>
      <c r="C289" s="15" t="s">
        <v>279</v>
      </c>
      <c r="D289" s="15" t="s">
        <v>1954</v>
      </c>
      <c r="E289" s="15" t="s">
        <v>2461</v>
      </c>
      <c r="F289" s="15" t="s">
        <v>2462</v>
      </c>
      <c r="G289" s="15" t="n">
        <v>250</v>
      </c>
      <c r="H289" s="15" t="s">
        <v>166</v>
      </c>
    </row>
    <row r="290" customFormat="false" ht="15" hidden="false" customHeight="false" outlineLevel="0" collapsed="false">
      <c r="A290" s="15" t="s">
        <v>294</v>
      </c>
      <c r="B290" s="15" t="s">
        <v>1915</v>
      </c>
      <c r="C290" s="15" t="s">
        <v>279</v>
      </c>
      <c r="D290" s="15" t="s">
        <v>1954</v>
      </c>
      <c r="E290" s="15" t="s">
        <v>2463</v>
      </c>
      <c r="F290" s="15" t="s">
        <v>2464</v>
      </c>
      <c r="G290" s="15" t="n">
        <v>250</v>
      </c>
      <c r="H290" s="15" t="s">
        <v>166</v>
      </c>
    </row>
    <row r="291" customFormat="false" ht="15" hidden="false" customHeight="false" outlineLevel="0" collapsed="false">
      <c r="A291" s="15" t="s">
        <v>294</v>
      </c>
      <c r="B291" s="15" t="s">
        <v>1915</v>
      </c>
      <c r="C291" s="15" t="s">
        <v>279</v>
      </c>
      <c r="D291" s="15" t="s">
        <v>1954</v>
      </c>
      <c r="E291" s="15" t="s">
        <v>2465</v>
      </c>
      <c r="F291" s="15" t="s">
        <v>2466</v>
      </c>
      <c r="G291" s="15" t="n">
        <v>250</v>
      </c>
      <c r="H291" s="15" t="s">
        <v>166</v>
      </c>
    </row>
    <row r="292" customFormat="false" ht="15" hidden="false" customHeight="false" outlineLevel="0" collapsed="false">
      <c r="A292" s="15" t="s">
        <v>294</v>
      </c>
      <c r="B292" s="15" t="s">
        <v>1915</v>
      </c>
      <c r="C292" s="15" t="s">
        <v>279</v>
      </c>
      <c r="D292" s="15" t="s">
        <v>1954</v>
      </c>
      <c r="E292" s="15" t="s">
        <v>2467</v>
      </c>
      <c r="F292" s="15" t="s">
        <v>2468</v>
      </c>
      <c r="G292" s="15" t="n">
        <v>2000</v>
      </c>
      <c r="H292" s="15" t="s">
        <v>166</v>
      </c>
    </row>
    <row r="293" customFormat="false" ht="15" hidden="false" customHeight="false" outlineLevel="0" collapsed="false">
      <c r="A293" s="15" t="s">
        <v>294</v>
      </c>
      <c r="B293" s="15" t="s">
        <v>1915</v>
      </c>
      <c r="C293" s="15" t="s">
        <v>279</v>
      </c>
      <c r="D293" s="15" t="s">
        <v>1954</v>
      </c>
      <c r="E293" s="15" t="s">
        <v>2469</v>
      </c>
      <c r="F293" s="15" t="s">
        <v>2470</v>
      </c>
      <c r="G293" s="15" t="n">
        <v>750</v>
      </c>
      <c r="H293" s="15" t="s">
        <v>166</v>
      </c>
    </row>
    <row r="294" customFormat="false" ht="15" hidden="false" customHeight="false" outlineLevel="0" collapsed="false">
      <c r="A294" s="15" t="s">
        <v>294</v>
      </c>
      <c r="B294" s="15" t="s">
        <v>1915</v>
      </c>
      <c r="C294" s="15" t="s">
        <v>279</v>
      </c>
      <c r="D294" s="15" t="s">
        <v>1954</v>
      </c>
      <c r="E294" s="15" t="s">
        <v>2471</v>
      </c>
      <c r="F294" s="15" t="s">
        <v>2472</v>
      </c>
      <c r="G294" s="15" t="n">
        <v>1000</v>
      </c>
      <c r="H294" s="15" t="s">
        <v>166</v>
      </c>
    </row>
    <row r="295" customFormat="false" ht="15" hidden="false" customHeight="false" outlineLevel="0" collapsed="false">
      <c r="A295" s="15" t="s">
        <v>299</v>
      </c>
      <c r="B295" s="15" t="s">
        <v>1910</v>
      </c>
      <c r="C295" s="15" t="s">
        <v>2069</v>
      </c>
      <c r="D295" s="15" t="s">
        <v>2070</v>
      </c>
      <c r="E295" s="15" t="s">
        <v>2473</v>
      </c>
      <c r="F295" s="15" t="s">
        <v>2474</v>
      </c>
      <c r="G295" s="15" t="n">
        <v>250</v>
      </c>
      <c r="H295" s="15"/>
    </row>
    <row r="296" customFormat="false" ht="15" hidden="false" customHeight="false" outlineLevel="0" collapsed="false">
      <c r="A296" s="15" t="s">
        <v>299</v>
      </c>
      <c r="B296" s="15" t="s">
        <v>1915</v>
      </c>
      <c r="C296" s="15" t="s">
        <v>279</v>
      </c>
      <c r="D296" s="15" t="s">
        <v>1954</v>
      </c>
      <c r="E296" s="15" t="s">
        <v>2475</v>
      </c>
      <c r="F296" s="15" t="s">
        <v>2476</v>
      </c>
      <c r="G296" s="15" t="n">
        <v>250</v>
      </c>
      <c r="H296" s="15" t="s">
        <v>166</v>
      </c>
    </row>
    <row r="297" customFormat="false" ht="15" hidden="false" customHeight="false" outlineLevel="0" collapsed="false">
      <c r="A297" s="15" t="s">
        <v>299</v>
      </c>
      <c r="B297" s="15" t="s">
        <v>1915</v>
      </c>
      <c r="C297" s="15" t="s">
        <v>366</v>
      </c>
      <c r="D297" s="15" t="s">
        <v>1949</v>
      </c>
      <c r="E297" s="15" t="s">
        <v>2477</v>
      </c>
      <c r="F297" s="15" t="s">
        <v>2478</v>
      </c>
      <c r="G297" s="15" t="n">
        <v>250</v>
      </c>
      <c r="H297" s="15" t="s">
        <v>166</v>
      </c>
    </row>
    <row r="298" customFormat="false" ht="15" hidden="false" customHeight="false" outlineLevel="0" collapsed="false">
      <c r="A298" s="15" t="s">
        <v>299</v>
      </c>
      <c r="B298" s="15" t="s">
        <v>1915</v>
      </c>
      <c r="C298" s="15" t="s">
        <v>279</v>
      </c>
      <c r="D298" s="15" t="s">
        <v>1954</v>
      </c>
      <c r="E298" s="15" t="s">
        <v>2479</v>
      </c>
      <c r="F298" s="15" t="s">
        <v>2131</v>
      </c>
      <c r="G298" s="15" t="n">
        <v>250</v>
      </c>
      <c r="H298" s="15" t="s">
        <v>166</v>
      </c>
    </row>
    <row r="299" customFormat="false" ht="15" hidden="false" customHeight="false" outlineLevel="0" collapsed="false">
      <c r="A299" s="15" t="s">
        <v>299</v>
      </c>
      <c r="B299" s="15" t="s">
        <v>1915</v>
      </c>
      <c r="C299" s="15" t="s">
        <v>1961</v>
      </c>
      <c r="D299" s="15" t="s">
        <v>1962</v>
      </c>
      <c r="E299" s="15" t="s">
        <v>2480</v>
      </c>
      <c r="F299" s="15" t="s">
        <v>2481</v>
      </c>
      <c r="G299" s="15" t="n">
        <v>250</v>
      </c>
      <c r="H299" s="15" t="s">
        <v>166</v>
      </c>
    </row>
    <row r="300" customFormat="false" ht="15" hidden="false" customHeight="false" outlineLevel="0" collapsed="false">
      <c r="A300" s="15" t="s">
        <v>299</v>
      </c>
      <c r="B300" s="15" t="s">
        <v>1915</v>
      </c>
      <c r="C300" s="15" t="s">
        <v>475</v>
      </c>
      <c r="D300" s="15" t="s">
        <v>1965</v>
      </c>
      <c r="E300" s="15" t="s">
        <v>2482</v>
      </c>
      <c r="F300" s="15" t="s">
        <v>2483</v>
      </c>
      <c r="G300" s="15" t="n">
        <v>250</v>
      </c>
      <c r="H300" s="15" t="s">
        <v>166</v>
      </c>
    </row>
    <row r="301" customFormat="false" ht="15" hidden="false" customHeight="false" outlineLevel="0" collapsed="false">
      <c r="A301" s="15" t="s">
        <v>303</v>
      </c>
      <c r="B301" s="15" t="s">
        <v>1910</v>
      </c>
      <c r="C301" s="15" t="s">
        <v>1911</v>
      </c>
      <c r="D301" s="15" t="s">
        <v>1912</v>
      </c>
      <c r="E301" s="15" t="s">
        <v>2484</v>
      </c>
      <c r="F301" s="15" t="s">
        <v>2485</v>
      </c>
      <c r="G301" s="15" t="n">
        <v>250</v>
      </c>
      <c r="H301" s="15"/>
    </row>
    <row r="302" customFormat="false" ht="15" hidden="false" customHeight="false" outlineLevel="0" collapsed="false">
      <c r="A302" s="15" t="s">
        <v>303</v>
      </c>
      <c r="B302" s="15" t="s">
        <v>1910</v>
      </c>
      <c r="C302" s="15" t="s">
        <v>1911</v>
      </c>
      <c r="D302" s="15" t="s">
        <v>1912</v>
      </c>
      <c r="E302" s="15" t="s">
        <v>2486</v>
      </c>
      <c r="F302" s="15" t="s">
        <v>2487</v>
      </c>
      <c r="G302" s="15" t="n">
        <v>250</v>
      </c>
      <c r="H302" s="15"/>
    </row>
    <row r="303" customFormat="false" ht="15" hidden="false" customHeight="false" outlineLevel="0" collapsed="false">
      <c r="A303" s="15" t="s">
        <v>303</v>
      </c>
      <c r="B303" s="15" t="s">
        <v>1910</v>
      </c>
      <c r="C303" s="15" t="s">
        <v>1911</v>
      </c>
      <c r="D303" s="15" t="s">
        <v>1912</v>
      </c>
      <c r="E303" s="15" t="s">
        <v>2488</v>
      </c>
      <c r="F303" s="15" t="s">
        <v>2489</v>
      </c>
      <c r="G303" s="15" t="n">
        <v>250</v>
      </c>
      <c r="H303" s="15"/>
    </row>
    <row r="304" customFormat="false" ht="15" hidden="false" customHeight="false" outlineLevel="0" collapsed="false">
      <c r="A304" s="15" t="s">
        <v>303</v>
      </c>
      <c r="B304" s="15" t="s">
        <v>1910</v>
      </c>
      <c r="C304" s="15" t="s">
        <v>1970</v>
      </c>
      <c r="D304" s="15" t="s">
        <v>1971</v>
      </c>
      <c r="E304" s="15" t="s">
        <v>2490</v>
      </c>
      <c r="F304" s="15" t="s">
        <v>2491</v>
      </c>
      <c r="G304" s="15" t="n">
        <v>250</v>
      </c>
      <c r="H304" s="15"/>
    </row>
    <row r="305" customFormat="false" ht="15" hidden="false" customHeight="false" outlineLevel="0" collapsed="false">
      <c r="A305" s="15" t="s">
        <v>303</v>
      </c>
      <c r="B305" s="15" t="s">
        <v>1910</v>
      </c>
      <c r="C305" s="15" t="s">
        <v>1970</v>
      </c>
      <c r="D305" s="15" t="s">
        <v>1971</v>
      </c>
      <c r="E305" s="15" t="s">
        <v>2492</v>
      </c>
      <c r="F305" s="15" t="s">
        <v>2137</v>
      </c>
      <c r="G305" s="15" t="n">
        <v>250</v>
      </c>
      <c r="H305" s="15"/>
    </row>
    <row r="306" customFormat="false" ht="15" hidden="false" customHeight="false" outlineLevel="0" collapsed="false">
      <c r="A306" s="15" t="s">
        <v>303</v>
      </c>
      <c r="B306" s="15" t="s">
        <v>1910</v>
      </c>
      <c r="C306" s="15" t="s">
        <v>1974</v>
      </c>
      <c r="D306" s="15" t="s">
        <v>1975</v>
      </c>
      <c r="E306" s="15" t="s">
        <v>2493</v>
      </c>
      <c r="F306" s="15" t="s">
        <v>2494</v>
      </c>
      <c r="G306" s="15" t="n">
        <v>250</v>
      </c>
      <c r="H306" s="15"/>
    </row>
    <row r="307" customFormat="false" ht="15" hidden="false" customHeight="false" outlineLevel="0" collapsed="false">
      <c r="A307" s="15" t="s">
        <v>303</v>
      </c>
      <c r="B307" s="15" t="s">
        <v>1910</v>
      </c>
      <c r="C307" s="15" t="s">
        <v>2069</v>
      </c>
      <c r="D307" s="15" t="s">
        <v>2070</v>
      </c>
      <c r="E307" s="15" t="s">
        <v>2495</v>
      </c>
      <c r="F307" s="15" t="s">
        <v>2496</v>
      </c>
      <c r="G307" s="15" t="n">
        <v>250</v>
      </c>
      <c r="H307" s="15"/>
    </row>
    <row r="308" customFormat="false" ht="15" hidden="false" customHeight="false" outlineLevel="0" collapsed="false">
      <c r="A308" s="15" t="s">
        <v>303</v>
      </c>
      <c r="B308" s="15" t="s">
        <v>1910</v>
      </c>
      <c r="C308" s="15" t="s">
        <v>1921</v>
      </c>
      <c r="D308" s="15" t="s">
        <v>1922</v>
      </c>
      <c r="E308" s="15" t="s">
        <v>2497</v>
      </c>
      <c r="F308" s="15" t="s">
        <v>2498</v>
      </c>
      <c r="G308" s="15" t="n">
        <v>250</v>
      </c>
      <c r="H308" s="15"/>
    </row>
    <row r="309" customFormat="false" ht="15" hidden="false" customHeight="false" outlineLevel="0" collapsed="false">
      <c r="A309" s="15" t="s">
        <v>303</v>
      </c>
      <c r="B309" s="15" t="s">
        <v>1910</v>
      </c>
      <c r="C309" s="15" t="s">
        <v>1921</v>
      </c>
      <c r="D309" s="15" t="s">
        <v>1922</v>
      </c>
      <c r="E309" s="15" t="s">
        <v>2499</v>
      </c>
      <c r="F309" s="15" t="s">
        <v>2500</v>
      </c>
      <c r="G309" s="15" t="n">
        <v>250</v>
      </c>
      <c r="H309" s="15"/>
    </row>
    <row r="310" customFormat="false" ht="15" hidden="false" customHeight="false" outlineLevel="0" collapsed="false">
      <c r="A310" s="15" t="s">
        <v>303</v>
      </c>
      <c r="B310" s="15" t="s">
        <v>1910</v>
      </c>
      <c r="C310" s="15" t="s">
        <v>1921</v>
      </c>
      <c r="D310" s="15" t="s">
        <v>1922</v>
      </c>
      <c r="E310" s="15" t="s">
        <v>2501</v>
      </c>
      <c r="F310" s="15" t="s">
        <v>2502</v>
      </c>
      <c r="G310" s="15" t="n">
        <v>500</v>
      </c>
      <c r="H310" s="15"/>
    </row>
    <row r="311" customFormat="false" ht="15" hidden="false" customHeight="false" outlineLevel="0" collapsed="false">
      <c r="A311" s="15" t="s">
        <v>303</v>
      </c>
      <c r="B311" s="15" t="s">
        <v>1915</v>
      </c>
      <c r="C311" s="15" t="s">
        <v>305</v>
      </c>
      <c r="D311" s="15" t="s">
        <v>2503</v>
      </c>
      <c r="E311" s="15" t="s">
        <v>2504</v>
      </c>
      <c r="F311" s="15" t="s">
        <v>2505</v>
      </c>
      <c r="G311" s="15" t="n">
        <v>250</v>
      </c>
      <c r="H311" s="15" t="s">
        <v>166</v>
      </c>
    </row>
    <row r="312" customFormat="false" ht="15" hidden="false" customHeight="false" outlineLevel="0" collapsed="false">
      <c r="A312" s="15" t="s">
        <v>303</v>
      </c>
      <c r="B312" s="15" t="s">
        <v>1915</v>
      </c>
      <c r="C312" s="15" t="s">
        <v>305</v>
      </c>
      <c r="D312" s="15" t="s">
        <v>2503</v>
      </c>
      <c r="E312" s="15" t="s">
        <v>2506</v>
      </c>
      <c r="F312" s="15" t="s">
        <v>2489</v>
      </c>
      <c r="G312" s="15" t="n">
        <v>250</v>
      </c>
      <c r="H312" s="15" t="s">
        <v>166</v>
      </c>
    </row>
    <row r="313" customFormat="false" ht="15" hidden="false" customHeight="false" outlineLevel="0" collapsed="false">
      <c r="A313" s="15" t="s">
        <v>308</v>
      </c>
      <c r="B313" s="15" t="s">
        <v>1910</v>
      </c>
      <c r="C313" s="15" t="s">
        <v>1921</v>
      </c>
      <c r="D313" s="15" t="s">
        <v>1922</v>
      </c>
      <c r="E313" s="15" t="s">
        <v>2507</v>
      </c>
      <c r="F313" s="15" t="s">
        <v>2508</v>
      </c>
      <c r="G313" s="15" t="n">
        <v>250</v>
      </c>
      <c r="H313" s="15"/>
    </row>
    <row r="314" customFormat="false" ht="15" hidden="false" customHeight="false" outlineLevel="0" collapsed="false">
      <c r="A314" s="15" t="s">
        <v>308</v>
      </c>
      <c r="B314" s="15" t="s">
        <v>1915</v>
      </c>
      <c r="C314" s="15" t="s">
        <v>279</v>
      </c>
      <c r="D314" s="15" t="s">
        <v>1954</v>
      </c>
      <c r="E314" s="15" t="s">
        <v>2509</v>
      </c>
      <c r="F314" s="15" t="s">
        <v>2183</v>
      </c>
      <c r="G314" s="15" t="n">
        <v>500</v>
      </c>
      <c r="H314" s="15" t="s">
        <v>225</v>
      </c>
    </row>
    <row r="315" customFormat="false" ht="15" hidden="false" customHeight="false" outlineLevel="0" collapsed="false">
      <c r="A315" s="15" t="s">
        <v>311</v>
      </c>
      <c r="B315" s="15" t="s">
        <v>1910</v>
      </c>
      <c r="C315" s="15" t="s">
        <v>1992</v>
      </c>
      <c r="D315" s="15" t="s">
        <v>1993</v>
      </c>
      <c r="E315" s="15" t="s">
        <v>2510</v>
      </c>
      <c r="F315" s="15" t="s">
        <v>1995</v>
      </c>
      <c r="G315" s="15" t="n">
        <v>250</v>
      </c>
      <c r="H315" s="15"/>
    </row>
    <row r="316" customFormat="false" ht="15" hidden="false" customHeight="false" outlineLevel="0" collapsed="false">
      <c r="A316" s="15" t="s">
        <v>311</v>
      </c>
      <c r="B316" s="15" t="s">
        <v>1910</v>
      </c>
      <c r="C316" s="15" t="s">
        <v>1911</v>
      </c>
      <c r="D316" s="15" t="s">
        <v>1912</v>
      </c>
      <c r="E316" s="15" t="s">
        <v>2511</v>
      </c>
      <c r="F316" s="15" t="s">
        <v>2512</v>
      </c>
      <c r="G316" s="15" t="n">
        <v>250</v>
      </c>
      <c r="H316" s="15"/>
    </row>
    <row r="317" customFormat="false" ht="15" hidden="false" customHeight="false" outlineLevel="0" collapsed="false">
      <c r="A317" s="15" t="s">
        <v>311</v>
      </c>
      <c r="B317" s="15" t="s">
        <v>1910</v>
      </c>
      <c r="C317" s="15" t="s">
        <v>1970</v>
      </c>
      <c r="D317" s="15" t="s">
        <v>1971</v>
      </c>
      <c r="E317" s="15" t="s">
        <v>2513</v>
      </c>
      <c r="F317" s="15" t="s">
        <v>2512</v>
      </c>
      <c r="G317" s="15" t="n">
        <v>250</v>
      </c>
      <c r="H317" s="15"/>
    </row>
    <row r="318" customFormat="false" ht="15" hidden="false" customHeight="false" outlineLevel="0" collapsed="false">
      <c r="A318" s="15" t="s">
        <v>311</v>
      </c>
      <c r="B318" s="15" t="s">
        <v>1910</v>
      </c>
      <c r="C318" s="15" t="s">
        <v>1974</v>
      </c>
      <c r="D318" s="15" t="s">
        <v>1975</v>
      </c>
      <c r="E318" s="15" t="s">
        <v>2514</v>
      </c>
      <c r="F318" s="15" t="s">
        <v>2515</v>
      </c>
      <c r="G318" s="15" t="n">
        <v>250</v>
      </c>
      <c r="H318" s="15"/>
    </row>
    <row r="319" customFormat="false" ht="15" hidden="false" customHeight="false" outlineLevel="0" collapsed="false">
      <c r="A319" s="15" t="s">
        <v>311</v>
      </c>
      <c r="B319" s="15" t="s">
        <v>1910</v>
      </c>
      <c r="C319" s="15" t="s">
        <v>2069</v>
      </c>
      <c r="D319" s="15" t="s">
        <v>2070</v>
      </c>
      <c r="E319" s="15" t="s">
        <v>2516</v>
      </c>
      <c r="F319" s="15" t="s">
        <v>2512</v>
      </c>
      <c r="G319" s="15" t="n">
        <v>250</v>
      </c>
      <c r="H319" s="15"/>
    </row>
    <row r="320" customFormat="false" ht="15" hidden="false" customHeight="false" outlineLevel="0" collapsed="false">
      <c r="A320" s="15" t="s">
        <v>311</v>
      </c>
      <c r="B320" s="15" t="s">
        <v>1910</v>
      </c>
      <c r="C320" s="15" t="s">
        <v>1921</v>
      </c>
      <c r="D320" s="15" t="s">
        <v>1922</v>
      </c>
      <c r="E320" s="15" t="s">
        <v>2517</v>
      </c>
      <c r="F320" s="15" t="s">
        <v>2518</v>
      </c>
      <c r="G320" s="15" t="n">
        <v>500</v>
      </c>
      <c r="H320" s="15"/>
    </row>
    <row r="321" customFormat="false" ht="15" hidden="false" customHeight="false" outlineLevel="0" collapsed="false">
      <c r="A321" s="15" t="s">
        <v>311</v>
      </c>
      <c r="B321" s="15" t="s">
        <v>1910</v>
      </c>
      <c r="C321" s="15" t="s">
        <v>1921</v>
      </c>
      <c r="D321" s="15" t="s">
        <v>1922</v>
      </c>
      <c r="E321" s="15" t="s">
        <v>2519</v>
      </c>
      <c r="F321" s="15" t="s">
        <v>2520</v>
      </c>
      <c r="G321" s="15" t="n">
        <v>500</v>
      </c>
      <c r="H321" s="15"/>
    </row>
    <row r="322" customFormat="false" ht="15" hidden="false" customHeight="false" outlineLevel="0" collapsed="false">
      <c r="A322" s="15" t="s">
        <v>311</v>
      </c>
      <c r="B322" s="15" t="s">
        <v>1915</v>
      </c>
      <c r="C322" s="15" t="s">
        <v>260</v>
      </c>
      <c r="D322" s="15" t="s">
        <v>2013</v>
      </c>
      <c r="E322" s="15" t="s">
        <v>2521</v>
      </c>
      <c r="F322" s="15" t="s">
        <v>2522</v>
      </c>
      <c r="G322" s="15" t="n">
        <v>250</v>
      </c>
      <c r="H322" s="15" t="s">
        <v>195</v>
      </c>
    </row>
    <row r="323" customFormat="false" ht="15" hidden="false" customHeight="false" outlineLevel="0" collapsed="false">
      <c r="A323" s="15" t="s">
        <v>316</v>
      </c>
      <c r="B323" s="15" t="s">
        <v>1910</v>
      </c>
      <c r="C323" s="15" t="s">
        <v>1970</v>
      </c>
      <c r="D323" s="15" t="s">
        <v>1971</v>
      </c>
      <c r="E323" s="15" t="s">
        <v>2523</v>
      </c>
      <c r="F323" s="15" t="s">
        <v>2524</v>
      </c>
      <c r="G323" s="15" t="n">
        <v>250</v>
      </c>
      <c r="H323" s="15"/>
    </row>
    <row r="324" customFormat="false" ht="15" hidden="false" customHeight="false" outlineLevel="0" collapsed="false">
      <c r="A324" s="15" t="s">
        <v>316</v>
      </c>
      <c r="B324" s="15" t="s">
        <v>1910</v>
      </c>
      <c r="C324" s="15" t="s">
        <v>1974</v>
      </c>
      <c r="D324" s="15" t="s">
        <v>1975</v>
      </c>
      <c r="E324" s="15" t="s">
        <v>2525</v>
      </c>
      <c r="F324" s="15" t="s">
        <v>2524</v>
      </c>
      <c r="G324" s="15" t="n">
        <v>250</v>
      </c>
      <c r="H324" s="15"/>
    </row>
    <row r="325" customFormat="false" ht="15" hidden="false" customHeight="false" outlineLevel="0" collapsed="false">
      <c r="A325" s="15" t="s">
        <v>316</v>
      </c>
      <c r="B325" s="15" t="s">
        <v>1915</v>
      </c>
      <c r="C325" s="15" t="s">
        <v>279</v>
      </c>
      <c r="D325" s="15" t="s">
        <v>1954</v>
      </c>
      <c r="E325" s="15" t="s">
        <v>2526</v>
      </c>
      <c r="F325" s="15" t="s">
        <v>2527</v>
      </c>
      <c r="G325" s="15" t="n">
        <v>250</v>
      </c>
      <c r="H325" s="15" t="s">
        <v>166</v>
      </c>
    </row>
    <row r="326" customFormat="false" ht="15" hidden="false" customHeight="false" outlineLevel="0" collapsed="false">
      <c r="A326" s="15" t="s">
        <v>316</v>
      </c>
      <c r="B326" s="15" t="s">
        <v>1915</v>
      </c>
      <c r="C326" s="15" t="s">
        <v>279</v>
      </c>
      <c r="D326" s="15" t="s">
        <v>1954</v>
      </c>
      <c r="E326" s="15" t="s">
        <v>2528</v>
      </c>
      <c r="F326" s="15" t="s">
        <v>2529</v>
      </c>
      <c r="G326" s="15" t="n">
        <v>250</v>
      </c>
      <c r="H326" s="15" t="s">
        <v>166</v>
      </c>
    </row>
    <row r="327" customFormat="false" ht="15" hidden="false" customHeight="false" outlineLevel="0" collapsed="false">
      <c r="A327" s="15" t="s">
        <v>316</v>
      </c>
      <c r="B327" s="15" t="s">
        <v>1915</v>
      </c>
      <c r="C327" s="15" t="s">
        <v>279</v>
      </c>
      <c r="D327" s="15" t="s">
        <v>1954</v>
      </c>
      <c r="E327" s="15" t="s">
        <v>2530</v>
      </c>
      <c r="F327" s="15" t="s">
        <v>2531</v>
      </c>
      <c r="G327" s="15" t="n">
        <v>250</v>
      </c>
      <c r="H327" s="15" t="s">
        <v>166</v>
      </c>
    </row>
    <row r="328" customFormat="false" ht="15" hidden="false" customHeight="false" outlineLevel="0" collapsed="false">
      <c r="A328" s="15" t="s">
        <v>316</v>
      </c>
      <c r="B328" s="15" t="s">
        <v>1915</v>
      </c>
      <c r="C328" s="15" t="s">
        <v>279</v>
      </c>
      <c r="D328" s="15" t="s">
        <v>1954</v>
      </c>
      <c r="E328" s="15" t="s">
        <v>2532</v>
      </c>
      <c r="F328" s="15" t="s">
        <v>2533</v>
      </c>
      <c r="G328" s="15" t="n">
        <v>500</v>
      </c>
      <c r="H328" s="15" t="s">
        <v>166</v>
      </c>
    </row>
    <row r="329" customFormat="false" ht="15" hidden="false" customHeight="false" outlineLevel="0" collapsed="false">
      <c r="A329" s="15" t="s">
        <v>316</v>
      </c>
      <c r="B329" s="15" t="s">
        <v>1915</v>
      </c>
      <c r="C329" s="15" t="s">
        <v>279</v>
      </c>
      <c r="D329" s="15" t="s">
        <v>1954</v>
      </c>
      <c r="E329" s="15" t="s">
        <v>2534</v>
      </c>
      <c r="F329" s="15" t="s">
        <v>2535</v>
      </c>
      <c r="G329" s="15" t="n">
        <v>1000</v>
      </c>
      <c r="H329" s="15" t="s">
        <v>166</v>
      </c>
    </row>
    <row r="330" customFormat="false" ht="15" hidden="false" customHeight="false" outlineLevel="0" collapsed="false">
      <c r="A330" s="15" t="s">
        <v>316</v>
      </c>
      <c r="B330" s="15" t="s">
        <v>1915</v>
      </c>
      <c r="C330" s="15" t="s">
        <v>279</v>
      </c>
      <c r="D330" s="15" t="s">
        <v>1954</v>
      </c>
      <c r="E330" s="15" t="s">
        <v>2536</v>
      </c>
      <c r="F330" s="15" t="s">
        <v>2367</v>
      </c>
      <c r="G330" s="15" t="n">
        <v>1000</v>
      </c>
      <c r="H330" s="15" t="s">
        <v>166</v>
      </c>
    </row>
    <row r="331" customFormat="false" ht="15" hidden="false" customHeight="false" outlineLevel="0" collapsed="false">
      <c r="A331" s="15" t="s">
        <v>316</v>
      </c>
      <c r="B331" s="15" t="s">
        <v>1915</v>
      </c>
      <c r="C331" s="15" t="s">
        <v>475</v>
      </c>
      <c r="D331" s="15" t="s">
        <v>1965</v>
      </c>
      <c r="E331" s="15" t="s">
        <v>2537</v>
      </c>
      <c r="F331" s="15" t="s">
        <v>2426</v>
      </c>
      <c r="G331" s="15" t="n">
        <v>1000</v>
      </c>
      <c r="H331" s="15" t="s">
        <v>166</v>
      </c>
    </row>
    <row r="332" customFormat="false" ht="15" hidden="false" customHeight="false" outlineLevel="0" collapsed="false">
      <c r="A332" s="15" t="s">
        <v>316</v>
      </c>
      <c r="B332" s="15" t="s">
        <v>1915</v>
      </c>
      <c r="C332" s="15" t="s">
        <v>305</v>
      </c>
      <c r="D332" s="15" t="s">
        <v>2503</v>
      </c>
      <c r="E332" s="15" t="s">
        <v>2538</v>
      </c>
      <c r="F332" s="15" t="s">
        <v>2539</v>
      </c>
      <c r="G332" s="15" t="n">
        <v>1000</v>
      </c>
      <c r="H332" s="15" t="s">
        <v>166</v>
      </c>
    </row>
    <row r="333" customFormat="false" ht="15" hidden="false" customHeight="false" outlineLevel="0" collapsed="false">
      <c r="A333" s="15" t="s">
        <v>321</v>
      </c>
      <c r="B333" s="15" t="s">
        <v>1910</v>
      </c>
      <c r="C333" s="15" t="s">
        <v>1921</v>
      </c>
      <c r="D333" s="15" t="s">
        <v>1922</v>
      </c>
      <c r="E333" s="15" t="s">
        <v>2540</v>
      </c>
      <c r="F333" s="15" t="s">
        <v>2541</v>
      </c>
      <c r="G333" s="15" t="n">
        <v>500</v>
      </c>
      <c r="H333" s="15"/>
    </row>
    <row r="334" customFormat="false" ht="15" hidden="false" customHeight="false" outlineLevel="0" collapsed="false">
      <c r="A334" s="15" t="s">
        <v>321</v>
      </c>
      <c r="B334" s="15" t="s">
        <v>1915</v>
      </c>
      <c r="C334" s="15" t="s">
        <v>260</v>
      </c>
      <c r="D334" s="15" t="s">
        <v>2013</v>
      </c>
      <c r="E334" s="15" t="s">
        <v>2542</v>
      </c>
      <c r="F334" s="15" t="s">
        <v>2338</v>
      </c>
      <c r="G334" s="15" t="n">
        <v>1000</v>
      </c>
      <c r="H334" s="15" t="s">
        <v>166</v>
      </c>
    </row>
    <row r="335" customFormat="false" ht="15" hidden="false" customHeight="false" outlineLevel="0" collapsed="false">
      <c r="A335" s="15" t="s">
        <v>324</v>
      </c>
      <c r="B335" s="15" t="s">
        <v>1910</v>
      </c>
      <c r="C335" s="15" t="s">
        <v>1992</v>
      </c>
      <c r="D335" s="15" t="s">
        <v>1993</v>
      </c>
      <c r="E335" s="15" t="s">
        <v>2543</v>
      </c>
      <c r="F335" s="15" t="s">
        <v>2544</v>
      </c>
      <c r="G335" s="15" t="n">
        <v>250</v>
      </c>
      <c r="H335" s="15"/>
    </row>
    <row r="336" customFormat="false" ht="15" hidden="false" customHeight="false" outlineLevel="0" collapsed="false">
      <c r="A336" s="15" t="s">
        <v>324</v>
      </c>
      <c r="B336" s="15" t="s">
        <v>1910</v>
      </c>
      <c r="C336" s="15" t="s">
        <v>1911</v>
      </c>
      <c r="D336" s="15" t="s">
        <v>1912</v>
      </c>
      <c r="E336" s="15" t="s">
        <v>2545</v>
      </c>
      <c r="F336" s="15" t="s">
        <v>2546</v>
      </c>
      <c r="G336" s="15" t="n">
        <v>250</v>
      </c>
      <c r="H336" s="15"/>
    </row>
    <row r="337" customFormat="false" ht="15" hidden="false" customHeight="false" outlineLevel="0" collapsed="false">
      <c r="A337" s="15" t="s">
        <v>324</v>
      </c>
      <c r="B337" s="15" t="s">
        <v>1910</v>
      </c>
      <c r="C337" s="15" t="s">
        <v>1911</v>
      </c>
      <c r="D337" s="15" t="s">
        <v>1912</v>
      </c>
      <c r="E337" s="15" t="s">
        <v>2547</v>
      </c>
      <c r="F337" s="15" t="s">
        <v>2303</v>
      </c>
      <c r="G337" s="15" t="n">
        <v>250</v>
      </c>
      <c r="H337" s="15"/>
    </row>
    <row r="338" customFormat="false" ht="15" hidden="false" customHeight="false" outlineLevel="0" collapsed="false">
      <c r="A338" s="15" t="s">
        <v>324</v>
      </c>
      <c r="B338" s="15" t="s">
        <v>1910</v>
      </c>
      <c r="C338" s="15" t="s">
        <v>1974</v>
      </c>
      <c r="D338" s="15" t="s">
        <v>1975</v>
      </c>
      <c r="E338" s="15" t="s">
        <v>2548</v>
      </c>
      <c r="F338" s="15" t="s">
        <v>2449</v>
      </c>
      <c r="G338" s="15" t="n">
        <v>250</v>
      </c>
      <c r="H338" s="15"/>
    </row>
    <row r="339" customFormat="false" ht="15" hidden="false" customHeight="false" outlineLevel="0" collapsed="false">
      <c r="A339" s="15" t="s">
        <v>324</v>
      </c>
      <c r="B339" s="15" t="s">
        <v>1910</v>
      </c>
      <c r="C339" s="15" t="s">
        <v>2069</v>
      </c>
      <c r="D339" s="15" t="s">
        <v>2070</v>
      </c>
      <c r="E339" s="15" t="s">
        <v>2549</v>
      </c>
      <c r="F339" s="15" t="s">
        <v>2550</v>
      </c>
      <c r="G339" s="15" t="n">
        <v>250</v>
      </c>
      <c r="H339" s="15"/>
    </row>
    <row r="340" customFormat="false" ht="15" hidden="false" customHeight="false" outlineLevel="0" collapsed="false">
      <c r="A340" s="15" t="s">
        <v>324</v>
      </c>
      <c r="B340" s="15" t="s">
        <v>1910</v>
      </c>
      <c r="C340" s="15" t="s">
        <v>2069</v>
      </c>
      <c r="D340" s="15" t="s">
        <v>2070</v>
      </c>
      <c r="E340" s="15" t="s">
        <v>2551</v>
      </c>
      <c r="F340" s="15" t="s">
        <v>2524</v>
      </c>
      <c r="G340" s="15" t="n">
        <v>250</v>
      </c>
      <c r="H340" s="15"/>
    </row>
    <row r="341" customFormat="false" ht="15" hidden="false" customHeight="false" outlineLevel="0" collapsed="false">
      <c r="A341" s="15" t="s">
        <v>324</v>
      </c>
      <c r="B341" s="15" t="s">
        <v>1910</v>
      </c>
      <c r="C341" s="15" t="s">
        <v>1921</v>
      </c>
      <c r="D341" s="15" t="s">
        <v>1922</v>
      </c>
      <c r="E341" s="15" t="s">
        <v>2552</v>
      </c>
      <c r="F341" s="15" t="s">
        <v>2231</v>
      </c>
      <c r="G341" s="15" t="n">
        <v>500</v>
      </c>
      <c r="H341" s="15"/>
    </row>
    <row r="342" customFormat="false" ht="15" hidden="false" customHeight="false" outlineLevel="0" collapsed="false">
      <c r="A342" s="15" t="s">
        <v>324</v>
      </c>
      <c r="B342" s="15" t="s">
        <v>1910</v>
      </c>
      <c r="C342" s="15" t="s">
        <v>1921</v>
      </c>
      <c r="D342" s="15" t="s">
        <v>1922</v>
      </c>
      <c r="E342" s="15" t="s">
        <v>2553</v>
      </c>
      <c r="F342" s="15" t="s">
        <v>2355</v>
      </c>
      <c r="G342" s="15" t="n">
        <v>500</v>
      </c>
      <c r="H342" s="15"/>
    </row>
    <row r="343" customFormat="false" ht="15" hidden="false" customHeight="false" outlineLevel="0" collapsed="false">
      <c r="A343" s="15" t="s">
        <v>324</v>
      </c>
      <c r="B343" s="15" t="s">
        <v>1915</v>
      </c>
      <c r="C343" s="15" t="s">
        <v>260</v>
      </c>
      <c r="D343" s="15" t="s">
        <v>2013</v>
      </c>
      <c r="E343" s="15" t="s">
        <v>2554</v>
      </c>
      <c r="F343" s="15" t="s">
        <v>2555</v>
      </c>
      <c r="G343" s="15" t="n">
        <v>250</v>
      </c>
      <c r="H343" s="15" t="s">
        <v>166</v>
      </c>
    </row>
    <row r="344" customFormat="false" ht="15" hidden="false" customHeight="false" outlineLevel="0" collapsed="false">
      <c r="A344" s="15" t="s">
        <v>328</v>
      </c>
      <c r="B344" s="15" t="s">
        <v>1910</v>
      </c>
      <c r="C344" s="15" t="s">
        <v>1911</v>
      </c>
      <c r="D344" s="15" t="s">
        <v>1912</v>
      </c>
      <c r="E344" s="15" t="s">
        <v>2556</v>
      </c>
      <c r="F344" s="15" t="s">
        <v>2557</v>
      </c>
      <c r="G344" s="15" t="n">
        <v>250</v>
      </c>
      <c r="H344" s="15"/>
    </row>
    <row r="345" customFormat="false" ht="15" hidden="false" customHeight="false" outlineLevel="0" collapsed="false">
      <c r="A345" s="15" t="s">
        <v>328</v>
      </c>
      <c r="B345" s="15" t="s">
        <v>1915</v>
      </c>
      <c r="C345" s="15" t="s">
        <v>329</v>
      </c>
      <c r="D345" s="15" t="s">
        <v>1942</v>
      </c>
      <c r="E345" s="15" t="s">
        <v>2558</v>
      </c>
      <c r="F345" s="15" t="s">
        <v>2559</v>
      </c>
      <c r="G345" s="15" t="n">
        <v>250</v>
      </c>
      <c r="H345" s="15" t="s">
        <v>166</v>
      </c>
    </row>
    <row r="346" customFormat="false" ht="15" hidden="false" customHeight="false" outlineLevel="0" collapsed="false">
      <c r="A346" s="15" t="s">
        <v>332</v>
      </c>
      <c r="B346" s="15" t="s">
        <v>1910</v>
      </c>
      <c r="C346" s="15" t="s">
        <v>1974</v>
      </c>
      <c r="D346" s="15" t="s">
        <v>1975</v>
      </c>
      <c r="E346" s="15" t="s">
        <v>2560</v>
      </c>
      <c r="F346" s="15" t="s">
        <v>2449</v>
      </c>
      <c r="G346" s="15" t="n">
        <v>250</v>
      </c>
      <c r="H346" s="15"/>
    </row>
    <row r="347" customFormat="false" ht="15" hidden="false" customHeight="false" outlineLevel="0" collapsed="false">
      <c r="A347" s="15" t="s">
        <v>332</v>
      </c>
      <c r="B347" s="15" t="s">
        <v>1910</v>
      </c>
      <c r="C347" s="15" t="s">
        <v>2069</v>
      </c>
      <c r="D347" s="15" t="s">
        <v>2070</v>
      </c>
      <c r="E347" s="15" t="s">
        <v>2561</v>
      </c>
      <c r="F347" s="15" t="s">
        <v>2349</v>
      </c>
      <c r="G347" s="15" t="n">
        <v>250</v>
      </c>
      <c r="H347" s="15"/>
    </row>
    <row r="348" customFormat="false" ht="15" hidden="false" customHeight="false" outlineLevel="0" collapsed="false">
      <c r="A348" s="15" t="s">
        <v>332</v>
      </c>
      <c r="B348" s="15" t="s">
        <v>1910</v>
      </c>
      <c r="C348" s="15" t="s">
        <v>1921</v>
      </c>
      <c r="D348" s="15" t="s">
        <v>1922</v>
      </c>
      <c r="E348" s="15" t="s">
        <v>2562</v>
      </c>
      <c r="F348" s="15" t="s">
        <v>2260</v>
      </c>
      <c r="G348" s="15" t="n">
        <v>500</v>
      </c>
      <c r="H348" s="15"/>
    </row>
    <row r="349" customFormat="false" ht="15" hidden="false" customHeight="false" outlineLevel="0" collapsed="false">
      <c r="A349" s="15" t="s">
        <v>332</v>
      </c>
      <c r="B349" s="15" t="s">
        <v>1910</v>
      </c>
      <c r="C349" s="15" t="s">
        <v>1921</v>
      </c>
      <c r="D349" s="15" t="s">
        <v>1922</v>
      </c>
      <c r="E349" s="15" t="s">
        <v>2563</v>
      </c>
      <c r="F349" s="15" t="s">
        <v>2564</v>
      </c>
      <c r="G349" s="15" t="n">
        <v>500</v>
      </c>
      <c r="H349" s="15"/>
    </row>
    <row r="350" customFormat="false" ht="15" hidden="false" customHeight="false" outlineLevel="0" collapsed="false">
      <c r="A350" s="15" t="s">
        <v>332</v>
      </c>
      <c r="B350" s="15" t="s">
        <v>1910</v>
      </c>
      <c r="C350" s="15" t="s">
        <v>1921</v>
      </c>
      <c r="D350" s="15" t="s">
        <v>1922</v>
      </c>
      <c r="E350" s="15" t="s">
        <v>2565</v>
      </c>
      <c r="F350" s="15" t="s">
        <v>2566</v>
      </c>
      <c r="G350" s="15" t="n">
        <v>500</v>
      </c>
      <c r="H350" s="15"/>
    </row>
    <row r="351" customFormat="false" ht="15" hidden="false" customHeight="false" outlineLevel="0" collapsed="false">
      <c r="A351" s="15" t="s">
        <v>332</v>
      </c>
      <c r="B351" s="15" t="s">
        <v>1915</v>
      </c>
      <c r="C351" s="15" t="s">
        <v>260</v>
      </c>
      <c r="D351" s="15" t="s">
        <v>2013</v>
      </c>
      <c r="E351" s="15" t="s">
        <v>2567</v>
      </c>
      <c r="F351" s="15" t="s">
        <v>2568</v>
      </c>
      <c r="G351" s="15" t="n">
        <v>500</v>
      </c>
      <c r="H351" s="15" t="s">
        <v>166</v>
      </c>
    </row>
    <row r="352" customFormat="false" ht="15" hidden="false" customHeight="false" outlineLevel="0" collapsed="false">
      <c r="A352" s="15" t="s">
        <v>332</v>
      </c>
      <c r="B352" s="15" t="s">
        <v>1915</v>
      </c>
      <c r="C352" s="15" t="s">
        <v>279</v>
      </c>
      <c r="D352" s="15" t="s">
        <v>1954</v>
      </c>
      <c r="E352" s="15" t="s">
        <v>2569</v>
      </c>
      <c r="F352" s="15" t="s">
        <v>2460</v>
      </c>
      <c r="G352" s="15" t="n">
        <v>3000</v>
      </c>
      <c r="H352" s="15" t="s">
        <v>166</v>
      </c>
    </row>
    <row r="353" customFormat="false" ht="15" hidden="false" customHeight="false" outlineLevel="0" collapsed="false">
      <c r="A353" s="15" t="s">
        <v>332</v>
      </c>
      <c r="B353" s="15" t="s">
        <v>1915</v>
      </c>
      <c r="C353" s="15" t="s">
        <v>279</v>
      </c>
      <c r="D353" s="15" t="s">
        <v>1954</v>
      </c>
      <c r="E353" s="15" t="s">
        <v>2570</v>
      </c>
      <c r="F353" s="15" t="s">
        <v>2468</v>
      </c>
      <c r="G353" s="15" t="n">
        <v>2000</v>
      </c>
      <c r="H353" s="15" t="s">
        <v>166</v>
      </c>
    </row>
    <row r="354" customFormat="false" ht="15" hidden="false" customHeight="false" outlineLevel="0" collapsed="false">
      <c r="A354" s="15" t="s">
        <v>332</v>
      </c>
      <c r="B354" s="15" t="s">
        <v>1915</v>
      </c>
      <c r="C354" s="15" t="s">
        <v>279</v>
      </c>
      <c r="D354" s="15" t="s">
        <v>1954</v>
      </c>
      <c r="E354" s="15" t="s">
        <v>2571</v>
      </c>
      <c r="F354" s="15" t="s">
        <v>2572</v>
      </c>
      <c r="G354" s="15" t="n">
        <v>1000</v>
      </c>
      <c r="H354" s="15" t="s">
        <v>166</v>
      </c>
    </row>
    <row r="355" customFormat="false" ht="15" hidden="false" customHeight="false" outlineLevel="0" collapsed="false">
      <c r="A355" s="15" t="s">
        <v>332</v>
      </c>
      <c r="B355" s="15" t="s">
        <v>1915</v>
      </c>
      <c r="C355" s="15" t="s">
        <v>279</v>
      </c>
      <c r="D355" s="15" t="s">
        <v>1954</v>
      </c>
      <c r="E355" s="15" t="s">
        <v>2573</v>
      </c>
      <c r="F355" s="15" t="s">
        <v>2574</v>
      </c>
      <c r="G355" s="15" t="n">
        <v>2000</v>
      </c>
      <c r="H355" s="15" t="s">
        <v>166</v>
      </c>
    </row>
    <row r="356" customFormat="false" ht="15" hidden="false" customHeight="false" outlineLevel="0" collapsed="false">
      <c r="A356" s="15" t="s">
        <v>337</v>
      </c>
      <c r="B356" s="15" t="s">
        <v>1910</v>
      </c>
      <c r="C356" s="15" t="s">
        <v>1970</v>
      </c>
      <c r="D356" s="15" t="s">
        <v>1971</v>
      </c>
      <c r="E356" s="15" t="s">
        <v>2575</v>
      </c>
      <c r="F356" s="15" t="s">
        <v>2576</v>
      </c>
      <c r="G356" s="15" t="n">
        <v>250</v>
      </c>
      <c r="H356" s="15"/>
    </row>
    <row r="357" customFormat="false" ht="15" hidden="false" customHeight="false" outlineLevel="0" collapsed="false">
      <c r="A357" s="15" t="s">
        <v>337</v>
      </c>
      <c r="B357" s="15" t="s">
        <v>1915</v>
      </c>
      <c r="C357" s="15" t="s">
        <v>260</v>
      </c>
      <c r="D357" s="15" t="s">
        <v>2013</v>
      </c>
      <c r="E357" s="15" t="s">
        <v>2577</v>
      </c>
      <c r="F357" s="15" t="s">
        <v>2578</v>
      </c>
      <c r="G357" s="15" t="n">
        <v>250</v>
      </c>
      <c r="H357" s="15" t="s">
        <v>166</v>
      </c>
    </row>
    <row r="358" customFormat="false" ht="15" hidden="false" customHeight="false" outlineLevel="0" collapsed="false">
      <c r="A358" s="15" t="s">
        <v>340</v>
      </c>
      <c r="B358" s="15" t="s">
        <v>1910</v>
      </c>
      <c r="C358" s="15" t="s">
        <v>1970</v>
      </c>
      <c r="D358" s="15" t="s">
        <v>1971</v>
      </c>
      <c r="E358" s="15" t="s">
        <v>2579</v>
      </c>
      <c r="F358" s="15" t="s">
        <v>2580</v>
      </c>
      <c r="G358" s="15" t="n">
        <v>250</v>
      </c>
      <c r="H358" s="15"/>
    </row>
    <row r="359" customFormat="false" ht="15" hidden="false" customHeight="false" outlineLevel="0" collapsed="false">
      <c r="A359" s="15" t="s">
        <v>340</v>
      </c>
      <c r="B359" s="15" t="s">
        <v>1915</v>
      </c>
      <c r="C359" s="15" t="s">
        <v>224</v>
      </c>
      <c r="D359" s="15" t="s">
        <v>2016</v>
      </c>
      <c r="E359" s="15" t="s">
        <v>2581</v>
      </c>
      <c r="F359" s="15" t="s">
        <v>2582</v>
      </c>
      <c r="G359" s="15" t="n">
        <v>250</v>
      </c>
      <c r="H359" s="15" t="s">
        <v>166</v>
      </c>
    </row>
    <row r="360" customFormat="false" ht="15" hidden="false" customHeight="false" outlineLevel="0" collapsed="false">
      <c r="A360" s="15" t="s">
        <v>340</v>
      </c>
      <c r="B360" s="15" t="s">
        <v>1915</v>
      </c>
      <c r="C360" s="15" t="s">
        <v>224</v>
      </c>
      <c r="D360" s="15" t="s">
        <v>2016</v>
      </c>
      <c r="E360" s="15" t="s">
        <v>2583</v>
      </c>
      <c r="F360" s="15" t="s">
        <v>2584</v>
      </c>
      <c r="G360" s="15" t="n">
        <v>500</v>
      </c>
      <c r="H360" s="15" t="s">
        <v>166</v>
      </c>
    </row>
    <row r="361" customFormat="false" ht="15" hidden="false" customHeight="false" outlineLevel="0" collapsed="false">
      <c r="A361" s="15" t="s">
        <v>343</v>
      </c>
      <c r="B361" s="15" t="s">
        <v>1910</v>
      </c>
      <c r="C361" s="15" t="s">
        <v>1911</v>
      </c>
      <c r="D361" s="15" t="s">
        <v>1912</v>
      </c>
      <c r="E361" s="15" t="s">
        <v>2585</v>
      </c>
      <c r="F361" s="15" t="s">
        <v>2586</v>
      </c>
      <c r="G361" s="15" t="n">
        <v>250</v>
      </c>
      <c r="H361" s="15"/>
    </row>
    <row r="362" customFormat="false" ht="15" hidden="false" customHeight="false" outlineLevel="0" collapsed="false">
      <c r="A362" s="15" t="s">
        <v>343</v>
      </c>
      <c r="B362" s="15" t="s">
        <v>1915</v>
      </c>
      <c r="C362" s="15" t="s">
        <v>279</v>
      </c>
      <c r="D362" s="15" t="s">
        <v>1954</v>
      </c>
      <c r="E362" s="15" t="s">
        <v>2587</v>
      </c>
      <c r="F362" s="15" t="s">
        <v>2588</v>
      </c>
      <c r="G362" s="15" t="n">
        <v>500</v>
      </c>
      <c r="H362" s="15" t="s">
        <v>166</v>
      </c>
    </row>
    <row r="363" customFormat="false" ht="15" hidden="false" customHeight="false" outlineLevel="0" collapsed="false">
      <c r="A363" s="15" t="s">
        <v>343</v>
      </c>
      <c r="B363" s="15" t="s">
        <v>1915</v>
      </c>
      <c r="C363" s="15" t="s">
        <v>279</v>
      </c>
      <c r="D363" s="15" t="s">
        <v>1954</v>
      </c>
      <c r="E363" s="15" t="s">
        <v>2589</v>
      </c>
      <c r="F363" s="15" t="s">
        <v>2590</v>
      </c>
      <c r="G363" s="15" t="n">
        <v>250</v>
      </c>
      <c r="H363" s="15" t="s">
        <v>166</v>
      </c>
    </row>
    <row r="364" customFormat="false" ht="15" hidden="false" customHeight="false" outlineLevel="0" collapsed="false">
      <c r="A364" s="15" t="s">
        <v>343</v>
      </c>
      <c r="B364" s="15" t="s">
        <v>1915</v>
      </c>
      <c r="C364" s="15" t="s">
        <v>279</v>
      </c>
      <c r="D364" s="15" t="s">
        <v>1954</v>
      </c>
      <c r="E364" s="15" t="s">
        <v>2591</v>
      </c>
      <c r="F364" s="15" t="s">
        <v>2592</v>
      </c>
      <c r="G364" s="15" t="n">
        <v>250</v>
      </c>
      <c r="H364" s="15" t="s">
        <v>166</v>
      </c>
    </row>
    <row r="365" customFormat="false" ht="15" hidden="false" customHeight="false" outlineLevel="0" collapsed="false">
      <c r="A365" s="15" t="s">
        <v>343</v>
      </c>
      <c r="B365" s="15" t="s">
        <v>1915</v>
      </c>
      <c r="C365" s="15" t="s">
        <v>279</v>
      </c>
      <c r="D365" s="15" t="s">
        <v>1954</v>
      </c>
      <c r="E365" s="15" t="s">
        <v>2593</v>
      </c>
      <c r="F365" s="15" t="s">
        <v>2594</v>
      </c>
      <c r="G365" s="15" t="n">
        <v>250</v>
      </c>
      <c r="H365" s="15" t="s">
        <v>166</v>
      </c>
    </row>
    <row r="366" customFormat="false" ht="15" hidden="false" customHeight="false" outlineLevel="0" collapsed="false">
      <c r="A366" s="15" t="s">
        <v>343</v>
      </c>
      <c r="B366" s="15" t="s">
        <v>1915</v>
      </c>
      <c r="C366" s="15" t="s">
        <v>279</v>
      </c>
      <c r="D366" s="15" t="s">
        <v>1954</v>
      </c>
      <c r="E366" s="15" t="s">
        <v>2595</v>
      </c>
      <c r="F366" s="15" t="s">
        <v>2596</v>
      </c>
      <c r="G366" s="15" t="n">
        <v>250</v>
      </c>
      <c r="H366" s="15" t="s">
        <v>166</v>
      </c>
    </row>
    <row r="367" customFormat="false" ht="15" hidden="false" customHeight="false" outlineLevel="0" collapsed="false">
      <c r="A367" s="15" t="s">
        <v>343</v>
      </c>
      <c r="B367" s="15" t="s">
        <v>1915</v>
      </c>
      <c r="C367" s="15" t="s">
        <v>279</v>
      </c>
      <c r="D367" s="15" t="s">
        <v>1954</v>
      </c>
      <c r="E367" s="15" t="s">
        <v>2597</v>
      </c>
      <c r="F367" s="15" t="s">
        <v>2598</v>
      </c>
      <c r="G367" s="15" t="n">
        <v>250</v>
      </c>
      <c r="H367" s="15" t="s">
        <v>166</v>
      </c>
    </row>
    <row r="368" customFormat="false" ht="15" hidden="false" customHeight="false" outlineLevel="0" collapsed="false">
      <c r="A368" s="15" t="s">
        <v>343</v>
      </c>
      <c r="B368" s="15" t="s">
        <v>1915</v>
      </c>
      <c r="C368" s="15" t="s">
        <v>279</v>
      </c>
      <c r="D368" s="15" t="s">
        <v>1954</v>
      </c>
      <c r="E368" s="15" t="s">
        <v>2599</v>
      </c>
      <c r="F368" s="15" t="s">
        <v>2600</v>
      </c>
      <c r="G368" s="15" t="n">
        <v>250</v>
      </c>
      <c r="H368" s="15" t="s">
        <v>166</v>
      </c>
    </row>
    <row r="369" customFormat="false" ht="15" hidden="false" customHeight="false" outlineLevel="0" collapsed="false">
      <c r="A369" s="15" t="s">
        <v>343</v>
      </c>
      <c r="B369" s="15" t="s">
        <v>1915</v>
      </c>
      <c r="C369" s="15" t="s">
        <v>279</v>
      </c>
      <c r="D369" s="15" t="s">
        <v>1954</v>
      </c>
      <c r="E369" s="15" t="s">
        <v>2601</v>
      </c>
      <c r="F369" s="15" t="s">
        <v>2602</v>
      </c>
      <c r="G369" s="15" t="n">
        <v>250</v>
      </c>
      <c r="H369" s="15" t="s">
        <v>166</v>
      </c>
    </row>
    <row r="370" customFormat="false" ht="15" hidden="false" customHeight="false" outlineLevel="0" collapsed="false">
      <c r="A370" s="15" t="s">
        <v>343</v>
      </c>
      <c r="B370" s="15" t="s">
        <v>1915</v>
      </c>
      <c r="C370" s="15" t="s">
        <v>279</v>
      </c>
      <c r="D370" s="15" t="s">
        <v>1954</v>
      </c>
      <c r="E370" s="15" t="s">
        <v>2603</v>
      </c>
      <c r="F370" s="15" t="s">
        <v>2604</v>
      </c>
      <c r="G370" s="15" t="n">
        <v>250</v>
      </c>
      <c r="H370" s="15" t="s">
        <v>166</v>
      </c>
    </row>
    <row r="371" customFormat="false" ht="15" hidden="false" customHeight="false" outlineLevel="0" collapsed="false">
      <c r="A371" s="15" t="s">
        <v>346</v>
      </c>
      <c r="B371" s="15" t="s">
        <v>1910</v>
      </c>
      <c r="C371" s="15" t="s">
        <v>1992</v>
      </c>
      <c r="D371" s="15" t="s">
        <v>1993</v>
      </c>
      <c r="E371" s="15" t="s">
        <v>2605</v>
      </c>
      <c r="F371" s="15" t="s">
        <v>2054</v>
      </c>
      <c r="G371" s="15" t="n">
        <v>250</v>
      </c>
      <c r="H371" s="15"/>
    </row>
    <row r="372" customFormat="false" ht="15" hidden="false" customHeight="false" outlineLevel="0" collapsed="false">
      <c r="A372" s="15" t="s">
        <v>346</v>
      </c>
      <c r="B372" s="15" t="s">
        <v>1910</v>
      </c>
      <c r="C372" s="15" t="s">
        <v>1911</v>
      </c>
      <c r="D372" s="15" t="s">
        <v>1912</v>
      </c>
      <c r="E372" s="15" t="s">
        <v>2606</v>
      </c>
      <c r="F372" s="15" t="s">
        <v>2494</v>
      </c>
      <c r="G372" s="15" t="n">
        <v>250</v>
      </c>
      <c r="H372" s="15"/>
    </row>
    <row r="373" customFormat="false" ht="15" hidden="false" customHeight="false" outlineLevel="0" collapsed="false">
      <c r="A373" s="15" t="s">
        <v>346</v>
      </c>
      <c r="B373" s="15" t="s">
        <v>1910</v>
      </c>
      <c r="C373" s="15" t="s">
        <v>1970</v>
      </c>
      <c r="D373" s="15" t="s">
        <v>1971</v>
      </c>
      <c r="E373" s="15" t="s">
        <v>2607</v>
      </c>
      <c r="F373" s="15" t="s">
        <v>2494</v>
      </c>
      <c r="G373" s="15" t="n">
        <v>250</v>
      </c>
      <c r="H373" s="15"/>
    </row>
    <row r="374" customFormat="false" ht="15" hidden="false" customHeight="false" outlineLevel="0" collapsed="false">
      <c r="A374" s="15" t="s">
        <v>346</v>
      </c>
      <c r="B374" s="15" t="s">
        <v>1910</v>
      </c>
      <c r="C374" s="15" t="s">
        <v>1974</v>
      </c>
      <c r="D374" s="15" t="s">
        <v>1975</v>
      </c>
      <c r="E374" s="15" t="s">
        <v>2608</v>
      </c>
      <c r="F374" s="15" t="s">
        <v>2494</v>
      </c>
      <c r="G374" s="15" t="n">
        <v>250</v>
      </c>
      <c r="H374" s="15"/>
    </row>
    <row r="375" customFormat="false" ht="15" hidden="false" customHeight="false" outlineLevel="0" collapsed="false">
      <c r="A375" s="15" t="s">
        <v>346</v>
      </c>
      <c r="B375" s="15" t="s">
        <v>1915</v>
      </c>
      <c r="C375" s="15" t="s">
        <v>279</v>
      </c>
      <c r="D375" s="15" t="s">
        <v>1954</v>
      </c>
      <c r="E375" s="15" t="s">
        <v>2609</v>
      </c>
      <c r="F375" s="15" t="s">
        <v>2610</v>
      </c>
      <c r="G375" s="15" t="n">
        <v>1000</v>
      </c>
      <c r="H375" s="15" t="s">
        <v>166</v>
      </c>
    </row>
    <row r="376" customFormat="false" ht="15" hidden="false" customHeight="false" outlineLevel="0" collapsed="false">
      <c r="A376" s="15" t="s">
        <v>346</v>
      </c>
      <c r="B376" s="15" t="s">
        <v>1915</v>
      </c>
      <c r="C376" s="15" t="s">
        <v>329</v>
      </c>
      <c r="D376" s="15" t="s">
        <v>1942</v>
      </c>
      <c r="E376" s="15" t="s">
        <v>2611</v>
      </c>
      <c r="F376" s="15" t="s">
        <v>2612</v>
      </c>
      <c r="G376" s="15" t="n">
        <v>1000</v>
      </c>
      <c r="H376" s="15" t="s">
        <v>166</v>
      </c>
    </row>
    <row r="377" customFormat="false" ht="15" hidden="false" customHeight="false" outlineLevel="0" collapsed="false">
      <c r="A377" s="15" t="s">
        <v>346</v>
      </c>
      <c r="B377" s="15" t="s">
        <v>1915</v>
      </c>
      <c r="C377" s="15" t="s">
        <v>2613</v>
      </c>
      <c r="D377" s="15" t="s">
        <v>2614</v>
      </c>
      <c r="E377" s="15" t="s">
        <v>2615</v>
      </c>
      <c r="F377" s="15" t="s">
        <v>2616</v>
      </c>
      <c r="G377" s="15" t="n">
        <v>250</v>
      </c>
      <c r="H377" s="15" t="s">
        <v>166</v>
      </c>
    </row>
    <row r="378" customFormat="false" ht="15" hidden="false" customHeight="false" outlineLevel="0" collapsed="false">
      <c r="A378" s="15" t="s">
        <v>351</v>
      </c>
      <c r="B378" s="15" t="s">
        <v>1910</v>
      </c>
      <c r="C378" s="15" t="s">
        <v>1921</v>
      </c>
      <c r="D378" s="15" t="s">
        <v>1922</v>
      </c>
      <c r="E378" s="15" t="s">
        <v>2617</v>
      </c>
      <c r="F378" s="15" t="s">
        <v>2618</v>
      </c>
      <c r="G378" s="15" t="n">
        <v>500</v>
      </c>
      <c r="H378" s="15"/>
    </row>
    <row r="379" customFormat="false" ht="15" hidden="false" customHeight="false" outlineLevel="0" collapsed="false">
      <c r="A379" s="15" t="s">
        <v>351</v>
      </c>
      <c r="B379" s="15" t="s">
        <v>1910</v>
      </c>
      <c r="C379" s="15" t="s">
        <v>1921</v>
      </c>
      <c r="D379" s="15" t="s">
        <v>1922</v>
      </c>
      <c r="E379" s="15" t="s">
        <v>2619</v>
      </c>
      <c r="F379" s="15" t="s">
        <v>1981</v>
      </c>
      <c r="G379" s="15" t="n">
        <v>500</v>
      </c>
      <c r="H379" s="15"/>
    </row>
    <row r="380" customFormat="false" ht="15" hidden="false" customHeight="false" outlineLevel="0" collapsed="false">
      <c r="A380" s="15" t="s">
        <v>351</v>
      </c>
      <c r="B380" s="15" t="s">
        <v>1910</v>
      </c>
      <c r="C380" s="15" t="s">
        <v>1921</v>
      </c>
      <c r="D380" s="15" t="s">
        <v>1922</v>
      </c>
      <c r="E380" s="15" t="s">
        <v>2620</v>
      </c>
      <c r="F380" s="15" t="s">
        <v>2621</v>
      </c>
      <c r="G380" s="15" t="n">
        <v>250</v>
      </c>
      <c r="H380" s="15"/>
    </row>
    <row r="381" customFormat="false" ht="15" hidden="false" customHeight="false" outlineLevel="0" collapsed="false">
      <c r="A381" s="15" t="s">
        <v>351</v>
      </c>
      <c r="B381" s="15" t="s">
        <v>1915</v>
      </c>
      <c r="C381" s="15" t="s">
        <v>165</v>
      </c>
      <c r="D381" s="15" t="s">
        <v>1916</v>
      </c>
      <c r="E381" s="15" t="s">
        <v>2622</v>
      </c>
      <c r="F381" s="15" t="s">
        <v>2191</v>
      </c>
      <c r="G381" s="15" t="n">
        <v>250</v>
      </c>
      <c r="H381" s="15" t="s">
        <v>166</v>
      </c>
    </row>
    <row r="382" customFormat="false" ht="15" hidden="false" customHeight="false" outlineLevel="0" collapsed="false">
      <c r="A382" s="15" t="s">
        <v>354</v>
      </c>
      <c r="B382" s="15" t="s">
        <v>1910</v>
      </c>
      <c r="C382" s="15" t="s">
        <v>1921</v>
      </c>
      <c r="D382" s="15" t="s">
        <v>1922</v>
      </c>
      <c r="E382" s="15" t="s">
        <v>2623</v>
      </c>
      <c r="F382" s="15" t="s">
        <v>2624</v>
      </c>
      <c r="G382" s="15" t="n">
        <v>500</v>
      </c>
      <c r="H382" s="15"/>
    </row>
    <row r="383" customFormat="false" ht="15" hidden="false" customHeight="false" outlineLevel="0" collapsed="false">
      <c r="A383" s="15" t="s">
        <v>354</v>
      </c>
      <c r="B383" s="15" t="s">
        <v>1915</v>
      </c>
      <c r="C383" s="15" t="s">
        <v>165</v>
      </c>
      <c r="D383" s="15" t="s">
        <v>1916</v>
      </c>
      <c r="E383" s="15" t="s">
        <v>2625</v>
      </c>
      <c r="F383" s="15" t="s">
        <v>2626</v>
      </c>
      <c r="G383" s="15" t="n">
        <v>1000</v>
      </c>
      <c r="H383" s="15" t="s">
        <v>166</v>
      </c>
    </row>
    <row r="384" customFormat="false" ht="15" hidden="false" customHeight="false" outlineLevel="0" collapsed="false">
      <c r="A384" s="15" t="s">
        <v>354</v>
      </c>
      <c r="B384" s="15" t="s">
        <v>1915</v>
      </c>
      <c r="C384" s="15" t="s">
        <v>329</v>
      </c>
      <c r="D384" s="15" t="s">
        <v>1942</v>
      </c>
      <c r="E384" s="15" t="s">
        <v>2627</v>
      </c>
      <c r="F384" s="15" t="s">
        <v>1953</v>
      </c>
      <c r="G384" s="15" t="n">
        <v>1000</v>
      </c>
      <c r="H384" s="15" t="s">
        <v>166</v>
      </c>
    </row>
    <row r="385" customFormat="false" ht="15" hidden="false" customHeight="false" outlineLevel="0" collapsed="false">
      <c r="A385" s="15" t="s">
        <v>354</v>
      </c>
      <c r="B385" s="15" t="s">
        <v>1915</v>
      </c>
      <c r="C385" s="15" t="s">
        <v>279</v>
      </c>
      <c r="D385" s="15" t="s">
        <v>1954</v>
      </c>
      <c r="E385" s="15" t="s">
        <v>2628</v>
      </c>
      <c r="F385" s="15" t="s">
        <v>2629</v>
      </c>
      <c r="G385" s="15" t="n">
        <v>1000</v>
      </c>
      <c r="H385" s="15" t="s">
        <v>166</v>
      </c>
    </row>
    <row r="386" customFormat="false" ht="15" hidden="false" customHeight="false" outlineLevel="0" collapsed="false">
      <c r="A386" s="15" t="s">
        <v>354</v>
      </c>
      <c r="B386" s="15" t="s">
        <v>1915</v>
      </c>
      <c r="C386" s="15" t="s">
        <v>279</v>
      </c>
      <c r="D386" s="15" t="s">
        <v>1954</v>
      </c>
      <c r="E386" s="15" t="s">
        <v>2630</v>
      </c>
      <c r="F386" s="15" t="s">
        <v>2631</v>
      </c>
      <c r="G386" s="15" t="n">
        <v>1000</v>
      </c>
      <c r="H386" s="15" t="s">
        <v>166</v>
      </c>
    </row>
    <row r="387" customFormat="false" ht="15" hidden="false" customHeight="false" outlineLevel="0" collapsed="false">
      <c r="A387" s="15" t="s">
        <v>354</v>
      </c>
      <c r="B387" s="15" t="s">
        <v>1915</v>
      </c>
      <c r="C387" s="15" t="s">
        <v>279</v>
      </c>
      <c r="D387" s="15" t="s">
        <v>1954</v>
      </c>
      <c r="E387" s="15" t="s">
        <v>2632</v>
      </c>
      <c r="F387" s="15" t="s">
        <v>2633</v>
      </c>
      <c r="G387" s="15" t="n">
        <v>1000</v>
      </c>
      <c r="H387" s="15" t="s">
        <v>166</v>
      </c>
    </row>
    <row r="388" customFormat="false" ht="15" hidden="false" customHeight="false" outlineLevel="0" collapsed="false">
      <c r="A388" s="15" t="s">
        <v>358</v>
      </c>
      <c r="B388" s="15" t="s">
        <v>1910</v>
      </c>
      <c r="C388" s="15" t="s">
        <v>1992</v>
      </c>
      <c r="D388" s="15" t="s">
        <v>1993</v>
      </c>
      <c r="E388" s="15" t="s">
        <v>2634</v>
      </c>
      <c r="F388" s="15" t="s">
        <v>2635</v>
      </c>
      <c r="G388" s="15" t="n">
        <v>250</v>
      </c>
      <c r="H388" s="15"/>
    </row>
    <row r="389" customFormat="false" ht="15" hidden="false" customHeight="false" outlineLevel="0" collapsed="false">
      <c r="A389" s="15" t="s">
        <v>358</v>
      </c>
      <c r="B389" s="15" t="s">
        <v>1910</v>
      </c>
      <c r="C389" s="15" t="s">
        <v>1911</v>
      </c>
      <c r="D389" s="15" t="s">
        <v>1912</v>
      </c>
      <c r="E389" s="15" t="s">
        <v>2636</v>
      </c>
      <c r="F389" s="15" t="s">
        <v>2637</v>
      </c>
      <c r="G389" s="15" t="n">
        <v>250</v>
      </c>
      <c r="H389" s="15"/>
    </row>
    <row r="390" customFormat="false" ht="15" hidden="false" customHeight="false" outlineLevel="0" collapsed="false">
      <c r="A390" s="15" t="s">
        <v>358</v>
      </c>
      <c r="B390" s="15" t="s">
        <v>1910</v>
      </c>
      <c r="C390" s="15" t="s">
        <v>1911</v>
      </c>
      <c r="D390" s="15" t="s">
        <v>1912</v>
      </c>
      <c r="E390" s="15" t="s">
        <v>2638</v>
      </c>
      <c r="F390" s="15" t="s">
        <v>2639</v>
      </c>
      <c r="G390" s="15" t="n">
        <v>250</v>
      </c>
      <c r="H390" s="15"/>
    </row>
    <row r="391" customFormat="false" ht="15" hidden="false" customHeight="false" outlineLevel="0" collapsed="false">
      <c r="A391" s="15" t="s">
        <v>358</v>
      </c>
      <c r="B391" s="15" t="s">
        <v>1910</v>
      </c>
      <c r="C391" s="15" t="s">
        <v>1974</v>
      </c>
      <c r="D391" s="15" t="s">
        <v>1975</v>
      </c>
      <c r="E391" s="15" t="s">
        <v>2640</v>
      </c>
      <c r="F391" s="15" t="s">
        <v>2641</v>
      </c>
      <c r="G391" s="15" t="n">
        <v>250</v>
      </c>
      <c r="H391" s="15"/>
    </row>
    <row r="392" customFormat="false" ht="15" hidden="false" customHeight="false" outlineLevel="0" collapsed="false">
      <c r="A392" s="15" t="s">
        <v>358</v>
      </c>
      <c r="B392" s="15" t="s">
        <v>1910</v>
      </c>
      <c r="C392" s="15" t="s">
        <v>2069</v>
      </c>
      <c r="D392" s="15" t="s">
        <v>2070</v>
      </c>
      <c r="E392" s="15" t="s">
        <v>2642</v>
      </c>
      <c r="F392" s="15" t="s">
        <v>2643</v>
      </c>
      <c r="G392" s="15" t="n">
        <v>250</v>
      </c>
      <c r="H392" s="15"/>
    </row>
    <row r="393" customFormat="false" ht="15" hidden="false" customHeight="false" outlineLevel="0" collapsed="false">
      <c r="A393" s="15" t="s">
        <v>358</v>
      </c>
      <c r="B393" s="15" t="s">
        <v>1910</v>
      </c>
      <c r="C393" s="15" t="s">
        <v>2069</v>
      </c>
      <c r="D393" s="15" t="s">
        <v>2070</v>
      </c>
      <c r="E393" s="15" t="s">
        <v>2644</v>
      </c>
      <c r="F393" s="15" t="s">
        <v>2645</v>
      </c>
      <c r="G393" s="15" t="n">
        <v>250</v>
      </c>
      <c r="H393" s="15"/>
    </row>
    <row r="394" customFormat="false" ht="15" hidden="false" customHeight="false" outlineLevel="0" collapsed="false">
      <c r="A394" s="15" t="s">
        <v>358</v>
      </c>
      <c r="B394" s="15" t="s">
        <v>1910</v>
      </c>
      <c r="C394" s="15" t="s">
        <v>2069</v>
      </c>
      <c r="D394" s="15" t="s">
        <v>2070</v>
      </c>
      <c r="E394" s="15" t="s">
        <v>2646</v>
      </c>
      <c r="F394" s="15" t="s">
        <v>2512</v>
      </c>
      <c r="G394" s="15" t="n">
        <v>250</v>
      </c>
      <c r="H394" s="15"/>
    </row>
    <row r="395" customFormat="false" ht="15" hidden="false" customHeight="false" outlineLevel="0" collapsed="false">
      <c r="A395" s="15" t="s">
        <v>358</v>
      </c>
      <c r="B395" s="15" t="s">
        <v>1910</v>
      </c>
      <c r="C395" s="15" t="s">
        <v>1921</v>
      </c>
      <c r="D395" s="15" t="s">
        <v>1922</v>
      </c>
      <c r="E395" s="15" t="s">
        <v>2647</v>
      </c>
      <c r="F395" s="15" t="s">
        <v>2648</v>
      </c>
      <c r="G395" s="15" t="n">
        <v>500</v>
      </c>
      <c r="H395" s="15"/>
    </row>
    <row r="396" customFormat="false" ht="15" hidden="false" customHeight="false" outlineLevel="0" collapsed="false">
      <c r="A396" s="15" t="s">
        <v>358</v>
      </c>
      <c r="B396" s="15" t="s">
        <v>1910</v>
      </c>
      <c r="C396" s="15" t="s">
        <v>1921</v>
      </c>
      <c r="D396" s="15" t="s">
        <v>1922</v>
      </c>
      <c r="E396" s="15" t="s">
        <v>2649</v>
      </c>
      <c r="F396" s="15" t="s">
        <v>2355</v>
      </c>
      <c r="G396" s="15" t="n">
        <v>500</v>
      </c>
      <c r="H396" s="15"/>
    </row>
    <row r="397" customFormat="false" ht="15" hidden="false" customHeight="false" outlineLevel="0" collapsed="false">
      <c r="A397" s="15" t="s">
        <v>358</v>
      </c>
      <c r="B397" s="15" t="s">
        <v>1915</v>
      </c>
      <c r="C397" s="15" t="s">
        <v>165</v>
      </c>
      <c r="D397" s="15" t="s">
        <v>1916</v>
      </c>
      <c r="E397" s="15" t="s">
        <v>2650</v>
      </c>
      <c r="F397" s="15" t="s">
        <v>2651</v>
      </c>
      <c r="G397" s="15" t="n">
        <v>1000</v>
      </c>
      <c r="H397" s="15" t="s">
        <v>166</v>
      </c>
    </row>
    <row r="398" customFormat="false" ht="15" hidden="false" customHeight="false" outlineLevel="0" collapsed="false">
      <c r="A398" s="15" t="s">
        <v>358</v>
      </c>
      <c r="B398" s="15" t="s">
        <v>1915</v>
      </c>
      <c r="C398" s="15" t="s">
        <v>552</v>
      </c>
      <c r="D398" s="15" t="s">
        <v>2029</v>
      </c>
      <c r="E398" s="15" t="s">
        <v>2652</v>
      </c>
      <c r="F398" s="15" t="s">
        <v>2653</v>
      </c>
      <c r="G398" s="15" t="n">
        <v>500</v>
      </c>
      <c r="H398" s="15" t="s">
        <v>166</v>
      </c>
    </row>
    <row r="399" customFormat="false" ht="15" hidden="false" customHeight="false" outlineLevel="0" collapsed="false">
      <c r="A399" s="15" t="s">
        <v>362</v>
      </c>
      <c r="B399" s="15" t="s">
        <v>1910</v>
      </c>
      <c r="C399" s="15" t="s">
        <v>1911</v>
      </c>
      <c r="D399" s="15" t="s">
        <v>1912</v>
      </c>
      <c r="E399" s="15" t="s">
        <v>2654</v>
      </c>
      <c r="F399" s="15" t="s">
        <v>2228</v>
      </c>
      <c r="G399" s="15" t="n">
        <v>250</v>
      </c>
      <c r="H399" s="15"/>
    </row>
    <row r="400" customFormat="false" ht="15" hidden="false" customHeight="false" outlineLevel="0" collapsed="false">
      <c r="A400" s="15" t="s">
        <v>362</v>
      </c>
      <c r="B400" s="15" t="s">
        <v>1910</v>
      </c>
      <c r="C400" s="15" t="s">
        <v>1911</v>
      </c>
      <c r="D400" s="15" t="s">
        <v>1912</v>
      </c>
      <c r="E400" s="15" t="s">
        <v>2655</v>
      </c>
      <c r="F400" s="15" t="s">
        <v>2656</v>
      </c>
      <c r="G400" s="15" t="n">
        <v>250</v>
      </c>
      <c r="H400" s="15"/>
    </row>
    <row r="401" customFormat="false" ht="15" hidden="false" customHeight="false" outlineLevel="0" collapsed="false">
      <c r="A401" s="15" t="s">
        <v>362</v>
      </c>
      <c r="B401" s="15" t="s">
        <v>1915</v>
      </c>
      <c r="C401" s="15" t="s">
        <v>329</v>
      </c>
      <c r="D401" s="15" t="s">
        <v>1942</v>
      </c>
      <c r="E401" s="15" t="s">
        <v>2657</v>
      </c>
      <c r="F401" s="15" t="s">
        <v>2658</v>
      </c>
      <c r="G401" s="15" t="n">
        <v>250</v>
      </c>
      <c r="H401" s="15" t="s">
        <v>166</v>
      </c>
    </row>
    <row r="402" customFormat="false" ht="15" hidden="false" customHeight="false" outlineLevel="0" collapsed="false">
      <c r="A402" s="15" t="s">
        <v>362</v>
      </c>
      <c r="B402" s="15" t="s">
        <v>1915</v>
      </c>
      <c r="C402" s="15" t="s">
        <v>279</v>
      </c>
      <c r="D402" s="15" t="s">
        <v>1954</v>
      </c>
      <c r="E402" s="15" t="s">
        <v>2659</v>
      </c>
      <c r="F402" s="15" t="s">
        <v>2660</v>
      </c>
      <c r="G402" s="15" t="n">
        <v>250</v>
      </c>
      <c r="H402" s="15" t="s">
        <v>166</v>
      </c>
    </row>
    <row r="403" customFormat="false" ht="15" hidden="false" customHeight="false" outlineLevel="0" collapsed="false">
      <c r="A403" s="15" t="s">
        <v>362</v>
      </c>
      <c r="B403" s="15" t="s">
        <v>1915</v>
      </c>
      <c r="C403" s="15" t="s">
        <v>279</v>
      </c>
      <c r="D403" s="15" t="s">
        <v>1954</v>
      </c>
      <c r="E403" s="15" t="s">
        <v>2661</v>
      </c>
      <c r="F403" s="15" t="s">
        <v>2662</v>
      </c>
      <c r="G403" s="15" t="n">
        <v>500</v>
      </c>
      <c r="H403" s="15" t="s">
        <v>166</v>
      </c>
    </row>
    <row r="404" customFormat="false" ht="15" hidden="false" customHeight="false" outlineLevel="0" collapsed="false">
      <c r="A404" s="15" t="s">
        <v>362</v>
      </c>
      <c r="B404" s="15" t="s">
        <v>1915</v>
      </c>
      <c r="C404" s="15" t="s">
        <v>279</v>
      </c>
      <c r="D404" s="15" t="s">
        <v>1954</v>
      </c>
      <c r="E404" s="15" t="s">
        <v>2663</v>
      </c>
      <c r="F404" s="15" t="s">
        <v>2664</v>
      </c>
      <c r="G404" s="15" t="n">
        <v>250</v>
      </c>
      <c r="H404" s="15" t="s">
        <v>166</v>
      </c>
    </row>
    <row r="405" customFormat="false" ht="15" hidden="false" customHeight="false" outlineLevel="0" collapsed="false">
      <c r="A405" s="15" t="s">
        <v>365</v>
      </c>
      <c r="B405" s="15" t="s">
        <v>1910</v>
      </c>
      <c r="C405" s="15" t="s">
        <v>1970</v>
      </c>
      <c r="D405" s="15" t="s">
        <v>1971</v>
      </c>
      <c r="E405" s="15" t="s">
        <v>2665</v>
      </c>
      <c r="F405" s="15" t="s">
        <v>2666</v>
      </c>
      <c r="G405" s="15" t="n">
        <v>250</v>
      </c>
      <c r="H405" s="15"/>
    </row>
    <row r="406" customFormat="false" ht="15" hidden="false" customHeight="false" outlineLevel="0" collapsed="false">
      <c r="A406" s="15" t="s">
        <v>365</v>
      </c>
      <c r="B406" s="15" t="s">
        <v>1910</v>
      </c>
      <c r="C406" s="15" t="s">
        <v>1970</v>
      </c>
      <c r="D406" s="15" t="s">
        <v>1971</v>
      </c>
      <c r="E406" s="15" t="s">
        <v>2667</v>
      </c>
      <c r="F406" s="15" t="s">
        <v>2668</v>
      </c>
      <c r="G406" s="15" t="n">
        <v>250</v>
      </c>
      <c r="H406" s="15"/>
    </row>
    <row r="407" customFormat="false" ht="15" hidden="false" customHeight="false" outlineLevel="0" collapsed="false">
      <c r="A407" s="15" t="s">
        <v>365</v>
      </c>
      <c r="B407" s="15" t="s">
        <v>1915</v>
      </c>
      <c r="C407" s="15" t="s">
        <v>366</v>
      </c>
      <c r="D407" s="15" t="s">
        <v>1949</v>
      </c>
      <c r="E407" s="15" t="s">
        <v>2669</v>
      </c>
      <c r="F407" s="15" t="s">
        <v>2670</v>
      </c>
      <c r="G407" s="15" t="n">
        <v>250</v>
      </c>
      <c r="H407" s="15" t="s">
        <v>166</v>
      </c>
    </row>
    <row r="408" customFormat="false" ht="15" hidden="false" customHeight="false" outlineLevel="0" collapsed="false">
      <c r="A408" s="15" t="s">
        <v>369</v>
      </c>
      <c r="B408" s="15" t="s">
        <v>1910</v>
      </c>
      <c r="C408" s="15" t="s">
        <v>1974</v>
      </c>
      <c r="D408" s="15" t="s">
        <v>1975</v>
      </c>
      <c r="E408" s="15" t="s">
        <v>2671</v>
      </c>
      <c r="F408" s="15" t="s">
        <v>2122</v>
      </c>
      <c r="G408" s="15" t="n">
        <v>250</v>
      </c>
      <c r="H408" s="15"/>
    </row>
    <row r="409" customFormat="false" ht="15" hidden="false" customHeight="false" outlineLevel="0" collapsed="false">
      <c r="A409" s="15" t="s">
        <v>369</v>
      </c>
      <c r="B409" s="15" t="s">
        <v>1910</v>
      </c>
      <c r="C409" s="15" t="s">
        <v>1974</v>
      </c>
      <c r="D409" s="15" t="s">
        <v>1975</v>
      </c>
      <c r="E409" s="15" t="s">
        <v>2672</v>
      </c>
      <c r="F409" s="15" t="s">
        <v>2306</v>
      </c>
      <c r="G409" s="15" t="n">
        <v>250</v>
      </c>
      <c r="H409" s="15"/>
    </row>
    <row r="410" customFormat="false" ht="15" hidden="false" customHeight="false" outlineLevel="0" collapsed="false">
      <c r="A410" s="15" t="s">
        <v>369</v>
      </c>
      <c r="B410" s="15" t="s">
        <v>1910</v>
      </c>
      <c r="C410" s="15" t="s">
        <v>1974</v>
      </c>
      <c r="D410" s="15" t="s">
        <v>1975</v>
      </c>
      <c r="E410" s="15" t="s">
        <v>2673</v>
      </c>
      <c r="F410" s="15" t="s">
        <v>2674</v>
      </c>
      <c r="G410" s="15" t="n">
        <v>250</v>
      </c>
      <c r="H410" s="15"/>
    </row>
    <row r="411" customFormat="false" ht="15" hidden="false" customHeight="false" outlineLevel="0" collapsed="false">
      <c r="A411" s="15" t="s">
        <v>369</v>
      </c>
      <c r="B411" s="15" t="s">
        <v>1910</v>
      </c>
      <c r="C411" s="15" t="s">
        <v>1974</v>
      </c>
      <c r="D411" s="15" t="s">
        <v>1975</v>
      </c>
      <c r="E411" s="15" t="s">
        <v>2675</v>
      </c>
      <c r="F411" s="15" t="s">
        <v>2039</v>
      </c>
      <c r="G411" s="15" t="n">
        <v>250</v>
      </c>
      <c r="H411" s="15"/>
    </row>
    <row r="412" customFormat="false" ht="15" hidden="false" customHeight="false" outlineLevel="0" collapsed="false">
      <c r="A412" s="15" t="s">
        <v>369</v>
      </c>
      <c r="B412" s="15" t="s">
        <v>1915</v>
      </c>
      <c r="C412" s="15" t="s">
        <v>279</v>
      </c>
      <c r="D412" s="15" t="s">
        <v>1954</v>
      </c>
      <c r="E412" s="15" t="s">
        <v>2676</v>
      </c>
      <c r="F412" s="15" t="s">
        <v>2677</v>
      </c>
      <c r="G412" s="15" t="n">
        <v>250</v>
      </c>
      <c r="H412" s="15" t="s">
        <v>166</v>
      </c>
    </row>
    <row r="413" customFormat="false" ht="15" hidden="false" customHeight="false" outlineLevel="0" collapsed="false">
      <c r="A413" s="15" t="s">
        <v>369</v>
      </c>
      <c r="B413" s="15" t="s">
        <v>1915</v>
      </c>
      <c r="C413" s="15" t="s">
        <v>279</v>
      </c>
      <c r="D413" s="15" t="s">
        <v>1954</v>
      </c>
      <c r="E413" s="15" t="s">
        <v>2678</v>
      </c>
      <c r="F413" s="15" t="s">
        <v>2679</v>
      </c>
      <c r="G413" s="15" t="n">
        <v>250</v>
      </c>
      <c r="H413" s="15" t="s">
        <v>166</v>
      </c>
    </row>
    <row r="414" customFormat="false" ht="15" hidden="false" customHeight="false" outlineLevel="0" collapsed="false">
      <c r="A414" s="15" t="s">
        <v>369</v>
      </c>
      <c r="B414" s="15" t="s">
        <v>1915</v>
      </c>
      <c r="C414" s="15" t="s">
        <v>279</v>
      </c>
      <c r="D414" s="15" t="s">
        <v>1954</v>
      </c>
      <c r="E414" s="15" t="s">
        <v>2680</v>
      </c>
      <c r="F414" s="15" t="s">
        <v>2590</v>
      </c>
      <c r="G414" s="15" t="n">
        <v>250</v>
      </c>
      <c r="H414" s="15" t="s">
        <v>166</v>
      </c>
    </row>
    <row r="415" customFormat="false" ht="15" hidden="false" customHeight="false" outlineLevel="0" collapsed="false">
      <c r="A415" s="15" t="s">
        <v>369</v>
      </c>
      <c r="B415" s="15" t="s">
        <v>1915</v>
      </c>
      <c r="C415" s="15" t="s">
        <v>279</v>
      </c>
      <c r="D415" s="15" t="s">
        <v>1954</v>
      </c>
      <c r="E415" s="15" t="s">
        <v>2681</v>
      </c>
      <c r="F415" s="15" t="s">
        <v>2592</v>
      </c>
      <c r="G415" s="15" t="n">
        <v>250</v>
      </c>
      <c r="H415" s="15" t="s">
        <v>166</v>
      </c>
    </row>
    <row r="416" customFormat="false" ht="15" hidden="false" customHeight="false" outlineLevel="0" collapsed="false">
      <c r="A416" s="15" t="s">
        <v>369</v>
      </c>
      <c r="B416" s="15" t="s">
        <v>1915</v>
      </c>
      <c r="C416" s="15" t="s">
        <v>279</v>
      </c>
      <c r="D416" s="15" t="s">
        <v>1954</v>
      </c>
      <c r="E416" s="15" t="s">
        <v>2682</v>
      </c>
      <c r="F416" s="15" t="s">
        <v>2683</v>
      </c>
      <c r="G416" s="15" t="n">
        <v>250</v>
      </c>
      <c r="H416" s="15" t="s">
        <v>166</v>
      </c>
    </row>
    <row r="417" customFormat="false" ht="15" hidden="false" customHeight="false" outlineLevel="0" collapsed="false">
      <c r="A417" s="15" t="s">
        <v>372</v>
      </c>
      <c r="B417" s="15" t="s">
        <v>1910</v>
      </c>
      <c r="C417" s="15" t="s">
        <v>1970</v>
      </c>
      <c r="D417" s="15" t="s">
        <v>1971</v>
      </c>
      <c r="E417" s="15" t="s">
        <v>2684</v>
      </c>
      <c r="F417" s="15" t="s">
        <v>2685</v>
      </c>
      <c r="G417" s="15" t="n">
        <v>250</v>
      </c>
      <c r="H417" s="15"/>
    </row>
    <row r="418" customFormat="false" ht="15" hidden="false" customHeight="false" outlineLevel="0" collapsed="false">
      <c r="A418" s="15" t="s">
        <v>372</v>
      </c>
      <c r="B418" s="15" t="s">
        <v>1910</v>
      </c>
      <c r="C418" s="15" t="s">
        <v>1970</v>
      </c>
      <c r="D418" s="15" t="s">
        <v>1971</v>
      </c>
      <c r="E418" s="15" t="s">
        <v>2686</v>
      </c>
      <c r="F418" s="15" t="s">
        <v>2687</v>
      </c>
      <c r="G418" s="15" t="n">
        <v>250</v>
      </c>
      <c r="H418" s="15"/>
    </row>
    <row r="419" customFormat="false" ht="15" hidden="false" customHeight="false" outlineLevel="0" collapsed="false">
      <c r="A419" s="15" t="s">
        <v>372</v>
      </c>
      <c r="B419" s="15" t="s">
        <v>1915</v>
      </c>
      <c r="C419" s="15" t="s">
        <v>366</v>
      </c>
      <c r="D419" s="15" t="s">
        <v>1949</v>
      </c>
      <c r="E419" s="15" t="s">
        <v>2688</v>
      </c>
      <c r="F419" s="15" t="s">
        <v>2689</v>
      </c>
      <c r="G419" s="15" t="n">
        <v>250</v>
      </c>
      <c r="H419" s="15" t="s">
        <v>166</v>
      </c>
    </row>
    <row r="420" customFormat="false" ht="15" hidden="false" customHeight="false" outlineLevel="0" collapsed="false">
      <c r="A420" s="15" t="s">
        <v>375</v>
      </c>
      <c r="B420" s="15" t="s">
        <v>1910</v>
      </c>
      <c r="C420" s="15" t="s">
        <v>1921</v>
      </c>
      <c r="D420" s="15" t="s">
        <v>1922</v>
      </c>
      <c r="E420" s="15" t="s">
        <v>2690</v>
      </c>
      <c r="F420" s="15" t="s">
        <v>2691</v>
      </c>
      <c r="G420" s="15" t="n">
        <v>500</v>
      </c>
      <c r="H420" s="15"/>
    </row>
    <row r="421" customFormat="false" ht="15" hidden="false" customHeight="false" outlineLevel="0" collapsed="false">
      <c r="A421" s="15" t="s">
        <v>375</v>
      </c>
      <c r="B421" s="15" t="s">
        <v>1910</v>
      </c>
      <c r="C421" s="15" t="s">
        <v>1921</v>
      </c>
      <c r="D421" s="15" t="s">
        <v>1922</v>
      </c>
      <c r="E421" s="15" t="s">
        <v>2692</v>
      </c>
      <c r="F421" s="15" t="s">
        <v>2693</v>
      </c>
      <c r="G421" s="15" t="n">
        <v>500</v>
      </c>
      <c r="H421" s="15"/>
    </row>
    <row r="422" customFormat="false" ht="15" hidden="false" customHeight="false" outlineLevel="0" collapsed="false">
      <c r="A422" s="15" t="s">
        <v>375</v>
      </c>
      <c r="B422" s="15" t="s">
        <v>1910</v>
      </c>
      <c r="C422" s="15" t="s">
        <v>1921</v>
      </c>
      <c r="D422" s="15" t="s">
        <v>1922</v>
      </c>
      <c r="E422" s="15" t="s">
        <v>2694</v>
      </c>
      <c r="F422" s="15" t="s">
        <v>2695</v>
      </c>
      <c r="G422" s="15" t="n">
        <v>500</v>
      </c>
      <c r="H422" s="15"/>
    </row>
    <row r="423" customFormat="false" ht="15" hidden="false" customHeight="false" outlineLevel="0" collapsed="false">
      <c r="A423" s="15" t="s">
        <v>375</v>
      </c>
      <c r="B423" s="15" t="s">
        <v>1910</v>
      </c>
      <c r="C423" s="15" t="s">
        <v>1921</v>
      </c>
      <c r="D423" s="15" t="s">
        <v>1922</v>
      </c>
      <c r="E423" s="15" t="s">
        <v>2696</v>
      </c>
      <c r="F423" s="15" t="s">
        <v>2697</v>
      </c>
      <c r="G423" s="15" t="n">
        <v>500</v>
      </c>
      <c r="H423" s="15"/>
    </row>
    <row r="424" customFormat="false" ht="15" hidden="false" customHeight="false" outlineLevel="0" collapsed="false">
      <c r="A424" s="15" t="s">
        <v>375</v>
      </c>
      <c r="B424" s="15" t="s">
        <v>1915</v>
      </c>
      <c r="C424" s="15" t="s">
        <v>279</v>
      </c>
      <c r="D424" s="15" t="s">
        <v>1954</v>
      </c>
      <c r="E424" s="15" t="s">
        <v>2698</v>
      </c>
      <c r="F424" s="15" t="s">
        <v>2026</v>
      </c>
      <c r="G424" s="15" t="n">
        <v>500</v>
      </c>
      <c r="H424" s="15" t="s">
        <v>166</v>
      </c>
    </row>
    <row r="425" customFormat="false" ht="15" hidden="false" customHeight="false" outlineLevel="0" collapsed="false">
      <c r="A425" s="15" t="s">
        <v>375</v>
      </c>
      <c r="B425" s="15" t="s">
        <v>1915</v>
      </c>
      <c r="C425" s="15" t="s">
        <v>279</v>
      </c>
      <c r="D425" s="15" t="s">
        <v>1954</v>
      </c>
      <c r="E425" s="15" t="s">
        <v>2699</v>
      </c>
      <c r="F425" s="15" t="s">
        <v>2700</v>
      </c>
      <c r="G425" s="15" t="n">
        <v>1000</v>
      </c>
      <c r="H425" s="15" t="s">
        <v>166</v>
      </c>
    </row>
    <row r="426" customFormat="false" ht="15" hidden="false" customHeight="false" outlineLevel="0" collapsed="false">
      <c r="A426" s="15" t="s">
        <v>375</v>
      </c>
      <c r="B426" s="15" t="s">
        <v>1915</v>
      </c>
      <c r="C426" s="15" t="s">
        <v>279</v>
      </c>
      <c r="D426" s="15" t="s">
        <v>1954</v>
      </c>
      <c r="E426" s="15" t="s">
        <v>2701</v>
      </c>
      <c r="F426" s="15" t="s">
        <v>2702</v>
      </c>
      <c r="G426" s="15" t="n">
        <v>5000</v>
      </c>
      <c r="H426" s="15" t="s">
        <v>166</v>
      </c>
    </row>
    <row r="427" customFormat="false" ht="15" hidden="false" customHeight="false" outlineLevel="0" collapsed="false">
      <c r="A427" s="15" t="s">
        <v>375</v>
      </c>
      <c r="B427" s="15" t="s">
        <v>1915</v>
      </c>
      <c r="C427" s="15" t="s">
        <v>279</v>
      </c>
      <c r="D427" s="15" t="s">
        <v>1954</v>
      </c>
      <c r="E427" s="15" t="s">
        <v>2703</v>
      </c>
      <c r="F427" s="15" t="s">
        <v>2704</v>
      </c>
      <c r="G427" s="15" t="n">
        <v>5000</v>
      </c>
      <c r="H427" s="15" t="s">
        <v>166</v>
      </c>
    </row>
    <row r="428" customFormat="false" ht="15" hidden="false" customHeight="false" outlineLevel="0" collapsed="false">
      <c r="A428" s="15" t="s">
        <v>378</v>
      </c>
      <c r="B428" s="15" t="s">
        <v>1910</v>
      </c>
      <c r="C428" s="15" t="s">
        <v>2069</v>
      </c>
      <c r="D428" s="15" t="s">
        <v>2070</v>
      </c>
      <c r="E428" s="15" t="s">
        <v>2705</v>
      </c>
      <c r="F428" s="15" t="s">
        <v>2706</v>
      </c>
      <c r="G428" s="15" t="n">
        <v>250</v>
      </c>
      <c r="H428" s="15"/>
    </row>
    <row r="429" customFormat="false" ht="15" hidden="false" customHeight="false" outlineLevel="0" collapsed="false">
      <c r="A429" s="15" t="s">
        <v>378</v>
      </c>
      <c r="B429" s="15" t="s">
        <v>1915</v>
      </c>
      <c r="C429" s="15" t="s">
        <v>366</v>
      </c>
      <c r="D429" s="15" t="s">
        <v>1949</v>
      </c>
      <c r="E429" s="15" t="s">
        <v>2707</v>
      </c>
      <c r="F429" s="15" t="s">
        <v>2708</v>
      </c>
      <c r="G429" s="15" t="n">
        <v>1000</v>
      </c>
      <c r="H429" s="15" t="s">
        <v>166</v>
      </c>
    </row>
    <row r="430" customFormat="false" ht="15" hidden="false" customHeight="false" outlineLevel="0" collapsed="false">
      <c r="A430" s="15" t="s">
        <v>378</v>
      </c>
      <c r="B430" s="15" t="s">
        <v>1915</v>
      </c>
      <c r="C430" s="15" t="s">
        <v>279</v>
      </c>
      <c r="D430" s="15" t="s">
        <v>1954</v>
      </c>
      <c r="E430" s="15" t="s">
        <v>2709</v>
      </c>
      <c r="F430" s="15" t="s">
        <v>2710</v>
      </c>
      <c r="G430" s="15" t="n">
        <v>1000</v>
      </c>
      <c r="H430" s="15" t="s">
        <v>166</v>
      </c>
    </row>
    <row r="431" customFormat="false" ht="15" hidden="false" customHeight="false" outlineLevel="0" collapsed="false">
      <c r="A431" s="15" t="s">
        <v>382</v>
      </c>
      <c r="B431" s="15" t="s">
        <v>1910</v>
      </c>
      <c r="C431" s="15" t="s">
        <v>1992</v>
      </c>
      <c r="D431" s="15" t="s">
        <v>1993</v>
      </c>
      <c r="E431" s="15" t="s">
        <v>2711</v>
      </c>
      <c r="F431" s="15" t="s">
        <v>2052</v>
      </c>
      <c r="G431" s="15" t="n">
        <v>250</v>
      </c>
      <c r="H431" s="15"/>
    </row>
    <row r="432" customFormat="false" ht="15" hidden="false" customHeight="false" outlineLevel="0" collapsed="false">
      <c r="A432" s="15" t="s">
        <v>382</v>
      </c>
      <c r="B432" s="15" t="s">
        <v>1910</v>
      </c>
      <c r="C432" s="15" t="s">
        <v>1911</v>
      </c>
      <c r="D432" s="15" t="s">
        <v>1912</v>
      </c>
      <c r="E432" s="15" t="s">
        <v>2712</v>
      </c>
      <c r="F432" s="15" t="s">
        <v>2100</v>
      </c>
      <c r="G432" s="15" t="n">
        <v>250</v>
      </c>
      <c r="H432" s="15"/>
    </row>
    <row r="433" customFormat="false" ht="15" hidden="false" customHeight="false" outlineLevel="0" collapsed="false">
      <c r="A433" s="15" t="s">
        <v>382</v>
      </c>
      <c r="B433" s="15" t="s">
        <v>1910</v>
      </c>
      <c r="C433" s="15" t="s">
        <v>1974</v>
      </c>
      <c r="D433" s="15" t="s">
        <v>1975</v>
      </c>
      <c r="E433" s="15" t="s">
        <v>2713</v>
      </c>
      <c r="F433" s="15" t="s">
        <v>2100</v>
      </c>
      <c r="G433" s="15" t="n">
        <v>250</v>
      </c>
      <c r="H433" s="15"/>
    </row>
    <row r="434" customFormat="false" ht="15" hidden="false" customHeight="false" outlineLevel="0" collapsed="false">
      <c r="A434" s="15" t="s">
        <v>382</v>
      </c>
      <c r="B434" s="15" t="s">
        <v>1915</v>
      </c>
      <c r="C434" s="15" t="s">
        <v>366</v>
      </c>
      <c r="D434" s="15" t="s">
        <v>1949</v>
      </c>
      <c r="E434" s="15" t="s">
        <v>2714</v>
      </c>
      <c r="F434" s="15" t="s">
        <v>2420</v>
      </c>
      <c r="G434" s="15" t="n">
        <v>1000</v>
      </c>
      <c r="H434" s="15" t="s">
        <v>166</v>
      </c>
    </row>
    <row r="435" customFormat="false" ht="15" hidden="false" customHeight="false" outlineLevel="0" collapsed="false">
      <c r="A435" s="15" t="s">
        <v>382</v>
      </c>
      <c r="B435" s="15" t="s">
        <v>1915</v>
      </c>
      <c r="C435" s="15" t="s">
        <v>279</v>
      </c>
      <c r="D435" s="15" t="s">
        <v>1954</v>
      </c>
      <c r="E435" s="15" t="s">
        <v>2715</v>
      </c>
      <c r="F435" s="15" t="s">
        <v>2716</v>
      </c>
      <c r="G435" s="15" t="n">
        <v>500</v>
      </c>
      <c r="H435" s="15" t="s">
        <v>166</v>
      </c>
    </row>
    <row r="436" customFormat="false" ht="15" hidden="false" customHeight="false" outlineLevel="0" collapsed="false">
      <c r="A436" s="15" t="s">
        <v>382</v>
      </c>
      <c r="B436" s="15" t="s">
        <v>1915</v>
      </c>
      <c r="C436" s="15" t="s">
        <v>279</v>
      </c>
      <c r="D436" s="15" t="s">
        <v>1954</v>
      </c>
      <c r="E436" s="15" t="s">
        <v>2717</v>
      </c>
      <c r="F436" s="15" t="s">
        <v>2718</v>
      </c>
      <c r="G436" s="15" t="n">
        <v>500</v>
      </c>
      <c r="H436" s="15" t="s">
        <v>166</v>
      </c>
    </row>
    <row r="437" customFormat="false" ht="15" hidden="false" customHeight="false" outlineLevel="0" collapsed="false">
      <c r="A437" s="15" t="s">
        <v>382</v>
      </c>
      <c r="B437" s="15" t="s">
        <v>1915</v>
      </c>
      <c r="C437" s="15" t="s">
        <v>279</v>
      </c>
      <c r="D437" s="15" t="s">
        <v>1954</v>
      </c>
      <c r="E437" s="15" t="s">
        <v>2719</v>
      </c>
      <c r="F437" s="15" t="s">
        <v>2720</v>
      </c>
      <c r="G437" s="15" t="n">
        <v>500</v>
      </c>
      <c r="H437" s="15" t="s">
        <v>166</v>
      </c>
    </row>
    <row r="438" customFormat="false" ht="15" hidden="false" customHeight="false" outlineLevel="0" collapsed="false">
      <c r="A438" s="15" t="s">
        <v>385</v>
      </c>
      <c r="B438" s="15" t="s">
        <v>1910</v>
      </c>
      <c r="C438" s="15" t="s">
        <v>1921</v>
      </c>
      <c r="D438" s="15" t="s">
        <v>1922</v>
      </c>
      <c r="E438" s="15" t="s">
        <v>2721</v>
      </c>
      <c r="F438" s="15" t="s">
        <v>2722</v>
      </c>
      <c r="G438" s="15" t="n">
        <v>500</v>
      </c>
      <c r="H438" s="15"/>
    </row>
    <row r="439" customFormat="false" ht="15" hidden="false" customHeight="false" outlineLevel="0" collapsed="false">
      <c r="A439" s="15" t="s">
        <v>385</v>
      </c>
      <c r="B439" s="15" t="s">
        <v>1915</v>
      </c>
      <c r="C439" s="15" t="s">
        <v>279</v>
      </c>
      <c r="D439" s="15" t="s">
        <v>1954</v>
      </c>
      <c r="E439" s="15" t="s">
        <v>2723</v>
      </c>
      <c r="F439" s="15" t="s">
        <v>2724</v>
      </c>
      <c r="G439" s="15" t="n">
        <v>500</v>
      </c>
      <c r="H439" s="15" t="s">
        <v>166</v>
      </c>
    </row>
    <row r="440" customFormat="false" ht="15" hidden="false" customHeight="false" outlineLevel="0" collapsed="false">
      <c r="A440" s="15" t="s">
        <v>385</v>
      </c>
      <c r="B440" s="15" t="s">
        <v>1915</v>
      </c>
      <c r="C440" s="15" t="s">
        <v>224</v>
      </c>
      <c r="D440" s="15" t="s">
        <v>2016</v>
      </c>
      <c r="E440" s="15" t="s">
        <v>2725</v>
      </c>
      <c r="F440" s="15" t="s">
        <v>2724</v>
      </c>
      <c r="G440" s="15" t="n">
        <v>500</v>
      </c>
      <c r="H440" s="15" t="s">
        <v>166</v>
      </c>
    </row>
    <row r="441" customFormat="false" ht="15" hidden="false" customHeight="false" outlineLevel="0" collapsed="false">
      <c r="A441" s="15" t="s">
        <v>389</v>
      </c>
      <c r="B441" s="15" t="s">
        <v>1910</v>
      </c>
      <c r="C441" s="15" t="s">
        <v>1921</v>
      </c>
      <c r="D441" s="15" t="s">
        <v>1922</v>
      </c>
      <c r="E441" s="15" t="s">
        <v>2726</v>
      </c>
      <c r="F441" s="15" t="s">
        <v>2727</v>
      </c>
      <c r="G441" s="15" t="n">
        <v>500</v>
      </c>
      <c r="H441" s="15"/>
    </row>
    <row r="442" customFormat="false" ht="15" hidden="false" customHeight="false" outlineLevel="0" collapsed="false">
      <c r="A442" s="15" t="s">
        <v>389</v>
      </c>
      <c r="B442" s="15" t="s">
        <v>1915</v>
      </c>
      <c r="C442" s="15" t="s">
        <v>279</v>
      </c>
      <c r="D442" s="15" t="s">
        <v>1954</v>
      </c>
      <c r="E442" s="15" t="s">
        <v>2728</v>
      </c>
      <c r="F442" s="15" t="s">
        <v>2729</v>
      </c>
      <c r="G442" s="15" t="n">
        <v>250</v>
      </c>
      <c r="H442" s="15" t="s">
        <v>166</v>
      </c>
    </row>
    <row r="443" customFormat="false" ht="15" hidden="false" customHeight="false" outlineLevel="0" collapsed="false">
      <c r="A443" s="15" t="s">
        <v>389</v>
      </c>
      <c r="B443" s="15" t="s">
        <v>1915</v>
      </c>
      <c r="C443" s="15" t="s">
        <v>279</v>
      </c>
      <c r="D443" s="15" t="s">
        <v>1954</v>
      </c>
      <c r="E443" s="15" t="s">
        <v>2730</v>
      </c>
      <c r="F443" s="15" t="s">
        <v>2731</v>
      </c>
      <c r="G443" s="15" t="n">
        <v>250</v>
      </c>
      <c r="H443" s="15" t="s">
        <v>166</v>
      </c>
    </row>
    <row r="444" customFormat="false" ht="15" hidden="false" customHeight="false" outlineLevel="0" collapsed="false">
      <c r="A444" s="15" t="s">
        <v>389</v>
      </c>
      <c r="B444" s="15" t="s">
        <v>1915</v>
      </c>
      <c r="C444" s="15" t="s">
        <v>2732</v>
      </c>
      <c r="D444" s="15" t="s">
        <v>2733</v>
      </c>
      <c r="E444" s="15" t="s">
        <v>2734</v>
      </c>
      <c r="F444" s="15" t="s">
        <v>2735</v>
      </c>
      <c r="G444" s="15" t="n">
        <v>250</v>
      </c>
      <c r="H444" s="15" t="s">
        <v>166</v>
      </c>
    </row>
    <row r="445" customFormat="false" ht="15" hidden="false" customHeight="false" outlineLevel="0" collapsed="false">
      <c r="A445" s="15" t="s">
        <v>393</v>
      </c>
      <c r="B445" s="15" t="s">
        <v>1910</v>
      </c>
      <c r="C445" s="15" t="s">
        <v>1970</v>
      </c>
      <c r="D445" s="15" t="s">
        <v>1971</v>
      </c>
      <c r="E445" s="15" t="s">
        <v>2736</v>
      </c>
      <c r="F445" s="15" t="s">
        <v>2226</v>
      </c>
      <c r="G445" s="15" t="n">
        <v>250</v>
      </c>
      <c r="H445" s="15"/>
    </row>
    <row r="446" customFormat="false" ht="15" hidden="false" customHeight="false" outlineLevel="0" collapsed="false">
      <c r="A446" s="15" t="s">
        <v>393</v>
      </c>
      <c r="B446" s="15" t="s">
        <v>1910</v>
      </c>
      <c r="C446" s="15" t="s">
        <v>1974</v>
      </c>
      <c r="D446" s="15" t="s">
        <v>1975</v>
      </c>
      <c r="E446" s="15" t="s">
        <v>2737</v>
      </c>
      <c r="F446" s="15" t="s">
        <v>2226</v>
      </c>
      <c r="G446" s="15" t="n">
        <v>250</v>
      </c>
      <c r="H446" s="15"/>
    </row>
    <row r="447" customFormat="false" ht="15" hidden="false" customHeight="false" outlineLevel="0" collapsed="false">
      <c r="A447" s="15" t="s">
        <v>393</v>
      </c>
      <c r="B447" s="15" t="s">
        <v>1910</v>
      </c>
      <c r="C447" s="15" t="s">
        <v>1921</v>
      </c>
      <c r="D447" s="15" t="s">
        <v>1922</v>
      </c>
      <c r="E447" s="15" t="s">
        <v>2738</v>
      </c>
      <c r="F447" s="15" t="s">
        <v>2739</v>
      </c>
      <c r="G447" s="15" t="n">
        <v>500</v>
      </c>
      <c r="H447" s="15"/>
    </row>
    <row r="448" customFormat="false" ht="15" hidden="false" customHeight="false" outlineLevel="0" collapsed="false">
      <c r="A448" s="15" t="s">
        <v>393</v>
      </c>
      <c r="B448" s="15" t="s">
        <v>1915</v>
      </c>
      <c r="C448" s="15" t="s">
        <v>279</v>
      </c>
      <c r="D448" s="15" t="s">
        <v>1954</v>
      </c>
      <c r="E448" s="15" t="s">
        <v>2740</v>
      </c>
      <c r="F448" s="15" t="s">
        <v>2716</v>
      </c>
      <c r="G448" s="15" t="n">
        <v>250</v>
      </c>
      <c r="H448" s="15" t="s">
        <v>166</v>
      </c>
    </row>
    <row r="449" customFormat="false" ht="15" hidden="false" customHeight="false" outlineLevel="0" collapsed="false">
      <c r="A449" s="15" t="s">
        <v>393</v>
      </c>
      <c r="B449" s="15" t="s">
        <v>1915</v>
      </c>
      <c r="C449" s="15" t="s">
        <v>279</v>
      </c>
      <c r="D449" s="15" t="s">
        <v>1954</v>
      </c>
      <c r="E449" s="15" t="s">
        <v>2741</v>
      </c>
      <c r="F449" s="15" t="s">
        <v>2742</v>
      </c>
      <c r="G449" s="15" t="n">
        <v>250</v>
      </c>
      <c r="H449" s="15" t="s">
        <v>166</v>
      </c>
    </row>
    <row r="450" customFormat="false" ht="15" hidden="false" customHeight="false" outlineLevel="0" collapsed="false">
      <c r="A450" s="15" t="s">
        <v>393</v>
      </c>
      <c r="B450" s="15" t="s">
        <v>1915</v>
      </c>
      <c r="C450" s="15" t="s">
        <v>279</v>
      </c>
      <c r="D450" s="15" t="s">
        <v>1954</v>
      </c>
      <c r="E450" s="15" t="s">
        <v>2743</v>
      </c>
      <c r="F450" s="15" t="s">
        <v>2744</v>
      </c>
      <c r="G450" s="15" t="n">
        <v>250</v>
      </c>
      <c r="H450" s="15" t="s">
        <v>166</v>
      </c>
    </row>
    <row r="451" customFormat="false" ht="15" hidden="false" customHeight="false" outlineLevel="0" collapsed="false">
      <c r="A451" s="15" t="s">
        <v>393</v>
      </c>
      <c r="B451" s="15" t="s">
        <v>1915</v>
      </c>
      <c r="C451" s="15" t="s">
        <v>279</v>
      </c>
      <c r="D451" s="15" t="s">
        <v>1954</v>
      </c>
      <c r="E451" s="15" t="s">
        <v>2745</v>
      </c>
      <c r="F451" s="15" t="s">
        <v>2746</v>
      </c>
      <c r="G451" s="15" t="n">
        <v>250</v>
      </c>
      <c r="H451" s="15" t="s">
        <v>166</v>
      </c>
    </row>
    <row r="452" customFormat="false" ht="15" hidden="false" customHeight="false" outlineLevel="0" collapsed="false">
      <c r="A452" s="15" t="s">
        <v>396</v>
      </c>
      <c r="B452" s="15" t="s">
        <v>1910</v>
      </c>
      <c r="C452" s="15" t="s">
        <v>1970</v>
      </c>
      <c r="D452" s="15" t="s">
        <v>1971</v>
      </c>
      <c r="E452" s="15" t="s">
        <v>2747</v>
      </c>
      <c r="F452" s="15" t="s">
        <v>2052</v>
      </c>
      <c r="G452" s="15" t="n">
        <v>250</v>
      </c>
      <c r="H452" s="15"/>
    </row>
    <row r="453" customFormat="false" ht="15" hidden="false" customHeight="false" outlineLevel="0" collapsed="false">
      <c r="A453" s="15" t="s">
        <v>396</v>
      </c>
      <c r="B453" s="15" t="s">
        <v>1915</v>
      </c>
      <c r="C453" s="15" t="s">
        <v>279</v>
      </c>
      <c r="D453" s="15" t="s">
        <v>1954</v>
      </c>
      <c r="E453" s="15" t="s">
        <v>2748</v>
      </c>
      <c r="F453" s="15" t="s">
        <v>2749</v>
      </c>
      <c r="G453" s="15" t="n">
        <v>250</v>
      </c>
      <c r="H453" s="15" t="s">
        <v>166</v>
      </c>
    </row>
    <row r="454" customFormat="false" ht="15" hidden="false" customHeight="false" outlineLevel="0" collapsed="false">
      <c r="A454" s="15" t="s">
        <v>396</v>
      </c>
      <c r="B454" s="15" t="s">
        <v>1915</v>
      </c>
      <c r="C454" s="15" t="s">
        <v>279</v>
      </c>
      <c r="D454" s="15" t="s">
        <v>1954</v>
      </c>
      <c r="E454" s="15" t="s">
        <v>2750</v>
      </c>
      <c r="F454" s="15" t="s">
        <v>2751</v>
      </c>
      <c r="G454" s="15" t="n">
        <v>250</v>
      </c>
      <c r="H454" s="15" t="s">
        <v>166</v>
      </c>
    </row>
    <row r="455" customFormat="false" ht="15" hidden="false" customHeight="false" outlineLevel="0" collapsed="false">
      <c r="A455" s="15" t="s">
        <v>399</v>
      </c>
      <c r="B455" s="15" t="s">
        <v>1910</v>
      </c>
      <c r="C455" s="15" t="s">
        <v>1992</v>
      </c>
      <c r="D455" s="15" t="s">
        <v>1993</v>
      </c>
      <c r="E455" s="15" t="s">
        <v>2752</v>
      </c>
      <c r="F455" s="15" t="s">
        <v>2052</v>
      </c>
      <c r="G455" s="15" t="n">
        <v>250</v>
      </c>
      <c r="H455" s="15"/>
    </row>
    <row r="456" customFormat="false" ht="15" hidden="false" customHeight="false" outlineLevel="0" collapsed="false">
      <c r="A456" s="15" t="s">
        <v>399</v>
      </c>
      <c r="B456" s="15" t="s">
        <v>1915</v>
      </c>
      <c r="C456" s="15" t="s">
        <v>279</v>
      </c>
      <c r="D456" s="15" t="s">
        <v>1954</v>
      </c>
      <c r="E456" s="15" t="s">
        <v>2753</v>
      </c>
      <c r="F456" s="15" t="s">
        <v>2319</v>
      </c>
      <c r="G456" s="15" t="n">
        <v>250</v>
      </c>
      <c r="H456" s="15" t="s">
        <v>166</v>
      </c>
    </row>
    <row r="457" customFormat="false" ht="15" hidden="false" customHeight="false" outlineLevel="0" collapsed="false">
      <c r="A457" s="15" t="s">
        <v>399</v>
      </c>
      <c r="B457" s="15" t="s">
        <v>1915</v>
      </c>
      <c r="C457" s="15" t="s">
        <v>279</v>
      </c>
      <c r="D457" s="15" t="s">
        <v>1954</v>
      </c>
      <c r="E457" s="15" t="s">
        <v>2754</v>
      </c>
      <c r="F457" s="15" t="s">
        <v>2160</v>
      </c>
      <c r="G457" s="15" t="n">
        <v>250</v>
      </c>
      <c r="H457" s="15" t="s">
        <v>166</v>
      </c>
    </row>
    <row r="458" customFormat="false" ht="15" hidden="false" customHeight="false" outlineLevel="0" collapsed="false">
      <c r="A458" s="15" t="s">
        <v>402</v>
      </c>
      <c r="B458" s="15" t="s">
        <v>1910</v>
      </c>
      <c r="C458" s="15" t="s">
        <v>1992</v>
      </c>
      <c r="D458" s="15" t="s">
        <v>1993</v>
      </c>
      <c r="E458" s="15" t="s">
        <v>2755</v>
      </c>
      <c r="F458" s="15" t="s">
        <v>2097</v>
      </c>
      <c r="G458" s="15" t="n">
        <v>250</v>
      </c>
      <c r="H458" s="15"/>
    </row>
    <row r="459" customFormat="false" ht="15" hidden="false" customHeight="false" outlineLevel="0" collapsed="false">
      <c r="A459" s="15" t="s">
        <v>402</v>
      </c>
      <c r="B459" s="15" t="s">
        <v>1915</v>
      </c>
      <c r="C459" s="15" t="s">
        <v>279</v>
      </c>
      <c r="D459" s="15" t="s">
        <v>1954</v>
      </c>
      <c r="E459" s="15" t="s">
        <v>2756</v>
      </c>
      <c r="F459" s="15" t="s">
        <v>2757</v>
      </c>
      <c r="G459" s="15" t="n">
        <v>5000</v>
      </c>
      <c r="H459" s="15" t="s">
        <v>166</v>
      </c>
    </row>
    <row r="460" customFormat="false" ht="15" hidden="false" customHeight="false" outlineLevel="0" collapsed="false">
      <c r="A460" s="15" t="s">
        <v>405</v>
      </c>
      <c r="B460" s="15" t="s">
        <v>1910</v>
      </c>
      <c r="C460" s="15" t="s">
        <v>1911</v>
      </c>
      <c r="D460" s="15" t="s">
        <v>1912</v>
      </c>
      <c r="E460" s="15" t="s">
        <v>2758</v>
      </c>
      <c r="F460" s="15" t="s">
        <v>2759</v>
      </c>
      <c r="G460" s="15" t="n">
        <v>250</v>
      </c>
      <c r="H460" s="15"/>
    </row>
    <row r="461" customFormat="false" ht="15" hidden="false" customHeight="false" outlineLevel="0" collapsed="false">
      <c r="A461" s="15" t="s">
        <v>405</v>
      </c>
      <c r="B461" s="15" t="s">
        <v>1910</v>
      </c>
      <c r="C461" s="15" t="s">
        <v>1911</v>
      </c>
      <c r="D461" s="15" t="s">
        <v>1912</v>
      </c>
      <c r="E461" s="15" t="s">
        <v>2760</v>
      </c>
      <c r="F461" s="15" t="s">
        <v>2449</v>
      </c>
      <c r="G461" s="15" t="n">
        <v>250</v>
      </c>
      <c r="H461" s="15"/>
    </row>
    <row r="462" customFormat="false" ht="15" hidden="false" customHeight="false" outlineLevel="0" collapsed="false">
      <c r="A462" s="15" t="s">
        <v>405</v>
      </c>
      <c r="B462" s="15" t="s">
        <v>1910</v>
      </c>
      <c r="C462" s="15" t="s">
        <v>1970</v>
      </c>
      <c r="D462" s="15" t="s">
        <v>1971</v>
      </c>
      <c r="E462" s="15" t="s">
        <v>2761</v>
      </c>
      <c r="F462" s="15" t="s">
        <v>2762</v>
      </c>
      <c r="G462" s="15" t="n">
        <v>250</v>
      </c>
      <c r="H462" s="15"/>
    </row>
    <row r="463" customFormat="false" ht="15" hidden="false" customHeight="false" outlineLevel="0" collapsed="false">
      <c r="A463" s="15" t="s">
        <v>405</v>
      </c>
      <c r="B463" s="15" t="s">
        <v>1910</v>
      </c>
      <c r="C463" s="15" t="s">
        <v>1970</v>
      </c>
      <c r="D463" s="15" t="s">
        <v>1971</v>
      </c>
      <c r="E463" s="15" t="s">
        <v>2763</v>
      </c>
      <c r="F463" s="15" t="s">
        <v>2764</v>
      </c>
      <c r="G463" s="15" t="n">
        <v>250</v>
      </c>
      <c r="H463" s="15"/>
    </row>
    <row r="464" customFormat="false" ht="15" hidden="false" customHeight="false" outlineLevel="0" collapsed="false">
      <c r="A464" s="15" t="s">
        <v>405</v>
      </c>
      <c r="B464" s="15" t="s">
        <v>1910</v>
      </c>
      <c r="C464" s="15" t="s">
        <v>1974</v>
      </c>
      <c r="D464" s="15" t="s">
        <v>1975</v>
      </c>
      <c r="E464" s="15" t="s">
        <v>2765</v>
      </c>
      <c r="F464" s="15" t="s">
        <v>2766</v>
      </c>
      <c r="G464" s="15" t="n">
        <v>250</v>
      </c>
      <c r="H464" s="15"/>
    </row>
    <row r="465" customFormat="false" ht="15" hidden="false" customHeight="false" outlineLevel="0" collapsed="false">
      <c r="A465" s="15" t="s">
        <v>405</v>
      </c>
      <c r="B465" s="15" t="s">
        <v>1910</v>
      </c>
      <c r="C465" s="15" t="s">
        <v>2069</v>
      </c>
      <c r="D465" s="15" t="s">
        <v>2070</v>
      </c>
      <c r="E465" s="15" t="s">
        <v>2767</v>
      </c>
      <c r="F465" s="15" t="s">
        <v>2768</v>
      </c>
      <c r="G465" s="15" t="n">
        <v>250</v>
      </c>
      <c r="H465" s="15"/>
    </row>
    <row r="466" customFormat="false" ht="15" hidden="false" customHeight="false" outlineLevel="0" collapsed="false">
      <c r="A466" s="15" t="s">
        <v>405</v>
      </c>
      <c r="B466" s="15" t="s">
        <v>1910</v>
      </c>
      <c r="C466" s="15" t="s">
        <v>1921</v>
      </c>
      <c r="D466" s="15" t="s">
        <v>1922</v>
      </c>
      <c r="E466" s="15" t="s">
        <v>2769</v>
      </c>
      <c r="F466" s="15" t="s">
        <v>1924</v>
      </c>
      <c r="G466" s="15" t="n">
        <v>500</v>
      </c>
      <c r="H466" s="15"/>
    </row>
    <row r="467" customFormat="false" ht="15" hidden="false" customHeight="false" outlineLevel="0" collapsed="false">
      <c r="A467" s="15" t="s">
        <v>405</v>
      </c>
      <c r="B467" s="15" t="s">
        <v>1910</v>
      </c>
      <c r="C467" s="15" t="s">
        <v>1921</v>
      </c>
      <c r="D467" s="15" t="s">
        <v>1922</v>
      </c>
      <c r="E467" s="15" t="s">
        <v>2770</v>
      </c>
      <c r="F467" s="15" t="s">
        <v>2236</v>
      </c>
      <c r="G467" s="15" t="n">
        <v>500</v>
      </c>
      <c r="H467" s="15"/>
    </row>
    <row r="468" customFormat="false" ht="15" hidden="false" customHeight="false" outlineLevel="0" collapsed="false">
      <c r="A468" s="15" t="s">
        <v>405</v>
      </c>
      <c r="B468" s="15" t="s">
        <v>1910</v>
      </c>
      <c r="C468" s="15" t="s">
        <v>1921</v>
      </c>
      <c r="D468" s="15" t="s">
        <v>1922</v>
      </c>
      <c r="E468" s="15" t="s">
        <v>2771</v>
      </c>
      <c r="F468" s="15" t="s">
        <v>2772</v>
      </c>
      <c r="G468" s="15" t="n">
        <v>500</v>
      </c>
      <c r="H468" s="15"/>
    </row>
    <row r="469" customFormat="false" ht="15" hidden="false" customHeight="false" outlineLevel="0" collapsed="false">
      <c r="A469" s="15" t="s">
        <v>405</v>
      </c>
      <c r="B469" s="15" t="s">
        <v>1915</v>
      </c>
      <c r="C469" s="15" t="s">
        <v>279</v>
      </c>
      <c r="D469" s="15" t="s">
        <v>1954</v>
      </c>
      <c r="E469" s="15" t="s">
        <v>2773</v>
      </c>
      <c r="F469" s="15" t="s">
        <v>2774</v>
      </c>
      <c r="G469" s="15" t="n">
        <v>1000</v>
      </c>
      <c r="H469" s="15" t="s">
        <v>166</v>
      </c>
    </row>
    <row r="470" customFormat="false" ht="15" hidden="false" customHeight="false" outlineLevel="0" collapsed="false">
      <c r="A470" s="15" t="s">
        <v>405</v>
      </c>
      <c r="B470" s="15" t="s">
        <v>1915</v>
      </c>
      <c r="C470" s="15" t="s">
        <v>279</v>
      </c>
      <c r="D470" s="15" t="s">
        <v>1954</v>
      </c>
      <c r="E470" s="15" t="s">
        <v>2775</v>
      </c>
      <c r="F470" s="15" t="s">
        <v>2470</v>
      </c>
      <c r="G470" s="15" t="n">
        <v>750</v>
      </c>
      <c r="H470" s="15" t="s">
        <v>166</v>
      </c>
    </row>
    <row r="471" customFormat="false" ht="15" hidden="false" customHeight="false" outlineLevel="0" collapsed="false">
      <c r="A471" s="15" t="s">
        <v>405</v>
      </c>
      <c r="B471" s="15" t="s">
        <v>1915</v>
      </c>
      <c r="C471" s="15" t="s">
        <v>279</v>
      </c>
      <c r="D471" s="15" t="s">
        <v>1954</v>
      </c>
      <c r="E471" s="15" t="s">
        <v>2776</v>
      </c>
      <c r="F471" s="15" t="s">
        <v>2777</v>
      </c>
      <c r="G471" s="15" t="n">
        <v>10000</v>
      </c>
      <c r="H471" s="15" t="s">
        <v>166</v>
      </c>
    </row>
    <row r="472" customFormat="false" ht="15" hidden="false" customHeight="false" outlineLevel="0" collapsed="false">
      <c r="A472" s="15" t="s">
        <v>405</v>
      </c>
      <c r="B472" s="15" t="s">
        <v>1915</v>
      </c>
      <c r="C472" s="15" t="s">
        <v>279</v>
      </c>
      <c r="D472" s="15" t="s">
        <v>1954</v>
      </c>
      <c r="E472" s="15" t="s">
        <v>2778</v>
      </c>
      <c r="F472" s="15" t="s">
        <v>2720</v>
      </c>
      <c r="G472" s="15" t="n">
        <v>3000</v>
      </c>
      <c r="H472" s="15" t="s">
        <v>166</v>
      </c>
    </row>
    <row r="473" customFormat="false" ht="15" hidden="false" customHeight="false" outlineLevel="0" collapsed="false">
      <c r="A473" s="15" t="s">
        <v>408</v>
      </c>
      <c r="B473" s="15" t="s">
        <v>1910</v>
      </c>
      <c r="C473" s="15" t="s">
        <v>1921</v>
      </c>
      <c r="D473" s="15" t="s">
        <v>1922</v>
      </c>
      <c r="E473" s="15" t="s">
        <v>2779</v>
      </c>
      <c r="F473" s="15" t="s">
        <v>2369</v>
      </c>
      <c r="G473" s="15" t="n">
        <v>500</v>
      </c>
      <c r="H473" s="15"/>
    </row>
    <row r="474" customFormat="false" ht="15" hidden="false" customHeight="false" outlineLevel="0" collapsed="false">
      <c r="A474" s="15" t="s">
        <v>408</v>
      </c>
      <c r="B474" s="15" t="s">
        <v>1915</v>
      </c>
      <c r="C474" s="15" t="s">
        <v>279</v>
      </c>
      <c r="D474" s="15" t="s">
        <v>1954</v>
      </c>
      <c r="E474" s="15" t="s">
        <v>2780</v>
      </c>
      <c r="F474" s="15" t="s">
        <v>2460</v>
      </c>
      <c r="G474" s="15" t="n">
        <v>3000</v>
      </c>
      <c r="H474" s="15" t="s">
        <v>166</v>
      </c>
    </row>
    <row r="475" customFormat="false" ht="15" hidden="false" customHeight="false" outlineLevel="0" collapsed="false">
      <c r="A475" s="15" t="s">
        <v>408</v>
      </c>
      <c r="B475" s="15" t="s">
        <v>1915</v>
      </c>
      <c r="C475" s="15" t="s">
        <v>279</v>
      </c>
      <c r="D475" s="15" t="s">
        <v>1954</v>
      </c>
      <c r="E475" s="15" t="s">
        <v>2781</v>
      </c>
      <c r="F475" s="15" t="s">
        <v>2367</v>
      </c>
      <c r="G475" s="15" t="n">
        <v>10000</v>
      </c>
      <c r="H475" s="15" t="s">
        <v>166</v>
      </c>
    </row>
    <row r="476" customFormat="false" ht="15" hidden="false" customHeight="false" outlineLevel="0" collapsed="false">
      <c r="A476" s="15" t="s">
        <v>411</v>
      </c>
      <c r="B476" s="15" t="s">
        <v>1910</v>
      </c>
      <c r="C476" s="15" t="s">
        <v>1921</v>
      </c>
      <c r="D476" s="15" t="s">
        <v>1922</v>
      </c>
      <c r="E476" s="15" t="s">
        <v>2782</v>
      </c>
      <c r="F476" s="15" t="s">
        <v>2783</v>
      </c>
      <c r="G476" s="15" t="n">
        <v>500</v>
      </c>
      <c r="H476" s="15"/>
    </row>
    <row r="477" customFormat="false" ht="15" hidden="false" customHeight="false" outlineLevel="0" collapsed="false">
      <c r="A477" s="15" t="s">
        <v>411</v>
      </c>
      <c r="B477" s="15" t="s">
        <v>1915</v>
      </c>
      <c r="C477" s="15" t="s">
        <v>279</v>
      </c>
      <c r="D477" s="15" t="s">
        <v>1954</v>
      </c>
      <c r="E477" s="15" t="s">
        <v>2784</v>
      </c>
      <c r="F477" s="15" t="s">
        <v>2785</v>
      </c>
      <c r="G477" s="15" t="n">
        <v>250</v>
      </c>
      <c r="H477" s="15" t="s">
        <v>166</v>
      </c>
    </row>
    <row r="478" customFormat="false" ht="15" hidden="false" customHeight="false" outlineLevel="0" collapsed="false">
      <c r="A478" s="15" t="s">
        <v>411</v>
      </c>
      <c r="B478" s="15" t="s">
        <v>1915</v>
      </c>
      <c r="C478" s="15" t="s">
        <v>279</v>
      </c>
      <c r="D478" s="15" t="s">
        <v>1954</v>
      </c>
      <c r="E478" s="15" t="s">
        <v>2786</v>
      </c>
      <c r="F478" s="15" t="s">
        <v>2664</v>
      </c>
      <c r="G478" s="15" t="n">
        <v>250</v>
      </c>
      <c r="H478" s="15" t="s">
        <v>166</v>
      </c>
    </row>
    <row r="479" customFormat="false" ht="15" hidden="false" customHeight="false" outlineLevel="0" collapsed="false">
      <c r="A479" s="15" t="s">
        <v>414</v>
      </c>
      <c r="B479" s="15" t="s">
        <v>1910</v>
      </c>
      <c r="C479" s="15" t="s">
        <v>1992</v>
      </c>
      <c r="D479" s="15" t="s">
        <v>1993</v>
      </c>
      <c r="E479" s="15" t="s">
        <v>2787</v>
      </c>
      <c r="F479" s="15" t="s">
        <v>2788</v>
      </c>
      <c r="G479" s="15" t="n">
        <v>250</v>
      </c>
      <c r="H479" s="15"/>
    </row>
    <row r="480" customFormat="false" ht="15" hidden="false" customHeight="false" outlineLevel="0" collapsed="false">
      <c r="A480" s="15" t="s">
        <v>414</v>
      </c>
      <c r="B480" s="15" t="s">
        <v>1915</v>
      </c>
      <c r="C480" s="15" t="s">
        <v>279</v>
      </c>
      <c r="D480" s="15" t="s">
        <v>1954</v>
      </c>
      <c r="E480" s="15" t="s">
        <v>2789</v>
      </c>
      <c r="F480" s="15" t="s">
        <v>2221</v>
      </c>
      <c r="G480" s="15" t="n">
        <v>250</v>
      </c>
      <c r="H480" s="15" t="s">
        <v>166</v>
      </c>
    </row>
    <row r="481" customFormat="false" ht="15" hidden="false" customHeight="false" outlineLevel="0" collapsed="false">
      <c r="A481" s="15" t="s">
        <v>414</v>
      </c>
      <c r="B481" s="15" t="s">
        <v>1915</v>
      </c>
      <c r="C481" s="15" t="s">
        <v>279</v>
      </c>
      <c r="D481" s="15" t="s">
        <v>1954</v>
      </c>
      <c r="E481" s="15" t="s">
        <v>2790</v>
      </c>
      <c r="F481" s="15" t="s">
        <v>2791</v>
      </c>
      <c r="G481" s="15" t="n">
        <v>250</v>
      </c>
      <c r="H481" s="15" t="s">
        <v>166</v>
      </c>
    </row>
    <row r="482" customFormat="false" ht="15" hidden="false" customHeight="false" outlineLevel="0" collapsed="false">
      <c r="A482" s="15" t="s">
        <v>417</v>
      </c>
      <c r="B482" s="15" t="s">
        <v>1910</v>
      </c>
      <c r="C482" s="15" t="s">
        <v>1921</v>
      </c>
      <c r="D482" s="15" t="s">
        <v>1922</v>
      </c>
      <c r="E482" s="15" t="s">
        <v>2792</v>
      </c>
      <c r="F482" s="15" t="s">
        <v>2369</v>
      </c>
      <c r="G482" s="15" t="n">
        <v>500</v>
      </c>
      <c r="H482" s="15"/>
    </row>
    <row r="483" customFormat="false" ht="15" hidden="false" customHeight="false" outlineLevel="0" collapsed="false">
      <c r="A483" s="15" t="s">
        <v>417</v>
      </c>
      <c r="B483" s="15" t="s">
        <v>1915</v>
      </c>
      <c r="C483" s="15" t="s">
        <v>279</v>
      </c>
      <c r="D483" s="15" t="s">
        <v>1954</v>
      </c>
      <c r="E483" s="15" t="s">
        <v>2793</v>
      </c>
      <c r="F483" s="15" t="s">
        <v>2437</v>
      </c>
      <c r="G483" s="15" t="n">
        <v>10000</v>
      </c>
      <c r="H483" s="15" t="s">
        <v>166</v>
      </c>
    </row>
    <row r="484" customFormat="false" ht="15" hidden="false" customHeight="false" outlineLevel="0" collapsed="false">
      <c r="A484" s="15" t="s">
        <v>417</v>
      </c>
      <c r="B484" s="15" t="s">
        <v>1915</v>
      </c>
      <c r="C484" s="15" t="s">
        <v>279</v>
      </c>
      <c r="D484" s="15" t="s">
        <v>1954</v>
      </c>
      <c r="E484" s="15" t="s">
        <v>2794</v>
      </c>
      <c r="F484" s="15" t="s">
        <v>2443</v>
      </c>
      <c r="G484" s="15" t="n">
        <v>15000</v>
      </c>
      <c r="H484" s="15" t="s">
        <v>166</v>
      </c>
    </row>
    <row r="485" customFormat="false" ht="15" hidden="false" customHeight="false" outlineLevel="0" collapsed="false">
      <c r="A485" s="15" t="s">
        <v>417</v>
      </c>
      <c r="B485" s="15" t="s">
        <v>1915</v>
      </c>
      <c r="C485" s="15" t="s">
        <v>475</v>
      </c>
      <c r="D485" s="15" t="s">
        <v>1965</v>
      </c>
      <c r="E485" s="15" t="s">
        <v>2795</v>
      </c>
      <c r="F485" s="15" t="s">
        <v>2796</v>
      </c>
      <c r="G485" s="15" t="n">
        <v>10000</v>
      </c>
      <c r="H485" s="15" t="s">
        <v>166</v>
      </c>
    </row>
    <row r="486" customFormat="false" ht="15" hidden="false" customHeight="false" outlineLevel="0" collapsed="false">
      <c r="A486" s="15" t="s">
        <v>421</v>
      </c>
      <c r="B486" s="15" t="s">
        <v>1910</v>
      </c>
      <c r="C486" s="15" t="s">
        <v>1992</v>
      </c>
      <c r="D486" s="15" t="s">
        <v>1993</v>
      </c>
      <c r="E486" s="15" t="s">
        <v>2797</v>
      </c>
      <c r="F486" s="15" t="s">
        <v>2097</v>
      </c>
      <c r="G486" s="15" t="n">
        <v>250</v>
      </c>
      <c r="H486" s="15"/>
    </row>
    <row r="487" customFormat="false" ht="15" hidden="false" customHeight="false" outlineLevel="0" collapsed="false">
      <c r="A487" s="15" t="s">
        <v>421</v>
      </c>
      <c r="B487" s="15" t="s">
        <v>1910</v>
      </c>
      <c r="C487" s="15" t="s">
        <v>1921</v>
      </c>
      <c r="D487" s="15" t="s">
        <v>1922</v>
      </c>
      <c r="E487" s="15" t="s">
        <v>2798</v>
      </c>
      <c r="F487" s="15" t="s">
        <v>2260</v>
      </c>
      <c r="G487" s="15" t="n">
        <v>500</v>
      </c>
      <c r="H487" s="15"/>
    </row>
    <row r="488" customFormat="false" ht="15" hidden="false" customHeight="false" outlineLevel="0" collapsed="false">
      <c r="A488" s="15" t="s">
        <v>421</v>
      </c>
      <c r="B488" s="15" t="s">
        <v>1915</v>
      </c>
      <c r="C488" s="15" t="s">
        <v>279</v>
      </c>
      <c r="D488" s="15" t="s">
        <v>1954</v>
      </c>
      <c r="E488" s="15" t="s">
        <v>2799</v>
      </c>
      <c r="F488" s="15" t="s">
        <v>2800</v>
      </c>
      <c r="G488" s="15" t="n">
        <v>500</v>
      </c>
      <c r="H488" s="15" t="s">
        <v>166</v>
      </c>
    </row>
    <row r="489" customFormat="false" ht="15" hidden="false" customHeight="false" outlineLevel="0" collapsed="false">
      <c r="A489" s="15" t="s">
        <v>425</v>
      </c>
      <c r="B489" s="15" t="s">
        <v>1910</v>
      </c>
      <c r="C489" s="15" t="s">
        <v>1921</v>
      </c>
      <c r="D489" s="15" t="s">
        <v>1922</v>
      </c>
      <c r="E489" s="15" t="s">
        <v>2801</v>
      </c>
      <c r="F489" s="15" t="s">
        <v>2404</v>
      </c>
      <c r="G489" s="15" t="n">
        <v>500</v>
      </c>
      <c r="H489" s="15"/>
    </row>
    <row r="490" customFormat="false" ht="15" hidden="false" customHeight="false" outlineLevel="0" collapsed="false">
      <c r="A490" s="15" t="s">
        <v>425</v>
      </c>
      <c r="B490" s="15" t="s">
        <v>1915</v>
      </c>
      <c r="C490" s="15" t="s">
        <v>279</v>
      </c>
      <c r="D490" s="15" t="s">
        <v>1954</v>
      </c>
      <c r="E490" s="15" t="s">
        <v>2802</v>
      </c>
      <c r="F490" s="15" t="s">
        <v>2803</v>
      </c>
      <c r="G490" s="15" t="n">
        <v>250</v>
      </c>
      <c r="H490" s="15" t="s">
        <v>166</v>
      </c>
    </row>
    <row r="491" customFormat="false" ht="15" hidden="false" customHeight="false" outlineLevel="0" collapsed="false">
      <c r="A491" s="15" t="s">
        <v>425</v>
      </c>
      <c r="B491" s="15" t="s">
        <v>1915</v>
      </c>
      <c r="C491" s="15" t="s">
        <v>279</v>
      </c>
      <c r="D491" s="15" t="s">
        <v>1954</v>
      </c>
      <c r="E491" s="15" t="s">
        <v>2804</v>
      </c>
      <c r="F491" s="15" t="s">
        <v>2805</v>
      </c>
      <c r="G491" s="15" t="n">
        <v>250</v>
      </c>
      <c r="H491" s="15" t="s">
        <v>166</v>
      </c>
    </row>
    <row r="492" customFormat="false" ht="15" hidden="false" customHeight="false" outlineLevel="0" collapsed="false">
      <c r="A492" s="15" t="s">
        <v>425</v>
      </c>
      <c r="B492" s="15" t="s">
        <v>1915</v>
      </c>
      <c r="C492" s="15" t="s">
        <v>279</v>
      </c>
      <c r="D492" s="15" t="s">
        <v>1954</v>
      </c>
      <c r="E492" s="15" t="s">
        <v>2806</v>
      </c>
      <c r="F492" s="15" t="s">
        <v>2807</v>
      </c>
      <c r="G492" s="15" t="n">
        <v>250</v>
      </c>
      <c r="H492" s="15" t="s">
        <v>166</v>
      </c>
    </row>
    <row r="493" customFormat="false" ht="15" hidden="false" customHeight="false" outlineLevel="0" collapsed="false">
      <c r="A493" s="15" t="s">
        <v>425</v>
      </c>
      <c r="B493" s="15" t="s">
        <v>1915</v>
      </c>
      <c r="C493" s="15" t="s">
        <v>279</v>
      </c>
      <c r="D493" s="15" t="s">
        <v>1954</v>
      </c>
      <c r="E493" s="15" t="s">
        <v>2808</v>
      </c>
      <c r="F493" s="15" t="s">
        <v>2809</v>
      </c>
      <c r="G493" s="15" t="n">
        <v>250</v>
      </c>
      <c r="H493" s="15" t="s">
        <v>166</v>
      </c>
    </row>
    <row r="494" customFormat="false" ht="15" hidden="false" customHeight="false" outlineLevel="0" collapsed="false">
      <c r="A494" s="15" t="s">
        <v>425</v>
      </c>
      <c r="B494" s="15" t="s">
        <v>1915</v>
      </c>
      <c r="C494" s="15" t="s">
        <v>279</v>
      </c>
      <c r="D494" s="15" t="s">
        <v>1954</v>
      </c>
      <c r="E494" s="15" t="s">
        <v>2810</v>
      </c>
      <c r="F494" s="15" t="s">
        <v>2811</v>
      </c>
      <c r="G494" s="15" t="n">
        <v>250</v>
      </c>
      <c r="H494" s="15" t="s">
        <v>166</v>
      </c>
    </row>
    <row r="495" customFormat="false" ht="15" hidden="false" customHeight="false" outlineLevel="0" collapsed="false">
      <c r="A495" s="15" t="s">
        <v>425</v>
      </c>
      <c r="B495" s="15" t="s">
        <v>1915</v>
      </c>
      <c r="C495" s="15" t="s">
        <v>279</v>
      </c>
      <c r="D495" s="15" t="s">
        <v>1954</v>
      </c>
      <c r="E495" s="15" t="s">
        <v>2812</v>
      </c>
      <c r="F495" s="15" t="s">
        <v>2700</v>
      </c>
      <c r="G495" s="15" t="n">
        <v>250</v>
      </c>
      <c r="H495" s="15" t="s">
        <v>166</v>
      </c>
    </row>
    <row r="496" customFormat="false" ht="15" hidden="false" customHeight="false" outlineLevel="0" collapsed="false">
      <c r="A496" s="15" t="s">
        <v>425</v>
      </c>
      <c r="B496" s="15" t="s">
        <v>1915</v>
      </c>
      <c r="C496" s="15" t="s">
        <v>279</v>
      </c>
      <c r="D496" s="15" t="s">
        <v>1954</v>
      </c>
      <c r="E496" s="15" t="s">
        <v>2813</v>
      </c>
      <c r="F496" s="15" t="s">
        <v>2700</v>
      </c>
      <c r="G496" s="15" t="n">
        <v>250</v>
      </c>
      <c r="H496" s="15" t="s">
        <v>166</v>
      </c>
    </row>
    <row r="497" customFormat="false" ht="15" hidden="false" customHeight="false" outlineLevel="0" collapsed="false">
      <c r="A497" s="15" t="s">
        <v>425</v>
      </c>
      <c r="B497" s="15" t="s">
        <v>1915</v>
      </c>
      <c r="C497" s="15" t="s">
        <v>279</v>
      </c>
      <c r="D497" s="15" t="s">
        <v>1954</v>
      </c>
      <c r="E497" s="15" t="s">
        <v>2814</v>
      </c>
      <c r="F497" s="15" t="s">
        <v>2718</v>
      </c>
      <c r="G497" s="15" t="n">
        <v>250</v>
      </c>
      <c r="H497" s="15" t="s">
        <v>166</v>
      </c>
    </row>
    <row r="498" customFormat="false" ht="15" hidden="false" customHeight="false" outlineLevel="0" collapsed="false">
      <c r="A498" s="15" t="s">
        <v>425</v>
      </c>
      <c r="B498" s="15" t="s">
        <v>1915</v>
      </c>
      <c r="C498" s="15" t="s">
        <v>279</v>
      </c>
      <c r="D498" s="15" t="s">
        <v>1954</v>
      </c>
      <c r="E498" s="15" t="s">
        <v>2815</v>
      </c>
      <c r="F498" s="15" t="s">
        <v>2816</v>
      </c>
      <c r="G498" s="15" t="n">
        <v>1000</v>
      </c>
      <c r="H498" s="15" t="s">
        <v>166</v>
      </c>
    </row>
    <row r="499" customFormat="false" ht="15" hidden="false" customHeight="false" outlineLevel="0" collapsed="false">
      <c r="A499" s="15" t="s">
        <v>425</v>
      </c>
      <c r="B499" s="15" t="s">
        <v>1915</v>
      </c>
      <c r="C499" s="15" t="s">
        <v>279</v>
      </c>
      <c r="D499" s="15" t="s">
        <v>1954</v>
      </c>
      <c r="E499" s="15" t="s">
        <v>2817</v>
      </c>
      <c r="F499" s="15" t="s">
        <v>2818</v>
      </c>
      <c r="G499" s="15" t="n">
        <v>1000</v>
      </c>
      <c r="H499" s="15" t="s">
        <v>166</v>
      </c>
    </row>
    <row r="500" customFormat="false" ht="15" hidden="false" customHeight="false" outlineLevel="0" collapsed="false">
      <c r="A500" s="15" t="s">
        <v>428</v>
      </c>
      <c r="B500" s="15" t="s">
        <v>1910</v>
      </c>
      <c r="C500" s="15" t="s">
        <v>1911</v>
      </c>
      <c r="D500" s="15" t="s">
        <v>1912</v>
      </c>
      <c r="E500" s="15" t="s">
        <v>2819</v>
      </c>
      <c r="F500" s="15" t="s">
        <v>2820</v>
      </c>
      <c r="G500" s="15" t="n">
        <v>250</v>
      </c>
      <c r="H500" s="15"/>
    </row>
    <row r="501" customFormat="false" ht="15" hidden="false" customHeight="false" outlineLevel="0" collapsed="false">
      <c r="A501" s="15" t="s">
        <v>428</v>
      </c>
      <c r="B501" s="15" t="s">
        <v>1915</v>
      </c>
      <c r="C501" s="15" t="s">
        <v>279</v>
      </c>
      <c r="D501" s="15" t="s">
        <v>1954</v>
      </c>
      <c r="E501" s="15" t="s">
        <v>2821</v>
      </c>
      <c r="F501" s="15" t="s">
        <v>2470</v>
      </c>
      <c r="G501" s="15" t="n">
        <v>1000</v>
      </c>
      <c r="H501" s="15" t="s">
        <v>225</v>
      </c>
    </row>
    <row r="502" customFormat="false" ht="15" hidden="false" customHeight="false" outlineLevel="0" collapsed="false">
      <c r="A502" s="15" t="s">
        <v>431</v>
      </c>
      <c r="B502" s="15" t="s">
        <v>1910</v>
      </c>
      <c r="C502" s="15" t="s">
        <v>1974</v>
      </c>
      <c r="D502" s="15" t="s">
        <v>1975</v>
      </c>
      <c r="E502" s="15" t="s">
        <v>2822</v>
      </c>
      <c r="F502" s="15" t="s">
        <v>2272</v>
      </c>
      <c r="G502" s="15" t="n">
        <v>250</v>
      </c>
      <c r="H502" s="15"/>
    </row>
    <row r="503" customFormat="false" ht="15" hidden="false" customHeight="false" outlineLevel="0" collapsed="false">
      <c r="A503" s="15" t="s">
        <v>431</v>
      </c>
      <c r="B503" s="15" t="s">
        <v>1910</v>
      </c>
      <c r="C503" s="15" t="s">
        <v>1921</v>
      </c>
      <c r="D503" s="15" t="s">
        <v>1922</v>
      </c>
      <c r="E503" s="15" t="s">
        <v>2823</v>
      </c>
      <c r="F503" s="15" t="s">
        <v>1924</v>
      </c>
      <c r="G503" s="15" t="n">
        <v>500</v>
      </c>
      <c r="H503" s="15"/>
    </row>
    <row r="504" customFormat="false" ht="15" hidden="false" customHeight="false" outlineLevel="0" collapsed="false">
      <c r="A504" s="15" t="s">
        <v>431</v>
      </c>
      <c r="B504" s="15" t="s">
        <v>1910</v>
      </c>
      <c r="C504" s="15" t="s">
        <v>1921</v>
      </c>
      <c r="D504" s="15" t="s">
        <v>1922</v>
      </c>
      <c r="E504" s="15" t="s">
        <v>2824</v>
      </c>
      <c r="F504" s="15" t="s">
        <v>2825</v>
      </c>
      <c r="G504" s="15" t="n">
        <v>500</v>
      </c>
      <c r="H504" s="15"/>
    </row>
    <row r="505" customFormat="false" ht="15" hidden="false" customHeight="false" outlineLevel="0" collapsed="false">
      <c r="A505" s="15" t="s">
        <v>431</v>
      </c>
      <c r="B505" s="15" t="s">
        <v>1915</v>
      </c>
      <c r="C505" s="15" t="s">
        <v>279</v>
      </c>
      <c r="D505" s="15" t="s">
        <v>1954</v>
      </c>
      <c r="E505" s="15" t="s">
        <v>2826</v>
      </c>
      <c r="F505" s="15" t="s">
        <v>2470</v>
      </c>
      <c r="G505" s="15" t="n">
        <v>750</v>
      </c>
      <c r="H505" s="15" t="s">
        <v>166</v>
      </c>
    </row>
    <row r="506" customFormat="false" ht="15" hidden="false" customHeight="false" outlineLevel="0" collapsed="false">
      <c r="A506" s="15" t="s">
        <v>431</v>
      </c>
      <c r="B506" s="15" t="s">
        <v>1915</v>
      </c>
      <c r="C506" s="15" t="s">
        <v>2032</v>
      </c>
      <c r="D506" s="15" t="s">
        <v>2033</v>
      </c>
      <c r="E506" s="15" t="s">
        <v>2827</v>
      </c>
      <c r="F506" s="15" t="s">
        <v>2828</v>
      </c>
      <c r="G506" s="15" t="n">
        <v>3000</v>
      </c>
      <c r="H506" s="15" t="s">
        <v>166</v>
      </c>
    </row>
    <row r="507" customFormat="false" ht="15" hidden="false" customHeight="false" outlineLevel="0" collapsed="false">
      <c r="A507" s="15" t="s">
        <v>435</v>
      </c>
      <c r="B507" s="15" t="s">
        <v>1910</v>
      </c>
      <c r="C507" s="15" t="s">
        <v>1974</v>
      </c>
      <c r="D507" s="15" t="s">
        <v>1975</v>
      </c>
      <c r="E507" s="15" t="s">
        <v>2829</v>
      </c>
      <c r="F507" s="15" t="s">
        <v>2830</v>
      </c>
      <c r="G507" s="15" t="n">
        <v>250</v>
      </c>
      <c r="H507" s="15"/>
    </row>
    <row r="508" customFormat="false" ht="15" hidden="false" customHeight="false" outlineLevel="0" collapsed="false">
      <c r="A508" s="15" t="s">
        <v>435</v>
      </c>
      <c r="B508" s="15" t="s">
        <v>1910</v>
      </c>
      <c r="C508" s="15" t="s">
        <v>1974</v>
      </c>
      <c r="D508" s="15" t="s">
        <v>1975</v>
      </c>
      <c r="E508" s="15" t="s">
        <v>2831</v>
      </c>
      <c r="F508" s="15" t="s">
        <v>2668</v>
      </c>
      <c r="G508" s="15" t="n">
        <v>250</v>
      </c>
      <c r="H508" s="15"/>
    </row>
    <row r="509" customFormat="false" ht="15" hidden="false" customHeight="false" outlineLevel="0" collapsed="false">
      <c r="A509" s="15" t="s">
        <v>435</v>
      </c>
      <c r="B509" s="15" t="s">
        <v>1910</v>
      </c>
      <c r="C509" s="15" t="s">
        <v>2069</v>
      </c>
      <c r="D509" s="15" t="s">
        <v>2070</v>
      </c>
      <c r="E509" s="15" t="s">
        <v>2832</v>
      </c>
      <c r="F509" s="15" t="s">
        <v>2833</v>
      </c>
      <c r="G509" s="15" t="n">
        <v>250</v>
      </c>
      <c r="H509" s="15"/>
    </row>
    <row r="510" customFormat="false" ht="15" hidden="false" customHeight="false" outlineLevel="0" collapsed="false">
      <c r="A510" s="15" t="s">
        <v>435</v>
      </c>
      <c r="B510" s="15" t="s">
        <v>1915</v>
      </c>
      <c r="C510" s="15" t="s">
        <v>279</v>
      </c>
      <c r="D510" s="15" t="s">
        <v>1954</v>
      </c>
      <c r="E510" s="15" t="s">
        <v>2834</v>
      </c>
      <c r="F510" s="15" t="s">
        <v>2835</v>
      </c>
      <c r="G510" s="15" t="n">
        <v>500</v>
      </c>
      <c r="H510" s="15" t="s">
        <v>166</v>
      </c>
    </row>
    <row r="511" customFormat="false" ht="15" hidden="false" customHeight="false" outlineLevel="0" collapsed="false">
      <c r="A511" s="15" t="s">
        <v>435</v>
      </c>
      <c r="B511" s="15" t="s">
        <v>1915</v>
      </c>
      <c r="C511" s="15" t="s">
        <v>279</v>
      </c>
      <c r="D511" s="15" t="s">
        <v>1954</v>
      </c>
      <c r="E511" s="15" t="s">
        <v>2836</v>
      </c>
      <c r="F511" s="15" t="s">
        <v>2837</v>
      </c>
      <c r="G511" s="15" t="n">
        <v>250</v>
      </c>
      <c r="H511" s="15" t="s">
        <v>166</v>
      </c>
    </row>
    <row r="512" customFormat="false" ht="15" hidden="false" customHeight="false" outlineLevel="0" collapsed="false">
      <c r="A512" s="15" t="s">
        <v>435</v>
      </c>
      <c r="B512" s="15" t="s">
        <v>1915</v>
      </c>
      <c r="C512" s="15" t="s">
        <v>279</v>
      </c>
      <c r="D512" s="15" t="s">
        <v>1954</v>
      </c>
      <c r="E512" s="15" t="s">
        <v>2838</v>
      </c>
      <c r="F512" s="15" t="s">
        <v>2839</v>
      </c>
      <c r="G512" s="15" t="n">
        <v>250</v>
      </c>
      <c r="H512" s="15" t="s">
        <v>166</v>
      </c>
    </row>
    <row r="513" customFormat="false" ht="15" hidden="false" customHeight="false" outlineLevel="0" collapsed="false">
      <c r="A513" s="15" t="s">
        <v>435</v>
      </c>
      <c r="B513" s="15" t="s">
        <v>1915</v>
      </c>
      <c r="C513" s="15" t="s">
        <v>279</v>
      </c>
      <c r="D513" s="15" t="s">
        <v>1954</v>
      </c>
      <c r="E513" s="15" t="s">
        <v>2840</v>
      </c>
      <c r="F513" s="15" t="s">
        <v>2841</v>
      </c>
      <c r="G513" s="15" t="n">
        <v>250</v>
      </c>
      <c r="H513" s="15" t="s">
        <v>166</v>
      </c>
    </row>
    <row r="514" customFormat="false" ht="15" hidden="false" customHeight="false" outlineLevel="0" collapsed="false">
      <c r="A514" s="15" t="s">
        <v>435</v>
      </c>
      <c r="B514" s="15" t="s">
        <v>1915</v>
      </c>
      <c r="C514" s="15" t="s">
        <v>279</v>
      </c>
      <c r="D514" s="15" t="s">
        <v>1954</v>
      </c>
      <c r="E514" s="15" t="s">
        <v>2842</v>
      </c>
      <c r="F514" s="15" t="s">
        <v>2843</v>
      </c>
      <c r="G514" s="15" t="n">
        <v>250</v>
      </c>
      <c r="H514" s="15" t="s">
        <v>166</v>
      </c>
    </row>
    <row r="515" customFormat="false" ht="15" hidden="false" customHeight="false" outlineLevel="0" collapsed="false">
      <c r="A515" s="15" t="s">
        <v>435</v>
      </c>
      <c r="B515" s="15" t="s">
        <v>1915</v>
      </c>
      <c r="C515" s="15" t="s">
        <v>475</v>
      </c>
      <c r="D515" s="15" t="s">
        <v>1965</v>
      </c>
      <c r="E515" s="15" t="s">
        <v>2844</v>
      </c>
      <c r="F515" s="15" t="s">
        <v>2845</v>
      </c>
      <c r="G515" s="15" t="n">
        <v>250</v>
      </c>
      <c r="H515" s="15" t="s">
        <v>166</v>
      </c>
    </row>
    <row r="516" customFormat="false" ht="15" hidden="false" customHeight="false" outlineLevel="0" collapsed="false">
      <c r="A516" s="15" t="s">
        <v>435</v>
      </c>
      <c r="B516" s="15" t="s">
        <v>1915</v>
      </c>
      <c r="C516" s="15" t="s">
        <v>475</v>
      </c>
      <c r="D516" s="15" t="s">
        <v>1965</v>
      </c>
      <c r="E516" s="15" t="s">
        <v>2846</v>
      </c>
      <c r="F516" s="15" t="s">
        <v>2847</v>
      </c>
      <c r="G516" s="15" t="n">
        <v>250</v>
      </c>
      <c r="H516" s="15" t="s">
        <v>166</v>
      </c>
    </row>
    <row r="517" customFormat="false" ht="15" hidden="false" customHeight="false" outlineLevel="0" collapsed="false">
      <c r="A517" s="15" t="s">
        <v>435</v>
      </c>
      <c r="B517" s="15" t="s">
        <v>1915</v>
      </c>
      <c r="C517" s="15" t="s">
        <v>552</v>
      </c>
      <c r="D517" s="15" t="s">
        <v>2029</v>
      </c>
      <c r="E517" s="15" t="s">
        <v>2848</v>
      </c>
      <c r="F517" s="15" t="s">
        <v>2849</v>
      </c>
      <c r="G517" s="15" t="n">
        <v>1000</v>
      </c>
      <c r="H517" s="15" t="s">
        <v>166</v>
      </c>
    </row>
    <row r="518" customFormat="false" ht="15" hidden="false" customHeight="false" outlineLevel="0" collapsed="false">
      <c r="A518" s="15" t="s">
        <v>435</v>
      </c>
      <c r="B518" s="15" t="s">
        <v>1915</v>
      </c>
      <c r="C518" s="15" t="s">
        <v>552</v>
      </c>
      <c r="D518" s="15" t="s">
        <v>2029</v>
      </c>
      <c r="E518" s="15" t="s">
        <v>2850</v>
      </c>
      <c r="F518" s="15" t="s">
        <v>2851</v>
      </c>
      <c r="G518" s="15" t="n">
        <v>250</v>
      </c>
      <c r="H518" s="15" t="s">
        <v>166</v>
      </c>
    </row>
    <row r="519" customFormat="false" ht="15" hidden="false" customHeight="false" outlineLevel="0" collapsed="false">
      <c r="A519" s="15" t="s">
        <v>435</v>
      </c>
      <c r="B519" s="15" t="s">
        <v>1915</v>
      </c>
      <c r="C519" s="15" t="s">
        <v>552</v>
      </c>
      <c r="D519" s="15" t="s">
        <v>2029</v>
      </c>
      <c r="E519" s="15" t="s">
        <v>2852</v>
      </c>
      <c r="F519" s="15" t="s">
        <v>2853</v>
      </c>
      <c r="G519" s="15" t="n">
        <v>1000</v>
      </c>
      <c r="H519" s="15" t="s">
        <v>166</v>
      </c>
    </row>
    <row r="520" customFormat="false" ht="15" hidden="false" customHeight="false" outlineLevel="0" collapsed="false">
      <c r="A520" s="15" t="s">
        <v>435</v>
      </c>
      <c r="B520" s="15" t="s">
        <v>1915</v>
      </c>
      <c r="C520" s="15" t="s">
        <v>552</v>
      </c>
      <c r="D520" s="15" t="s">
        <v>2029</v>
      </c>
      <c r="E520" s="15" t="s">
        <v>2854</v>
      </c>
      <c r="F520" s="15" t="s">
        <v>2855</v>
      </c>
      <c r="G520" s="15" t="n">
        <v>500</v>
      </c>
      <c r="H520" s="15" t="s">
        <v>166</v>
      </c>
    </row>
    <row r="521" customFormat="false" ht="15" hidden="false" customHeight="false" outlineLevel="0" collapsed="false">
      <c r="A521" s="15" t="s">
        <v>435</v>
      </c>
      <c r="B521" s="15" t="s">
        <v>1915</v>
      </c>
      <c r="C521" s="15" t="s">
        <v>552</v>
      </c>
      <c r="D521" s="15" t="s">
        <v>2029</v>
      </c>
      <c r="E521" s="15" t="s">
        <v>2856</v>
      </c>
      <c r="F521" s="15" t="s">
        <v>2857</v>
      </c>
      <c r="G521" s="15" t="n">
        <v>500</v>
      </c>
      <c r="H521" s="15" t="s">
        <v>166</v>
      </c>
    </row>
    <row r="522" customFormat="false" ht="15" hidden="false" customHeight="false" outlineLevel="0" collapsed="false">
      <c r="A522" s="15" t="s">
        <v>435</v>
      </c>
      <c r="B522" s="15" t="s">
        <v>1915</v>
      </c>
      <c r="C522" s="15" t="s">
        <v>552</v>
      </c>
      <c r="D522" s="15" t="s">
        <v>2029</v>
      </c>
      <c r="E522" s="15" t="s">
        <v>2858</v>
      </c>
      <c r="F522" s="15" t="s">
        <v>2859</v>
      </c>
      <c r="G522" s="15" t="n">
        <v>250</v>
      </c>
      <c r="H522" s="15" t="s">
        <v>166</v>
      </c>
    </row>
    <row r="523" customFormat="false" ht="15" hidden="false" customHeight="false" outlineLevel="0" collapsed="false">
      <c r="A523" s="15" t="s">
        <v>435</v>
      </c>
      <c r="B523" s="15" t="s">
        <v>1915</v>
      </c>
      <c r="C523" s="15" t="s">
        <v>305</v>
      </c>
      <c r="D523" s="15" t="s">
        <v>2503</v>
      </c>
      <c r="E523" s="15" t="s">
        <v>2860</v>
      </c>
      <c r="F523" s="15" t="s">
        <v>2861</v>
      </c>
      <c r="G523" s="15" t="n">
        <v>1000</v>
      </c>
      <c r="H523" s="15" t="s">
        <v>166</v>
      </c>
    </row>
    <row r="524" customFormat="false" ht="15" hidden="false" customHeight="false" outlineLevel="0" collapsed="false">
      <c r="A524" s="15" t="s">
        <v>435</v>
      </c>
      <c r="B524" s="15" t="s">
        <v>1915</v>
      </c>
      <c r="C524" s="15" t="s">
        <v>305</v>
      </c>
      <c r="D524" s="15" t="s">
        <v>2503</v>
      </c>
      <c r="E524" s="15" t="s">
        <v>2862</v>
      </c>
      <c r="F524" s="15" t="s">
        <v>2863</v>
      </c>
      <c r="G524" s="15" t="n">
        <v>500</v>
      </c>
      <c r="H524" s="15" t="s">
        <v>166</v>
      </c>
    </row>
    <row r="525" customFormat="false" ht="15" hidden="false" customHeight="false" outlineLevel="0" collapsed="false">
      <c r="A525" s="15" t="s">
        <v>435</v>
      </c>
      <c r="B525" s="15" t="s">
        <v>1915</v>
      </c>
      <c r="C525" s="15" t="s">
        <v>2864</v>
      </c>
      <c r="D525" s="15" t="s">
        <v>2865</v>
      </c>
      <c r="E525" s="15" t="s">
        <v>2866</v>
      </c>
      <c r="F525" s="15" t="s">
        <v>2867</v>
      </c>
      <c r="G525" s="15" t="n">
        <v>1000</v>
      </c>
      <c r="H525" s="15" t="s">
        <v>166</v>
      </c>
    </row>
    <row r="526" customFormat="false" ht="15" hidden="false" customHeight="false" outlineLevel="0" collapsed="false">
      <c r="A526" s="15" t="s">
        <v>435</v>
      </c>
      <c r="B526" s="15" t="s">
        <v>1915</v>
      </c>
      <c r="C526" s="15" t="s">
        <v>475</v>
      </c>
      <c r="D526" s="15" t="s">
        <v>1965</v>
      </c>
      <c r="E526" s="15" t="s">
        <v>2868</v>
      </c>
      <c r="F526" s="15" t="s">
        <v>2512</v>
      </c>
      <c r="G526" s="15" t="n">
        <v>1000</v>
      </c>
      <c r="H526" s="15" t="s">
        <v>166</v>
      </c>
    </row>
    <row r="527" customFormat="false" ht="15" hidden="false" customHeight="false" outlineLevel="0" collapsed="false">
      <c r="A527" s="15" t="s">
        <v>435</v>
      </c>
      <c r="B527" s="15" t="s">
        <v>1915</v>
      </c>
      <c r="C527" s="15" t="s">
        <v>475</v>
      </c>
      <c r="D527" s="15" t="s">
        <v>1965</v>
      </c>
      <c r="E527" s="15" t="s">
        <v>2869</v>
      </c>
      <c r="F527" s="15" t="s">
        <v>2279</v>
      </c>
      <c r="G527" s="15" t="n">
        <v>1000</v>
      </c>
      <c r="H527" s="15" t="s">
        <v>166</v>
      </c>
    </row>
    <row r="528" customFormat="false" ht="15" hidden="false" customHeight="false" outlineLevel="0" collapsed="false">
      <c r="A528" s="15" t="s">
        <v>440</v>
      </c>
      <c r="B528" s="15" t="s">
        <v>1910</v>
      </c>
      <c r="C528" s="15" t="s">
        <v>1970</v>
      </c>
      <c r="D528" s="15" t="s">
        <v>1971</v>
      </c>
      <c r="E528" s="15" t="s">
        <v>2870</v>
      </c>
      <c r="F528" s="15" t="s">
        <v>2871</v>
      </c>
      <c r="G528" s="15" t="n">
        <v>250</v>
      </c>
      <c r="H528" s="15"/>
    </row>
    <row r="529" customFormat="false" ht="15" hidden="false" customHeight="false" outlineLevel="0" collapsed="false">
      <c r="A529" s="15" t="s">
        <v>440</v>
      </c>
      <c r="B529" s="15" t="s">
        <v>1915</v>
      </c>
      <c r="C529" s="15" t="s">
        <v>279</v>
      </c>
      <c r="D529" s="15" t="s">
        <v>1954</v>
      </c>
      <c r="E529" s="15" t="s">
        <v>2872</v>
      </c>
      <c r="F529" s="15" t="s">
        <v>2873</v>
      </c>
      <c r="G529" s="15" t="n">
        <v>1000</v>
      </c>
      <c r="H529" s="15" t="s">
        <v>166</v>
      </c>
    </row>
    <row r="530" customFormat="false" ht="15" hidden="false" customHeight="false" outlineLevel="0" collapsed="false">
      <c r="A530" s="15" t="s">
        <v>440</v>
      </c>
      <c r="B530" s="15" t="s">
        <v>1915</v>
      </c>
      <c r="C530" s="15" t="s">
        <v>279</v>
      </c>
      <c r="D530" s="15" t="s">
        <v>1954</v>
      </c>
      <c r="E530" s="15" t="s">
        <v>2874</v>
      </c>
      <c r="F530" s="15" t="s">
        <v>2321</v>
      </c>
      <c r="G530" s="15" t="n">
        <v>1000</v>
      </c>
      <c r="H530" s="15" t="s">
        <v>166</v>
      </c>
    </row>
    <row r="531" customFormat="false" ht="15" hidden="false" customHeight="false" outlineLevel="0" collapsed="false">
      <c r="A531" s="15" t="s">
        <v>443</v>
      </c>
      <c r="B531" s="15" t="s">
        <v>1910</v>
      </c>
      <c r="C531" s="15" t="s">
        <v>1970</v>
      </c>
      <c r="D531" s="15" t="s">
        <v>1971</v>
      </c>
      <c r="E531" s="15" t="s">
        <v>2875</v>
      </c>
      <c r="F531" s="15" t="s">
        <v>2876</v>
      </c>
      <c r="G531" s="15" t="n">
        <v>250</v>
      </c>
      <c r="H531" s="15"/>
    </row>
    <row r="532" customFormat="false" ht="15" hidden="false" customHeight="false" outlineLevel="0" collapsed="false">
      <c r="A532" s="15" t="s">
        <v>443</v>
      </c>
      <c r="B532" s="15" t="s">
        <v>1910</v>
      </c>
      <c r="C532" s="15" t="s">
        <v>1974</v>
      </c>
      <c r="D532" s="15" t="s">
        <v>1975</v>
      </c>
      <c r="E532" s="15" t="s">
        <v>2877</v>
      </c>
      <c r="F532" s="15" t="s">
        <v>2876</v>
      </c>
      <c r="G532" s="15" t="n">
        <v>250</v>
      </c>
      <c r="H532" s="15"/>
    </row>
    <row r="533" customFormat="false" ht="15" hidden="false" customHeight="false" outlineLevel="0" collapsed="false">
      <c r="A533" s="15" t="s">
        <v>443</v>
      </c>
      <c r="B533" s="15" t="s">
        <v>1910</v>
      </c>
      <c r="C533" s="15" t="s">
        <v>2069</v>
      </c>
      <c r="D533" s="15" t="s">
        <v>2070</v>
      </c>
      <c r="E533" s="15" t="s">
        <v>2878</v>
      </c>
      <c r="F533" s="15" t="s">
        <v>2879</v>
      </c>
      <c r="G533" s="15" t="n">
        <v>250</v>
      </c>
      <c r="H533" s="15"/>
    </row>
    <row r="534" customFormat="false" ht="15" hidden="false" customHeight="false" outlineLevel="0" collapsed="false">
      <c r="A534" s="15" t="s">
        <v>443</v>
      </c>
      <c r="B534" s="15" t="s">
        <v>1910</v>
      </c>
      <c r="C534" s="15" t="s">
        <v>2069</v>
      </c>
      <c r="D534" s="15" t="s">
        <v>2070</v>
      </c>
      <c r="E534" s="15" t="s">
        <v>2880</v>
      </c>
      <c r="F534" s="15" t="s">
        <v>2881</v>
      </c>
      <c r="G534" s="15" t="n">
        <v>250</v>
      </c>
      <c r="H534" s="15"/>
    </row>
    <row r="535" customFormat="false" ht="15" hidden="false" customHeight="false" outlineLevel="0" collapsed="false">
      <c r="A535" s="15" t="s">
        <v>443</v>
      </c>
      <c r="B535" s="15" t="s">
        <v>1910</v>
      </c>
      <c r="C535" s="15" t="s">
        <v>2069</v>
      </c>
      <c r="D535" s="15" t="s">
        <v>2070</v>
      </c>
      <c r="E535" s="15" t="s">
        <v>2882</v>
      </c>
      <c r="F535" s="15" t="s">
        <v>2883</v>
      </c>
      <c r="G535" s="15" t="n">
        <v>250</v>
      </c>
      <c r="H535" s="15"/>
    </row>
    <row r="536" customFormat="false" ht="15" hidden="false" customHeight="false" outlineLevel="0" collapsed="false">
      <c r="A536" s="15" t="s">
        <v>443</v>
      </c>
      <c r="B536" s="15" t="s">
        <v>1910</v>
      </c>
      <c r="C536" s="15" t="s">
        <v>2069</v>
      </c>
      <c r="D536" s="15" t="s">
        <v>2070</v>
      </c>
      <c r="E536" s="15" t="s">
        <v>2884</v>
      </c>
      <c r="F536" s="15" t="s">
        <v>2885</v>
      </c>
      <c r="G536" s="15" t="n">
        <v>250</v>
      </c>
      <c r="H536" s="15"/>
    </row>
    <row r="537" customFormat="false" ht="15" hidden="false" customHeight="false" outlineLevel="0" collapsed="false">
      <c r="A537" s="15" t="s">
        <v>443</v>
      </c>
      <c r="B537" s="15" t="s">
        <v>1910</v>
      </c>
      <c r="C537" s="15" t="s">
        <v>2069</v>
      </c>
      <c r="D537" s="15" t="s">
        <v>2070</v>
      </c>
      <c r="E537" s="15" t="s">
        <v>2886</v>
      </c>
      <c r="F537" s="15" t="s">
        <v>2887</v>
      </c>
      <c r="G537" s="15" t="n">
        <v>250</v>
      </c>
      <c r="H537" s="15"/>
    </row>
    <row r="538" customFormat="false" ht="15" hidden="false" customHeight="false" outlineLevel="0" collapsed="false">
      <c r="A538" s="15" t="s">
        <v>443</v>
      </c>
      <c r="B538" s="15" t="s">
        <v>1915</v>
      </c>
      <c r="C538" s="15" t="s">
        <v>279</v>
      </c>
      <c r="D538" s="15" t="s">
        <v>1954</v>
      </c>
      <c r="E538" s="15" t="s">
        <v>2888</v>
      </c>
      <c r="F538" s="15" t="s">
        <v>2889</v>
      </c>
      <c r="G538" s="15" t="n">
        <v>250</v>
      </c>
      <c r="H538" s="15" t="s">
        <v>166</v>
      </c>
    </row>
    <row r="539" customFormat="false" ht="15" hidden="false" customHeight="false" outlineLevel="0" collapsed="false">
      <c r="A539" s="15" t="s">
        <v>443</v>
      </c>
      <c r="B539" s="15" t="s">
        <v>1915</v>
      </c>
      <c r="C539" s="15" t="s">
        <v>279</v>
      </c>
      <c r="D539" s="15" t="s">
        <v>1954</v>
      </c>
      <c r="E539" s="15" t="s">
        <v>2890</v>
      </c>
      <c r="F539" s="15" t="s">
        <v>2816</v>
      </c>
      <c r="G539" s="15" t="n">
        <v>250</v>
      </c>
      <c r="H539" s="15" t="s">
        <v>166</v>
      </c>
    </row>
    <row r="540" customFormat="false" ht="15" hidden="false" customHeight="false" outlineLevel="0" collapsed="false">
      <c r="A540" s="15" t="s">
        <v>443</v>
      </c>
      <c r="B540" s="15" t="s">
        <v>1915</v>
      </c>
      <c r="C540" s="15" t="s">
        <v>279</v>
      </c>
      <c r="D540" s="15" t="s">
        <v>1954</v>
      </c>
      <c r="E540" s="15" t="s">
        <v>2891</v>
      </c>
      <c r="F540" s="15" t="s">
        <v>2892</v>
      </c>
      <c r="G540" s="15" t="n">
        <v>250</v>
      </c>
      <c r="H540" s="15" t="s">
        <v>166</v>
      </c>
    </row>
    <row r="541" customFormat="false" ht="15" hidden="false" customHeight="false" outlineLevel="0" collapsed="false">
      <c r="A541" s="15" t="s">
        <v>443</v>
      </c>
      <c r="B541" s="15" t="s">
        <v>1915</v>
      </c>
      <c r="C541" s="15" t="s">
        <v>279</v>
      </c>
      <c r="D541" s="15" t="s">
        <v>1954</v>
      </c>
      <c r="E541" s="15" t="s">
        <v>2893</v>
      </c>
      <c r="F541" s="15" t="s">
        <v>2894</v>
      </c>
      <c r="G541" s="15" t="n">
        <v>250</v>
      </c>
      <c r="H541" s="15" t="s">
        <v>166</v>
      </c>
    </row>
    <row r="542" customFormat="false" ht="15" hidden="false" customHeight="false" outlineLevel="0" collapsed="false">
      <c r="A542" s="15" t="s">
        <v>443</v>
      </c>
      <c r="B542" s="15" t="s">
        <v>1915</v>
      </c>
      <c r="C542" s="15" t="s">
        <v>475</v>
      </c>
      <c r="D542" s="15" t="s">
        <v>1965</v>
      </c>
      <c r="E542" s="15" t="s">
        <v>2895</v>
      </c>
      <c r="F542" s="15" t="s">
        <v>2639</v>
      </c>
      <c r="G542" s="15" t="n">
        <v>250</v>
      </c>
      <c r="H542" s="15" t="s">
        <v>166</v>
      </c>
    </row>
    <row r="543" customFormat="false" ht="15" hidden="false" customHeight="false" outlineLevel="0" collapsed="false">
      <c r="A543" s="15" t="s">
        <v>447</v>
      </c>
      <c r="B543" s="15" t="s">
        <v>1910</v>
      </c>
      <c r="C543" s="15" t="s">
        <v>1992</v>
      </c>
      <c r="D543" s="15" t="s">
        <v>1993</v>
      </c>
      <c r="E543" s="15" t="s">
        <v>2896</v>
      </c>
      <c r="F543" s="15" t="s">
        <v>2097</v>
      </c>
      <c r="G543" s="15" t="n">
        <v>250</v>
      </c>
      <c r="H543" s="15"/>
    </row>
    <row r="544" customFormat="false" ht="15" hidden="false" customHeight="false" outlineLevel="0" collapsed="false">
      <c r="A544" s="15" t="s">
        <v>447</v>
      </c>
      <c r="B544" s="15" t="s">
        <v>1910</v>
      </c>
      <c r="C544" s="15" t="s">
        <v>1921</v>
      </c>
      <c r="D544" s="15" t="s">
        <v>1922</v>
      </c>
      <c r="E544" s="15" t="s">
        <v>2897</v>
      </c>
      <c r="F544" s="15" t="s">
        <v>2275</v>
      </c>
      <c r="G544" s="15" t="n">
        <v>500</v>
      </c>
      <c r="H544" s="15"/>
    </row>
    <row r="545" customFormat="false" ht="15" hidden="false" customHeight="false" outlineLevel="0" collapsed="false">
      <c r="A545" s="15" t="s">
        <v>447</v>
      </c>
      <c r="B545" s="15" t="s">
        <v>1910</v>
      </c>
      <c r="C545" s="15" t="s">
        <v>1921</v>
      </c>
      <c r="D545" s="15" t="s">
        <v>1922</v>
      </c>
      <c r="E545" s="15" t="s">
        <v>2898</v>
      </c>
      <c r="F545" s="15" t="s">
        <v>2500</v>
      </c>
      <c r="G545" s="15" t="n">
        <v>250</v>
      </c>
      <c r="H545" s="15"/>
    </row>
    <row r="546" customFormat="false" ht="15" hidden="false" customHeight="false" outlineLevel="0" collapsed="false">
      <c r="A546" s="15" t="s">
        <v>447</v>
      </c>
      <c r="B546" s="15" t="s">
        <v>1915</v>
      </c>
      <c r="C546" s="15" t="s">
        <v>279</v>
      </c>
      <c r="D546" s="15" t="s">
        <v>1954</v>
      </c>
      <c r="E546" s="15" t="s">
        <v>2899</v>
      </c>
      <c r="F546" s="15" t="s">
        <v>2900</v>
      </c>
      <c r="G546" s="15" t="n">
        <v>3000</v>
      </c>
      <c r="H546" s="15" t="s">
        <v>166</v>
      </c>
    </row>
    <row r="547" customFormat="false" ht="15" hidden="false" customHeight="false" outlineLevel="0" collapsed="false">
      <c r="A547" s="15" t="s">
        <v>450</v>
      </c>
      <c r="B547" s="15" t="s">
        <v>1910</v>
      </c>
      <c r="C547" s="15" t="s">
        <v>1974</v>
      </c>
      <c r="D547" s="15" t="s">
        <v>1975</v>
      </c>
      <c r="E547" s="15" t="s">
        <v>2901</v>
      </c>
      <c r="F547" s="15" t="s">
        <v>1977</v>
      </c>
      <c r="G547" s="15" t="n">
        <v>250</v>
      </c>
      <c r="H547" s="15"/>
    </row>
    <row r="548" customFormat="false" ht="15" hidden="false" customHeight="false" outlineLevel="0" collapsed="false">
      <c r="A548" s="15" t="s">
        <v>450</v>
      </c>
      <c r="B548" s="15" t="s">
        <v>1910</v>
      </c>
      <c r="C548" s="15" t="s">
        <v>1974</v>
      </c>
      <c r="D548" s="15" t="s">
        <v>1975</v>
      </c>
      <c r="E548" s="15" t="s">
        <v>2902</v>
      </c>
      <c r="F548" s="15" t="s">
        <v>2903</v>
      </c>
      <c r="G548" s="15" t="n">
        <v>250</v>
      </c>
      <c r="H548" s="15"/>
    </row>
    <row r="549" customFormat="false" ht="15" hidden="false" customHeight="false" outlineLevel="0" collapsed="false">
      <c r="A549" s="15" t="s">
        <v>450</v>
      </c>
      <c r="B549" s="15" t="s">
        <v>1910</v>
      </c>
      <c r="C549" s="15" t="s">
        <v>1974</v>
      </c>
      <c r="D549" s="15" t="s">
        <v>1975</v>
      </c>
      <c r="E549" s="15" t="s">
        <v>2904</v>
      </c>
      <c r="F549" s="15" t="s">
        <v>2905</v>
      </c>
      <c r="G549" s="15" t="n">
        <v>250</v>
      </c>
      <c r="H549" s="15"/>
    </row>
    <row r="550" customFormat="false" ht="15" hidden="false" customHeight="false" outlineLevel="0" collapsed="false">
      <c r="A550" s="15" t="s">
        <v>450</v>
      </c>
      <c r="B550" s="15" t="s">
        <v>1910</v>
      </c>
      <c r="C550" s="15" t="s">
        <v>1974</v>
      </c>
      <c r="D550" s="15" t="s">
        <v>1975</v>
      </c>
      <c r="E550" s="15" t="s">
        <v>2906</v>
      </c>
      <c r="F550" s="15" t="s">
        <v>2656</v>
      </c>
      <c r="G550" s="15" t="n">
        <v>250</v>
      </c>
      <c r="H550" s="15"/>
    </row>
    <row r="551" customFormat="false" ht="15" hidden="false" customHeight="false" outlineLevel="0" collapsed="false">
      <c r="A551" s="15" t="s">
        <v>450</v>
      </c>
      <c r="B551" s="15" t="s">
        <v>1910</v>
      </c>
      <c r="C551" s="15" t="s">
        <v>1974</v>
      </c>
      <c r="D551" s="15" t="s">
        <v>1975</v>
      </c>
      <c r="E551" s="15" t="s">
        <v>2907</v>
      </c>
      <c r="F551" s="15" t="s">
        <v>2483</v>
      </c>
      <c r="G551" s="15" t="n">
        <v>250</v>
      </c>
      <c r="H551" s="15"/>
    </row>
    <row r="552" customFormat="false" ht="15" hidden="false" customHeight="false" outlineLevel="0" collapsed="false">
      <c r="A552" s="15" t="s">
        <v>450</v>
      </c>
      <c r="B552" s="15" t="s">
        <v>1910</v>
      </c>
      <c r="C552" s="15" t="s">
        <v>1974</v>
      </c>
      <c r="D552" s="15" t="s">
        <v>1975</v>
      </c>
      <c r="E552" s="15" t="s">
        <v>2908</v>
      </c>
      <c r="F552" s="15" t="s">
        <v>2039</v>
      </c>
      <c r="G552" s="15" t="n">
        <v>250</v>
      </c>
      <c r="H552" s="15"/>
    </row>
    <row r="553" customFormat="false" ht="15" hidden="false" customHeight="false" outlineLevel="0" collapsed="false">
      <c r="A553" s="15" t="s">
        <v>450</v>
      </c>
      <c r="B553" s="15" t="s">
        <v>1910</v>
      </c>
      <c r="C553" s="15" t="s">
        <v>1974</v>
      </c>
      <c r="D553" s="15" t="s">
        <v>1975</v>
      </c>
      <c r="E553" s="15" t="s">
        <v>2909</v>
      </c>
      <c r="F553" s="15" t="s">
        <v>2910</v>
      </c>
      <c r="G553" s="15" t="n">
        <v>250</v>
      </c>
      <c r="H553" s="15"/>
    </row>
    <row r="554" customFormat="false" ht="15" hidden="false" customHeight="false" outlineLevel="0" collapsed="false">
      <c r="A554" s="15" t="s">
        <v>450</v>
      </c>
      <c r="B554" s="15" t="s">
        <v>1910</v>
      </c>
      <c r="C554" s="15" t="s">
        <v>2069</v>
      </c>
      <c r="D554" s="15" t="s">
        <v>2070</v>
      </c>
      <c r="E554" s="15" t="s">
        <v>2911</v>
      </c>
      <c r="F554" s="15" t="s">
        <v>2912</v>
      </c>
      <c r="G554" s="15" t="n">
        <v>250</v>
      </c>
      <c r="H554" s="15"/>
    </row>
    <row r="555" customFormat="false" ht="15" hidden="false" customHeight="false" outlineLevel="0" collapsed="false">
      <c r="A555" s="15" t="s">
        <v>450</v>
      </c>
      <c r="B555" s="15" t="s">
        <v>1910</v>
      </c>
      <c r="C555" s="15" t="s">
        <v>2069</v>
      </c>
      <c r="D555" s="15" t="s">
        <v>2070</v>
      </c>
      <c r="E555" s="15" t="s">
        <v>2913</v>
      </c>
      <c r="F555" s="15" t="s">
        <v>2903</v>
      </c>
      <c r="G555" s="15" t="n">
        <v>250</v>
      </c>
      <c r="H555" s="15"/>
    </row>
    <row r="556" customFormat="false" ht="15" hidden="false" customHeight="false" outlineLevel="0" collapsed="false">
      <c r="A556" s="15" t="s">
        <v>450</v>
      </c>
      <c r="B556" s="15" t="s">
        <v>1910</v>
      </c>
      <c r="C556" s="15" t="s">
        <v>2069</v>
      </c>
      <c r="D556" s="15" t="s">
        <v>2070</v>
      </c>
      <c r="E556" s="15" t="s">
        <v>2914</v>
      </c>
      <c r="F556" s="15" t="s">
        <v>2915</v>
      </c>
      <c r="G556" s="15" t="n">
        <v>250</v>
      </c>
      <c r="H556" s="15"/>
    </row>
    <row r="557" customFormat="false" ht="15" hidden="false" customHeight="false" outlineLevel="0" collapsed="false">
      <c r="A557" s="15" t="s">
        <v>450</v>
      </c>
      <c r="B557" s="15" t="s">
        <v>1910</v>
      </c>
      <c r="C557" s="15" t="s">
        <v>2069</v>
      </c>
      <c r="D557" s="15" t="s">
        <v>2070</v>
      </c>
      <c r="E557" s="15" t="s">
        <v>2916</v>
      </c>
      <c r="F557" s="15" t="s">
        <v>2905</v>
      </c>
      <c r="G557" s="15" t="n">
        <v>250</v>
      </c>
      <c r="H557" s="15"/>
    </row>
    <row r="558" customFormat="false" ht="15" hidden="false" customHeight="false" outlineLevel="0" collapsed="false">
      <c r="A558" s="15" t="s">
        <v>450</v>
      </c>
      <c r="B558" s="15" t="s">
        <v>1910</v>
      </c>
      <c r="C558" s="15" t="s">
        <v>2069</v>
      </c>
      <c r="D558" s="15" t="s">
        <v>2070</v>
      </c>
      <c r="E558" s="15" t="s">
        <v>2917</v>
      </c>
      <c r="F558" s="15" t="s">
        <v>2656</v>
      </c>
      <c r="G558" s="15" t="n">
        <v>250</v>
      </c>
      <c r="H558" s="15"/>
    </row>
    <row r="559" customFormat="false" ht="15" hidden="false" customHeight="false" outlineLevel="0" collapsed="false">
      <c r="A559" s="15" t="s">
        <v>450</v>
      </c>
      <c r="B559" s="15" t="s">
        <v>1910</v>
      </c>
      <c r="C559" s="15" t="s">
        <v>2069</v>
      </c>
      <c r="D559" s="15" t="s">
        <v>2070</v>
      </c>
      <c r="E559" s="15" t="s">
        <v>2918</v>
      </c>
      <c r="F559" s="15" t="s">
        <v>2483</v>
      </c>
      <c r="G559" s="15" t="n">
        <v>250</v>
      </c>
      <c r="H559" s="15"/>
    </row>
    <row r="560" customFormat="false" ht="15" hidden="false" customHeight="false" outlineLevel="0" collapsed="false">
      <c r="A560" s="15" t="s">
        <v>450</v>
      </c>
      <c r="B560" s="15" t="s">
        <v>1910</v>
      </c>
      <c r="C560" s="15" t="s">
        <v>2069</v>
      </c>
      <c r="D560" s="15" t="s">
        <v>2070</v>
      </c>
      <c r="E560" s="15" t="s">
        <v>2919</v>
      </c>
      <c r="F560" s="15" t="s">
        <v>2039</v>
      </c>
      <c r="G560" s="15" t="n">
        <v>250</v>
      </c>
      <c r="H560" s="15"/>
    </row>
    <row r="561" customFormat="false" ht="15" hidden="false" customHeight="false" outlineLevel="0" collapsed="false">
      <c r="A561" s="15" t="s">
        <v>450</v>
      </c>
      <c r="B561" s="15" t="s">
        <v>1910</v>
      </c>
      <c r="C561" s="15" t="s">
        <v>2069</v>
      </c>
      <c r="D561" s="15" t="s">
        <v>2070</v>
      </c>
      <c r="E561" s="15" t="s">
        <v>2920</v>
      </c>
      <c r="F561" s="15" t="s">
        <v>2910</v>
      </c>
      <c r="G561" s="15" t="n">
        <v>250</v>
      </c>
      <c r="H561" s="15"/>
    </row>
    <row r="562" customFormat="false" ht="15" hidden="false" customHeight="false" outlineLevel="0" collapsed="false">
      <c r="A562" s="15" t="s">
        <v>450</v>
      </c>
      <c r="B562" s="15" t="s">
        <v>1915</v>
      </c>
      <c r="C562" s="15" t="s">
        <v>279</v>
      </c>
      <c r="D562" s="15" t="s">
        <v>1954</v>
      </c>
      <c r="E562" s="15" t="s">
        <v>2921</v>
      </c>
      <c r="F562" s="15" t="s">
        <v>2922</v>
      </c>
      <c r="G562" s="15" t="n">
        <v>250</v>
      </c>
      <c r="H562" s="15" t="s">
        <v>166</v>
      </c>
    </row>
    <row r="563" customFormat="false" ht="15" hidden="false" customHeight="false" outlineLevel="0" collapsed="false">
      <c r="A563" s="15" t="s">
        <v>450</v>
      </c>
      <c r="B563" s="15" t="s">
        <v>1915</v>
      </c>
      <c r="C563" s="15" t="s">
        <v>279</v>
      </c>
      <c r="D563" s="15" t="s">
        <v>1954</v>
      </c>
      <c r="E563" s="15" t="s">
        <v>2923</v>
      </c>
      <c r="F563" s="15" t="s">
        <v>2633</v>
      </c>
      <c r="G563" s="15" t="n">
        <v>250</v>
      </c>
      <c r="H563" s="15" t="s">
        <v>166</v>
      </c>
    </row>
    <row r="564" customFormat="false" ht="15" hidden="false" customHeight="false" outlineLevel="0" collapsed="false">
      <c r="A564" s="15" t="s">
        <v>453</v>
      </c>
      <c r="B564" s="15" t="s">
        <v>1910</v>
      </c>
      <c r="C564" s="15" t="s">
        <v>1970</v>
      </c>
      <c r="D564" s="15" t="s">
        <v>1971</v>
      </c>
      <c r="E564" s="15" t="s">
        <v>2924</v>
      </c>
      <c r="F564" s="15" t="s">
        <v>2639</v>
      </c>
      <c r="G564" s="15" t="n">
        <v>250</v>
      </c>
      <c r="H564" s="15"/>
    </row>
    <row r="565" customFormat="false" ht="15" hidden="false" customHeight="false" outlineLevel="0" collapsed="false">
      <c r="A565" s="15" t="s">
        <v>453</v>
      </c>
      <c r="B565" s="15" t="s">
        <v>1910</v>
      </c>
      <c r="C565" s="15" t="s">
        <v>1974</v>
      </c>
      <c r="D565" s="15" t="s">
        <v>1975</v>
      </c>
      <c r="E565" s="15" t="s">
        <v>2925</v>
      </c>
      <c r="F565" s="15" t="s">
        <v>2449</v>
      </c>
      <c r="G565" s="15" t="n">
        <v>250</v>
      </c>
      <c r="H565" s="15"/>
    </row>
    <row r="566" customFormat="false" ht="15" hidden="false" customHeight="false" outlineLevel="0" collapsed="false">
      <c r="A566" s="15" t="s">
        <v>453</v>
      </c>
      <c r="B566" s="15" t="s">
        <v>1915</v>
      </c>
      <c r="C566" s="15" t="s">
        <v>279</v>
      </c>
      <c r="D566" s="15" t="s">
        <v>1954</v>
      </c>
      <c r="E566" s="15" t="s">
        <v>2926</v>
      </c>
      <c r="F566" s="15" t="s">
        <v>2927</v>
      </c>
      <c r="G566" s="15" t="n">
        <v>1000</v>
      </c>
      <c r="H566" s="15" t="s">
        <v>166</v>
      </c>
    </row>
    <row r="567" customFormat="false" ht="15" hidden="false" customHeight="false" outlineLevel="0" collapsed="false">
      <c r="A567" s="15" t="s">
        <v>453</v>
      </c>
      <c r="B567" s="15" t="s">
        <v>1915</v>
      </c>
      <c r="C567" s="15" t="s">
        <v>279</v>
      </c>
      <c r="D567" s="15" t="s">
        <v>1954</v>
      </c>
      <c r="E567" s="15" t="s">
        <v>2928</v>
      </c>
      <c r="F567" s="15" t="s">
        <v>2929</v>
      </c>
      <c r="G567" s="15" t="n">
        <v>1000</v>
      </c>
      <c r="H567" s="15" t="s">
        <v>166</v>
      </c>
    </row>
    <row r="568" customFormat="false" ht="15" hidden="false" customHeight="false" outlineLevel="0" collapsed="false">
      <c r="A568" s="15" t="s">
        <v>456</v>
      </c>
      <c r="B568" s="15" t="s">
        <v>1910</v>
      </c>
      <c r="C568" s="15" t="s">
        <v>1992</v>
      </c>
      <c r="D568" s="15" t="s">
        <v>1993</v>
      </c>
      <c r="E568" s="15" t="s">
        <v>2930</v>
      </c>
      <c r="F568" s="15" t="s">
        <v>2931</v>
      </c>
      <c r="G568" s="15" t="n">
        <v>250</v>
      </c>
      <c r="H568" s="15"/>
    </row>
    <row r="569" customFormat="false" ht="15" hidden="false" customHeight="false" outlineLevel="0" collapsed="false">
      <c r="A569" s="15" t="s">
        <v>456</v>
      </c>
      <c r="B569" s="15" t="s">
        <v>1910</v>
      </c>
      <c r="C569" s="15" t="s">
        <v>1970</v>
      </c>
      <c r="D569" s="15" t="s">
        <v>1971</v>
      </c>
      <c r="E569" s="15" t="s">
        <v>2932</v>
      </c>
      <c r="F569" s="15" t="s">
        <v>2494</v>
      </c>
      <c r="G569" s="15" t="n">
        <v>250</v>
      </c>
      <c r="H569" s="15"/>
    </row>
    <row r="570" customFormat="false" ht="15" hidden="false" customHeight="false" outlineLevel="0" collapsed="false">
      <c r="A570" s="15" t="s">
        <v>456</v>
      </c>
      <c r="B570" s="15" t="s">
        <v>1910</v>
      </c>
      <c r="C570" s="15" t="s">
        <v>1974</v>
      </c>
      <c r="D570" s="15" t="s">
        <v>1975</v>
      </c>
      <c r="E570" s="15" t="s">
        <v>2933</v>
      </c>
      <c r="F570" s="15" t="s">
        <v>2494</v>
      </c>
      <c r="G570" s="15" t="n">
        <v>250</v>
      </c>
      <c r="H570" s="15"/>
    </row>
    <row r="571" customFormat="false" ht="15" hidden="false" customHeight="false" outlineLevel="0" collapsed="false">
      <c r="A571" s="15" t="s">
        <v>456</v>
      </c>
      <c r="B571" s="15" t="s">
        <v>1910</v>
      </c>
      <c r="C571" s="15" t="s">
        <v>1921</v>
      </c>
      <c r="D571" s="15" t="s">
        <v>1922</v>
      </c>
      <c r="E571" s="15" t="s">
        <v>2934</v>
      </c>
      <c r="F571" s="15" t="s">
        <v>2935</v>
      </c>
      <c r="G571" s="15" t="n">
        <v>250</v>
      </c>
      <c r="H571" s="15"/>
    </row>
    <row r="572" customFormat="false" ht="15" hidden="false" customHeight="false" outlineLevel="0" collapsed="false">
      <c r="A572" s="15" t="s">
        <v>456</v>
      </c>
      <c r="B572" s="15" t="s">
        <v>1910</v>
      </c>
      <c r="C572" s="15" t="s">
        <v>1921</v>
      </c>
      <c r="D572" s="15" t="s">
        <v>1922</v>
      </c>
      <c r="E572" s="15" t="s">
        <v>2936</v>
      </c>
      <c r="F572" s="15" t="s">
        <v>2063</v>
      </c>
      <c r="G572" s="15" t="n">
        <v>250</v>
      </c>
      <c r="H572" s="15"/>
    </row>
    <row r="573" customFormat="false" ht="15" hidden="false" customHeight="false" outlineLevel="0" collapsed="false">
      <c r="A573" s="15" t="s">
        <v>456</v>
      </c>
      <c r="B573" s="15" t="s">
        <v>1910</v>
      </c>
      <c r="C573" s="15" t="s">
        <v>1921</v>
      </c>
      <c r="D573" s="15" t="s">
        <v>1922</v>
      </c>
      <c r="E573" s="15" t="s">
        <v>2937</v>
      </c>
      <c r="F573" s="15" t="s">
        <v>2938</v>
      </c>
      <c r="G573" s="15" t="n">
        <v>250</v>
      </c>
      <c r="H573" s="15"/>
    </row>
    <row r="574" customFormat="false" ht="15" hidden="false" customHeight="false" outlineLevel="0" collapsed="false">
      <c r="A574" s="15" t="s">
        <v>456</v>
      </c>
      <c r="B574" s="15" t="s">
        <v>1915</v>
      </c>
      <c r="C574" s="15" t="s">
        <v>279</v>
      </c>
      <c r="D574" s="15" t="s">
        <v>1954</v>
      </c>
      <c r="E574" s="15" t="s">
        <v>2939</v>
      </c>
      <c r="F574" s="15" t="s">
        <v>2940</v>
      </c>
      <c r="G574" s="15" t="n">
        <v>250</v>
      </c>
      <c r="H574" s="15" t="s">
        <v>166</v>
      </c>
    </row>
    <row r="575" customFormat="false" ht="15" hidden="false" customHeight="false" outlineLevel="0" collapsed="false">
      <c r="A575" s="15" t="s">
        <v>459</v>
      </c>
      <c r="B575" s="15" t="s">
        <v>1910</v>
      </c>
      <c r="C575" s="15" t="s">
        <v>1970</v>
      </c>
      <c r="D575" s="15" t="s">
        <v>1971</v>
      </c>
      <c r="E575" s="15" t="s">
        <v>2941</v>
      </c>
      <c r="F575" s="15" t="s">
        <v>2942</v>
      </c>
      <c r="G575" s="15" t="n">
        <v>250</v>
      </c>
      <c r="H575" s="15"/>
    </row>
    <row r="576" customFormat="false" ht="15" hidden="false" customHeight="false" outlineLevel="0" collapsed="false">
      <c r="A576" s="15" t="s">
        <v>459</v>
      </c>
      <c r="B576" s="15" t="s">
        <v>1910</v>
      </c>
      <c r="C576" s="15" t="s">
        <v>1974</v>
      </c>
      <c r="D576" s="15" t="s">
        <v>1975</v>
      </c>
      <c r="E576" s="15" t="s">
        <v>2943</v>
      </c>
      <c r="F576" s="15" t="s">
        <v>2944</v>
      </c>
      <c r="G576" s="15" t="n">
        <v>250</v>
      </c>
      <c r="H576" s="15"/>
    </row>
    <row r="577" customFormat="false" ht="15" hidden="false" customHeight="false" outlineLevel="0" collapsed="false">
      <c r="A577" s="15" t="s">
        <v>459</v>
      </c>
      <c r="B577" s="15" t="s">
        <v>1910</v>
      </c>
      <c r="C577" s="15" t="s">
        <v>2069</v>
      </c>
      <c r="D577" s="15" t="s">
        <v>2070</v>
      </c>
      <c r="E577" s="15" t="s">
        <v>2945</v>
      </c>
      <c r="F577" s="15" t="s">
        <v>2942</v>
      </c>
      <c r="G577" s="15" t="n">
        <v>250</v>
      </c>
      <c r="H577" s="15"/>
    </row>
    <row r="578" customFormat="false" ht="15" hidden="false" customHeight="false" outlineLevel="0" collapsed="false">
      <c r="A578" s="15" t="s">
        <v>459</v>
      </c>
      <c r="B578" s="15" t="s">
        <v>1910</v>
      </c>
      <c r="C578" s="15" t="s">
        <v>1921</v>
      </c>
      <c r="D578" s="15" t="s">
        <v>1922</v>
      </c>
      <c r="E578" s="15" t="s">
        <v>2946</v>
      </c>
      <c r="F578" s="15" t="s">
        <v>2947</v>
      </c>
      <c r="G578" s="15" t="n">
        <v>500</v>
      </c>
      <c r="H578" s="15"/>
    </row>
    <row r="579" customFormat="false" ht="15" hidden="false" customHeight="false" outlineLevel="0" collapsed="false">
      <c r="A579" s="15" t="s">
        <v>459</v>
      </c>
      <c r="B579" s="15" t="s">
        <v>1915</v>
      </c>
      <c r="C579" s="15" t="s">
        <v>279</v>
      </c>
      <c r="D579" s="15" t="s">
        <v>1954</v>
      </c>
      <c r="E579" s="15" t="s">
        <v>2948</v>
      </c>
      <c r="F579" s="15" t="s">
        <v>2664</v>
      </c>
      <c r="G579" s="15" t="n">
        <v>500</v>
      </c>
      <c r="H579" s="15" t="s">
        <v>166</v>
      </c>
    </row>
    <row r="580" customFormat="false" ht="15" hidden="false" customHeight="false" outlineLevel="0" collapsed="false">
      <c r="A580" s="15" t="s">
        <v>459</v>
      </c>
      <c r="B580" s="15" t="s">
        <v>1915</v>
      </c>
      <c r="C580" s="15" t="s">
        <v>475</v>
      </c>
      <c r="D580" s="15" t="s">
        <v>1965</v>
      </c>
      <c r="E580" s="15" t="s">
        <v>2949</v>
      </c>
      <c r="F580" s="15" t="s">
        <v>2950</v>
      </c>
      <c r="G580" s="15" t="n">
        <v>3000</v>
      </c>
      <c r="H580" s="15" t="s">
        <v>166</v>
      </c>
    </row>
    <row r="581" customFormat="false" ht="15" hidden="false" customHeight="false" outlineLevel="0" collapsed="false">
      <c r="A581" s="15" t="s">
        <v>459</v>
      </c>
      <c r="B581" s="15" t="s">
        <v>1915</v>
      </c>
      <c r="C581" s="15" t="s">
        <v>475</v>
      </c>
      <c r="D581" s="15" t="s">
        <v>1965</v>
      </c>
      <c r="E581" s="15" t="s">
        <v>2951</v>
      </c>
      <c r="F581" s="15" t="s">
        <v>2643</v>
      </c>
      <c r="G581" s="15" t="n">
        <v>1000</v>
      </c>
      <c r="H581" s="15" t="s">
        <v>166</v>
      </c>
    </row>
    <row r="582" customFormat="false" ht="15" hidden="false" customHeight="false" outlineLevel="0" collapsed="false">
      <c r="A582" s="15" t="s">
        <v>463</v>
      </c>
      <c r="B582" s="15" t="s">
        <v>1910</v>
      </c>
      <c r="C582" s="15" t="s">
        <v>1921</v>
      </c>
      <c r="D582" s="15" t="s">
        <v>1922</v>
      </c>
      <c r="E582" s="15" t="s">
        <v>2952</v>
      </c>
      <c r="F582" s="15" t="s">
        <v>2349</v>
      </c>
      <c r="G582" s="15" t="n">
        <v>500</v>
      </c>
      <c r="H582" s="15"/>
    </row>
    <row r="583" customFormat="false" ht="15" hidden="false" customHeight="false" outlineLevel="0" collapsed="false">
      <c r="A583" s="15" t="s">
        <v>463</v>
      </c>
      <c r="B583" s="15" t="s">
        <v>1915</v>
      </c>
      <c r="C583" s="15" t="s">
        <v>279</v>
      </c>
      <c r="D583" s="15" t="s">
        <v>1954</v>
      </c>
      <c r="E583" s="15" t="s">
        <v>2953</v>
      </c>
      <c r="F583" s="15" t="s">
        <v>2664</v>
      </c>
      <c r="G583" s="15" t="n">
        <v>750</v>
      </c>
      <c r="H583" s="15" t="s">
        <v>166</v>
      </c>
    </row>
    <row r="584" customFormat="false" ht="15" hidden="false" customHeight="false" outlineLevel="0" collapsed="false">
      <c r="A584" s="15" t="s">
        <v>463</v>
      </c>
      <c r="B584" s="15" t="s">
        <v>1915</v>
      </c>
      <c r="C584" s="15" t="s">
        <v>279</v>
      </c>
      <c r="D584" s="15" t="s">
        <v>1954</v>
      </c>
      <c r="E584" s="15" t="s">
        <v>2954</v>
      </c>
      <c r="F584" s="15" t="s">
        <v>2955</v>
      </c>
      <c r="G584" s="15" t="n">
        <v>250</v>
      </c>
      <c r="H584" s="15" t="s">
        <v>166</v>
      </c>
    </row>
    <row r="585" customFormat="false" ht="15" hidden="false" customHeight="false" outlineLevel="0" collapsed="false">
      <c r="A585" s="15" t="s">
        <v>463</v>
      </c>
      <c r="B585" s="15" t="s">
        <v>1915</v>
      </c>
      <c r="C585" s="15" t="s">
        <v>279</v>
      </c>
      <c r="D585" s="15" t="s">
        <v>1954</v>
      </c>
      <c r="E585" s="15" t="s">
        <v>2956</v>
      </c>
      <c r="F585" s="15" t="s">
        <v>2818</v>
      </c>
      <c r="G585" s="15" t="n">
        <v>250</v>
      </c>
      <c r="H585" s="15" t="s">
        <v>166</v>
      </c>
    </row>
    <row r="586" customFormat="false" ht="15" hidden="false" customHeight="false" outlineLevel="0" collapsed="false">
      <c r="A586" s="15" t="s">
        <v>463</v>
      </c>
      <c r="B586" s="15" t="s">
        <v>1915</v>
      </c>
      <c r="C586" s="15" t="s">
        <v>279</v>
      </c>
      <c r="D586" s="15" t="s">
        <v>1954</v>
      </c>
      <c r="E586" s="15" t="s">
        <v>2957</v>
      </c>
      <c r="F586" s="15" t="s">
        <v>2028</v>
      </c>
      <c r="G586" s="15" t="n">
        <v>250</v>
      </c>
      <c r="H586" s="15" t="s">
        <v>166</v>
      </c>
    </row>
    <row r="587" customFormat="false" ht="15" hidden="false" customHeight="false" outlineLevel="0" collapsed="false">
      <c r="A587" s="15" t="s">
        <v>463</v>
      </c>
      <c r="B587" s="15" t="s">
        <v>1915</v>
      </c>
      <c r="C587" s="15" t="s">
        <v>279</v>
      </c>
      <c r="D587" s="15" t="s">
        <v>1954</v>
      </c>
      <c r="E587" s="15" t="s">
        <v>2958</v>
      </c>
      <c r="F587" s="15" t="s">
        <v>2959</v>
      </c>
      <c r="G587" s="15" t="n">
        <v>250</v>
      </c>
      <c r="H587" s="15" t="s">
        <v>166</v>
      </c>
    </row>
    <row r="588" customFormat="false" ht="15" hidden="false" customHeight="false" outlineLevel="0" collapsed="false">
      <c r="A588" s="15" t="s">
        <v>463</v>
      </c>
      <c r="B588" s="15" t="s">
        <v>1915</v>
      </c>
      <c r="C588" s="15" t="s">
        <v>279</v>
      </c>
      <c r="D588" s="15" t="s">
        <v>1954</v>
      </c>
      <c r="E588" s="15" t="s">
        <v>2960</v>
      </c>
      <c r="F588" s="15" t="s">
        <v>2961</v>
      </c>
      <c r="G588" s="15" t="n">
        <v>250</v>
      </c>
      <c r="H588" s="15" t="s">
        <v>166</v>
      </c>
    </row>
    <row r="589" customFormat="false" ht="15" hidden="false" customHeight="false" outlineLevel="0" collapsed="false">
      <c r="A589" s="15" t="s">
        <v>463</v>
      </c>
      <c r="B589" s="15" t="s">
        <v>1915</v>
      </c>
      <c r="C589" s="15" t="s">
        <v>279</v>
      </c>
      <c r="D589" s="15" t="s">
        <v>1954</v>
      </c>
      <c r="E589" s="15" t="s">
        <v>2962</v>
      </c>
      <c r="F589" s="15" t="s">
        <v>2702</v>
      </c>
      <c r="G589" s="15" t="n">
        <v>250</v>
      </c>
      <c r="H589" s="15" t="s">
        <v>166</v>
      </c>
    </row>
    <row r="590" customFormat="false" ht="15" hidden="false" customHeight="false" outlineLevel="0" collapsed="false">
      <c r="A590" s="15" t="s">
        <v>463</v>
      </c>
      <c r="B590" s="15" t="s">
        <v>1915</v>
      </c>
      <c r="C590" s="15" t="s">
        <v>279</v>
      </c>
      <c r="D590" s="15" t="s">
        <v>1954</v>
      </c>
      <c r="E590" s="15" t="s">
        <v>2963</v>
      </c>
      <c r="F590" s="15" t="s">
        <v>2244</v>
      </c>
      <c r="G590" s="15" t="n">
        <v>250</v>
      </c>
      <c r="H590" s="15" t="s">
        <v>166</v>
      </c>
    </row>
    <row r="591" customFormat="false" ht="15" hidden="false" customHeight="false" outlineLevel="0" collapsed="false">
      <c r="A591" s="15" t="s">
        <v>463</v>
      </c>
      <c r="B591" s="15" t="s">
        <v>1915</v>
      </c>
      <c r="C591" s="15" t="s">
        <v>279</v>
      </c>
      <c r="D591" s="15" t="s">
        <v>1954</v>
      </c>
      <c r="E591" s="15" t="s">
        <v>2964</v>
      </c>
      <c r="F591" s="15" t="s">
        <v>2843</v>
      </c>
      <c r="G591" s="15" t="n">
        <v>250</v>
      </c>
      <c r="H591" s="15" t="s">
        <v>166</v>
      </c>
    </row>
    <row r="592" customFormat="false" ht="15" hidden="false" customHeight="false" outlineLevel="0" collapsed="false">
      <c r="A592" s="15" t="s">
        <v>463</v>
      </c>
      <c r="B592" s="15" t="s">
        <v>1915</v>
      </c>
      <c r="C592" s="15" t="s">
        <v>279</v>
      </c>
      <c r="D592" s="15" t="s">
        <v>1954</v>
      </c>
      <c r="E592" s="15" t="s">
        <v>2965</v>
      </c>
      <c r="F592" s="15" t="s">
        <v>2246</v>
      </c>
      <c r="G592" s="15" t="n">
        <v>250</v>
      </c>
      <c r="H592" s="15" t="s">
        <v>166</v>
      </c>
    </row>
    <row r="593" customFormat="false" ht="15" hidden="false" customHeight="false" outlineLevel="0" collapsed="false">
      <c r="A593" s="15" t="s">
        <v>463</v>
      </c>
      <c r="B593" s="15" t="s">
        <v>1915</v>
      </c>
      <c r="C593" s="15" t="s">
        <v>305</v>
      </c>
      <c r="D593" s="15" t="s">
        <v>2503</v>
      </c>
      <c r="E593" s="15" t="s">
        <v>2966</v>
      </c>
      <c r="F593" s="15" t="s">
        <v>2967</v>
      </c>
      <c r="G593" s="15" t="n">
        <v>500</v>
      </c>
      <c r="H593" s="15" t="s">
        <v>166</v>
      </c>
    </row>
    <row r="594" customFormat="false" ht="15" hidden="false" customHeight="false" outlineLevel="0" collapsed="false">
      <c r="A594" s="15" t="s">
        <v>463</v>
      </c>
      <c r="B594" s="15" t="s">
        <v>1915</v>
      </c>
      <c r="C594" s="15" t="s">
        <v>305</v>
      </c>
      <c r="D594" s="15" t="s">
        <v>2503</v>
      </c>
      <c r="E594" s="15" t="s">
        <v>2968</v>
      </c>
      <c r="F594" s="15" t="s">
        <v>2857</v>
      </c>
      <c r="G594" s="15" t="n">
        <v>250</v>
      </c>
      <c r="H594" s="15" t="s">
        <v>166</v>
      </c>
    </row>
    <row r="595" customFormat="false" ht="15" hidden="false" customHeight="false" outlineLevel="0" collapsed="false">
      <c r="A595" s="15" t="s">
        <v>463</v>
      </c>
      <c r="B595" s="15" t="s">
        <v>1915</v>
      </c>
      <c r="C595" s="15" t="s">
        <v>305</v>
      </c>
      <c r="D595" s="15" t="s">
        <v>2503</v>
      </c>
      <c r="E595" s="15" t="s">
        <v>2969</v>
      </c>
      <c r="F595" s="15" t="s">
        <v>2861</v>
      </c>
      <c r="G595" s="15" t="n">
        <v>250</v>
      </c>
      <c r="H595" s="15" t="s">
        <v>166</v>
      </c>
    </row>
    <row r="596" customFormat="false" ht="15" hidden="false" customHeight="false" outlineLevel="0" collapsed="false">
      <c r="A596" s="15" t="s">
        <v>463</v>
      </c>
      <c r="B596" s="15" t="s">
        <v>1915</v>
      </c>
      <c r="C596" s="15" t="s">
        <v>593</v>
      </c>
      <c r="D596" s="15" t="s">
        <v>2061</v>
      </c>
      <c r="E596" s="15" t="s">
        <v>2970</v>
      </c>
      <c r="F596" s="15" t="s">
        <v>2971</v>
      </c>
      <c r="G596" s="15" t="n">
        <v>250</v>
      </c>
      <c r="H596" s="15" t="s">
        <v>166</v>
      </c>
    </row>
    <row r="597" customFormat="false" ht="15" hidden="false" customHeight="false" outlineLevel="0" collapsed="false">
      <c r="A597" s="15" t="s">
        <v>463</v>
      </c>
      <c r="B597" s="15" t="s">
        <v>1915</v>
      </c>
      <c r="C597" s="15" t="s">
        <v>475</v>
      </c>
      <c r="D597" s="15" t="s">
        <v>1965</v>
      </c>
      <c r="E597" s="15" t="s">
        <v>2972</v>
      </c>
      <c r="F597" s="15" t="s">
        <v>2973</v>
      </c>
      <c r="G597" s="15" t="n">
        <v>500</v>
      </c>
      <c r="H597" s="15" t="s">
        <v>166</v>
      </c>
    </row>
    <row r="598" customFormat="false" ht="15" hidden="false" customHeight="false" outlineLevel="0" collapsed="false">
      <c r="A598" s="15" t="s">
        <v>463</v>
      </c>
      <c r="B598" s="15" t="s">
        <v>1915</v>
      </c>
      <c r="C598" s="15" t="s">
        <v>475</v>
      </c>
      <c r="D598" s="15" t="s">
        <v>1965</v>
      </c>
      <c r="E598" s="15" t="s">
        <v>2974</v>
      </c>
      <c r="F598" s="15" t="s">
        <v>2394</v>
      </c>
      <c r="G598" s="15" t="n">
        <v>500</v>
      </c>
      <c r="H598" s="15" t="s">
        <v>166</v>
      </c>
    </row>
    <row r="599" customFormat="false" ht="15" hidden="false" customHeight="false" outlineLevel="0" collapsed="false">
      <c r="A599" s="15" t="s">
        <v>467</v>
      </c>
      <c r="B599" s="15" t="s">
        <v>1910</v>
      </c>
      <c r="C599" s="15" t="s">
        <v>1921</v>
      </c>
      <c r="D599" s="15" t="s">
        <v>1922</v>
      </c>
      <c r="E599" s="15" t="s">
        <v>2975</v>
      </c>
      <c r="F599" s="15" t="s">
        <v>2976</v>
      </c>
      <c r="G599" s="15" t="n">
        <v>500</v>
      </c>
      <c r="H599" s="15"/>
    </row>
    <row r="600" customFormat="false" ht="15" hidden="false" customHeight="false" outlineLevel="0" collapsed="false">
      <c r="A600" s="15" t="s">
        <v>467</v>
      </c>
      <c r="B600" s="15" t="s">
        <v>1915</v>
      </c>
      <c r="C600" s="15" t="s">
        <v>279</v>
      </c>
      <c r="D600" s="15" t="s">
        <v>1954</v>
      </c>
      <c r="E600" s="15" t="s">
        <v>2977</v>
      </c>
      <c r="F600" s="15" t="s">
        <v>2955</v>
      </c>
      <c r="G600" s="15" t="n">
        <v>1000</v>
      </c>
      <c r="H600" s="15" t="s">
        <v>166</v>
      </c>
    </row>
    <row r="601" customFormat="false" ht="15" hidden="false" customHeight="false" outlineLevel="0" collapsed="false">
      <c r="A601" s="15" t="s">
        <v>470</v>
      </c>
      <c r="B601" s="15" t="s">
        <v>1910</v>
      </c>
      <c r="C601" s="15" t="s">
        <v>1970</v>
      </c>
      <c r="D601" s="15" t="s">
        <v>1971</v>
      </c>
      <c r="E601" s="15" t="s">
        <v>2978</v>
      </c>
      <c r="F601" s="15" t="s">
        <v>2881</v>
      </c>
      <c r="G601" s="15" t="n">
        <v>250</v>
      </c>
      <c r="H601" s="15"/>
    </row>
    <row r="602" customFormat="false" ht="15" hidden="false" customHeight="false" outlineLevel="0" collapsed="false">
      <c r="A602" s="15" t="s">
        <v>470</v>
      </c>
      <c r="B602" s="15" t="s">
        <v>1910</v>
      </c>
      <c r="C602" s="15" t="s">
        <v>1921</v>
      </c>
      <c r="D602" s="15" t="s">
        <v>1922</v>
      </c>
      <c r="E602" s="15" t="s">
        <v>2979</v>
      </c>
      <c r="F602" s="15" t="s">
        <v>2081</v>
      </c>
      <c r="G602" s="15" t="n">
        <v>250</v>
      </c>
      <c r="H602" s="15"/>
    </row>
    <row r="603" customFormat="false" ht="15" hidden="false" customHeight="false" outlineLevel="0" collapsed="false">
      <c r="A603" s="15" t="s">
        <v>470</v>
      </c>
      <c r="B603" s="15" t="s">
        <v>1915</v>
      </c>
      <c r="C603" s="15" t="s">
        <v>279</v>
      </c>
      <c r="D603" s="15" t="s">
        <v>1954</v>
      </c>
      <c r="E603" s="15" t="s">
        <v>2980</v>
      </c>
      <c r="F603" s="15" t="s">
        <v>2223</v>
      </c>
      <c r="G603" s="15" t="n">
        <v>500</v>
      </c>
      <c r="H603" s="15" t="s">
        <v>166</v>
      </c>
    </row>
    <row r="604" customFormat="false" ht="15" hidden="false" customHeight="false" outlineLevel="0" collapsed="false">
      <c r="A604" s="15" t="s">
        <v>473</v>
      </c>
      <c r="B604" s="15" t="s">
        <v>1910</v>
      </c>
      <c r="C604" s="15" t="s">
        <v>1911</v>
      </c>
      <c r="D604" s="15" t="s">
        <v>1912</v>
      </c>
      <c r="E604" s="15" t="s">
        <v>2981</v>
      </c>
      <c r="F604" s="15" t="s">
        <v>2982</v>
      </c>
      <c r="G604" s="15" t="n">
        <v>250</v>
      </c>
      <c r="H604" s="15"/>
    </row>
    <row r="605" customFormat="false" ht="15" hidden="false" customHeight="false" outlineLevel="0" collapsed="false">
      <c r="A605" s="15" t="s">
        <v>473</v>
      </c>
      <c r="B605" s="15" t="s">
        <v>1910</v>
      </c>
      <c r="C605" s="15" t="s">
        <v>1921</v>
      </c>
      <c r="D605" s="15" t="s">
        <v>1922</v>
      </c>
      <c r="E605" s="15" t="s">
        <v>2983</v>
      </c>
      <c r="F605" s="15" t="s">
        <v>2984</v>
      </c>
      <c r="G605" s="15" t="n">
        <v>250</v>
      </c>
      <c r="H605" s="15"/>
    </row>
    <row r="606" customFormat="false" ht="15" hidden="false" customHeight="false" outlineLevel="0" collapsed="false">
      <c r="A606" s="15" t="s">
        <v>473</v>
      </c>
      <c r="B606" s="15" t="s">
        <v>1910</v>
      </c>
      <c r="C606" s="15" t="s">
        <v>1921</v>
      </c>
      <c r="D606" s="15" t="s">
        <v>1922</v>
      </c>
      <c r="E606" s="15" t="s">
        <v>2985</v>
      </c>
      <c r="F606" s="15" t="s">
        <v>2268</v>
      </c>
      <c r="G606" s="15" t="n">
        <v>250</v>
      </c>
      <c r="H606" s="15"/>
    </row>
    <row r="607" customFormat="false" ht="15" hidden="false" customHeight="false" outlineLevel="0" collapsed="false">
      <c r="A607" s="15" t="s">
        <v>473</v>
      </c>
      <c r="B607" s="15" t="s">
        <v>1915</v>
      </c>
      <c r="C607" s="15" t="s">
        <v>475</v>
      </c>
      <c r="D607" s="15" t="s">
        <v>1965</v>
      </c>
      <c r="E607" s="15" t="s">
        <v>2986</v>
      </c>
      <c r="F607" s="15" t="s">
        <v>2987</v>
      </c>
      <c r="G607" s="15" t="n">
        <v>250</v>
      </c>
      <c r="H607" s="15" t="s">
        <v>166</v>
      </c>
    </row>
    <row r="608" customFormat="false" ht="15" hidden="false" customHeight="false" outlineLevel="0" collapsed="false">
      <c r="A608" s="15" t="s">
        <v>478</v>
      </c>
      <c r="B608" s="15" t="s">
        <v>1910</v>
      </c>
      <c r="C608" s="15" t="s">
        <v>1992</v>
      </c>
      <c r="D608" s="15" t="s">
        <v>1993</v>
      </c>
      <c r="E608" s="15" t="s">
        <v>2988</v>
      </c>
      <c r="F608" s="15" t="s">
        <v>2052</v>
      </c>
      <c r="G608" s="15" t="n">
        <v>250</v>
      </c>
      <c r="H608" s="15"/>
    </row>
    <row r="609" customFormat="false" ht="15" hidden="false" customHeight="false" outlineLevel="0" collapsed="false">
      <c r="A609" s="15" t="s">
        <v>478</v>
      </c>
      <c r="B609" s="15" t="s">
        <v>1910</v>
      </c>
      <c r="C609" s="15" t="s">
        <v>1911</v>
      </c>
      <c r="D609" s="15" t="s">
        <v>1912</v>
      </c>
      <c r="E609" s="15" t="s">
        <v>2989</v>
      </c>
      <c r="F609" s="15" t="s">
        <v>2100</v>
      </c>
      <c r="G609" s="15" t="n">
        <v>250</v>
      </c>
      <c r="H609" s="15"/>
    </row>
    <row r="610" customFormat="false" ht="15" hidden="false" customHeight="false" outlineLevel="0" collapsed="false">
      <c r="A610" s="15" t="s">
        <v>478</v>
      </c>
      <c r="B610" s="15" t="s">
        <v>1910</v>
      </c>
      <c r="C610" s="15" t="s">
        <v>1970</v>
      </c>
      <c r="D610" s="15" t="s">
        <v>1971</v>
      </c>
      <c r="E610" s="15" t="s">
        <v>2990</v>
      </c>
      <c r="F610" s="15" t="s">
        <v>2910</v>
      </c>
      <c r="G610" s="15" t="n">
        <v>250</v>
      </c>
      <c r="H610" s="15"/>
    </row>
    <row r="611" customFormat="false" ht="15" hidden="false" customHeight="false" outlineLevel="0" collapsed="false">
      <c r="A611" s="15" t="s">
        <v>478</v>
      </c>
      <c r="B611" s="15" t="s">
        <v>1910</v>
      </c>
      <c r="C611" s="15" t="s">
        <v>1974</v>
      </c>
      <c r="D611" s="15" t="s">
        <v>1975</v>
      </c>
      <c r="E611" s="15" t="s">
        <v>2991</v>
      </c>
      <c r="F611" s="15" t="s">
        <v>2992</v>
      </c>
      <c r="G611" s="15" t="n">
        <v>250</v>
      </c>
      <c r="H611" s="15"/>
    </row>
    <row r="612" customFormat="false" ht="15" hidden="false" customHeight="false" outlineLevel="0" collapsed="false">
      <c r="A612" s="15" t="s">
        <v>478</v>
      </c>
      <c r="B612" s="15" t="s">
        <v>1910</v>
      </c>
      <c r="C612" s="15" t="s">
        <v>1921</v>
      </c>
      <c r="D612" s="15" t="s">
        <v>1922</v>
      </c>
      <c r="E612" s="15" t="s">
        <v>2993</v>
      </c>
      <c r="F612" s="15" t="s">
        <v>2081</v>
      </c>
      <c r="G612" s="15" t="n">
        <v>500</v>
      </c>
      <c r="H612" s="15"/>
    </row>
    <row r="613" customFormat="false" ht="15" hidden="false" customHeight="false" outlineLevel="0" collapsed="false">
      <c r="A613" s="15" t="s">
        <v>478</v>
      </c>
      <c r="B613" s="15" t="s">
        <v>1910</v>
      </c>
      <c r="C613" s="15" t="s">
        <v>1921</v>
      </c>
      <c r="D613" s="15" t="s">
        <v>1922</v>
      </c>
      <c r="E613" s="15" t="s">
        <v>2994</v>
      </c>
      <c r="F613" s="15" t="s">
        <v>2995</v>
      </c>
      <c r="G613" s="15" t="n">
        <v>500</v>
      </c>
      <c r="H613" s="15"/>
    </row>
    <row r="614" customFormat="false" ht="15" hidden="false" customHeight="false" outlineLevel="0" collapsed="false">
      <c r="A614" s="15" t="s">
        <v>478</v>
      </c>
      <c r="B614" s="15" t="s">
        <v>1915</v>
      </c>
      <c r="C614" s="15" t="s">
        <v>279</v>
      </c>
      <c r="D614" s="15" t="s">
        <v>1954</v>
      </c>
      <c r="E614" s="15" t="s">
        <v>2996</v>
      </c>
      <c r="F614" s="15" t="s">
        <v>2997</v>
      </c>
      <c r="G614" s="15" t="n">
        <v>1000</v>
      </c>
      <c r="H614" s="15" t="s">
        <v>195</v>
      </c>
    </row>
    <row r="615" customFormat="false" ht="15" hidden="false" customHeight="false" outlineLevel="0" collapsed="false">
      <c r="A615" s="15" t="s">
        <v>482</v>
      </c>
      <c r="B615" s="15" t="s">
        <v>1910</v>
      </c>
      <c r="C615" s="15" t="s">
        <v>2069</v>
      </c>
      <c r="D615" s="15" t="s">
        <v>2070</v>
      </c>
      <c r="E615" s="15" t="s">
        <v>2998</v>
      </c>
      <c r="F615" s="15" t="s">
        <v>2999</v>
      </c>
      <c r="G615" s="15" t="n">
        <v>250</v>
      </c>
      <c r="H615" s="15"/>
    </row>
    <row r="616" customFormat="false" ht="15" hidden="false" customHeight="false" outlineLevel="0" collapsed="false">
      <c r="A616" s="15" t="s">
        <v>482</v>
      </c>
      <c r="B616" s="15" t="s">
        <v>1910</v>
      </c>
      <c r="C616" s="15" t="s">
        <v>1921</v>
      </c>
      <c r="D616" s="15" t="s">
        <v>1922</v>
      </c>
      <c r="E616" s="15" t="s">
        <v>3000</v>
      </c>
      <c r="F616" s="15" t="s">
        <v>2369</v>
      </c>
      <c r="G616" s="15" t="n">
        <v>500</v>
      </c>
      <c r="H616" s="15"/>
    </row>
    <row r="617" customFormat="false" ht="15" hidden="false" customHeight="false" outlineLevel="0" collapsed="false">
      <c r="A617" s="15" t="s">
        <v>482</v>
      </c>
      <c r="B617" s="15" t="s">
        <v>1915</v>
      </c>
      <c r="C617" s="15" t="s">
        <v>279</v>
      </c>
      <c r="D617" s="15" t="s">
        <v>1954</v>
      </c>
      <c r="E617" s="15" t="s">
        <v>3001</v>
      </c>
      <c r="F617" s="15" t="s">
        <v>2028</v>
      </c>
      <c r="G617" s="15" t="n">
        <v>1000</v>
      </c>
      <c r="H617" s="15" t="s">
        <v>166</v>
      </c>
    </row>
    <row r="618" customFormat="false" ht="15" hidden="false" customHeight="false" outlineLevel="0" collapsed="false">
      <c r="A618" s="15" t="s">
        <v>486</v>
      </c>
      <c r="B618" s="15" t="s">
        <v>1910</v>
      </c>
      <c r="C618" s="15" t="s">
        <v>1921</v>
      </c>
      <c r="D618" s="15" t="s">
        <v>1922</v>
      </c>
      <c r="E618" s="15" t="s">
        <v>3002</v>
      </c>
      <c r="F618" s="15" t="s">
        <v>3003</v>
      </c>
      <c r="G618" s="15" t="n">
        <v>250</v>
      </c>
      <c r="H618" s="15"/>
    </row>
    <row r="619" customFormat="false" ht="15" hidden="false" customHeight="false" outlineLevel="0" collapsed="false">
      <c r="A619" s="15" t="s">
        <v>486</v>
      </c>
      <c r="B619" s="15" t="s">
        <v>1915</v>
      </c>
      <c r="C619" s="15" t="s">
        <v>279</v>
      </c>
      <c r="D619" s="15" t="s">
        <v>1954</v>
      </c>
      <c r="E619" s="15" t="s">
        <v>3004</v>
      </c>
      <c r="F619" s="15" t="s">
        <v>3005</v>
      </c>
      <c r="G619" s="15" t="n">
        <v>250</v>
      </c>
      <c r="H619" s="15" t="s">
        <v>166</v>
      </c>
    </row>
    <row r="620" customFormat="false" ht="15" hidden="false" customHeight="false" outlineLevel="0" collapsed="false">
      <c r="A620" s="15" t="s">
        <v>486</v>
      </c>
      <c r="B620" s="15" t="s">
        <v>1915</v>
      </c>
      <c r="C620" s="15" t="s">
        <v>279</v>
      </c>
      <c r="D620" s="15" t="s">
        <v>1954</v>
      </c>
      <c r="E620" s="15" t="s">
        <v>3006</v>
      </c>
      <c r="F620" s="15" t="s">
        <v>2424</v>
      </c>
      <c r="G620" s="15" t="n">
        <v>250</v>
      </c>
      <c r="H620" s="15" t="s">
        <v>166</v>
      </c>
    </row>
    <row r="621" customFormat="false" ht="15" hidden="false" customHeight="false" outlineLevel="0" collapsed="false">
      <c r="A621" s="15" t="s">
        <v>489</v>
      </c>
      <c r="B621" s="15" t="s">
        <v>1910</v>
      </c>
      <c r="C621" s="15" t="s">
        <v>1974</v>
      </c>
      <c r="D621" s="15" t="s">
        <v>1975</v>
      </c>
      <c r="E621" s="15" t="s">
        <v>3007</v>
      </c>
      <c r="F621" s="15" t="s">
        <v>3008</v>
      </c>
      <c r="G621" s="15" t="n">
        <v>500</v>
      </c>
      <c r="H621" s="15"/>
    </row>
    <row r="622" customFormat="false" ht="15" hidden="false" customHeight="false" outlineLevel="0" collapsed="false">
      <c r="A622" s="15" t="s">
        <v>489</v>
      </c>
      <c r="B622" s="15" t="s">
        <v>1915</v>
      </c>
      <c r="C622" s="15" t="s">
        <v>279</v>
      </c>
      <c r="D622" s="15" t="s">
        <v>1954</v>
      </c>
      <c r="E622" s="15" t="s">
        <v>3009</v>
      </c>
      <c r="F622" s="15" t="s">
        <v>2959</v>
      </c>
      <c r="G622" s="15" t="n">
        <v>250</v>
      </c>
      <c r="H622" s="15" t="s">
        <v>166</v>
      </c>
    </row>
    <row r="623" customFormat="false" ht="15" hidden="false" customHeight="false" outlineLevel="0" collapsed="false">
      <c r="A623" s="15" t="s">
        <v>489</v>
      </c>
      <c r="B623" s="15" t="s">
        <v>1915</v>
      </c>
      <c r="C623" s="15" t="s">
        <v>279</v>
      </c>
      <c r="D623" s="15" t="s">
        <v>1954</v>
      </c>
      <c r="E623" s="15" t="s">
        <v>3010</v>
      </c>
      <c r="F623" s="15" t="s">
        <v>2367</v>
      </c>
      <c r="G623" s="15" t="n">
        <v>250</v>
      </c>
      <c r="H623" s="15" t="s">
        <v>166</v>
      </c>
    </row>
    <row r="624" customFormat="false" ht="15" hidden="false" customHeight="false" outlineLevel="0" collapsed="false">
      <c r="A624" s="15" t="s">
        <v>489</v>
      </c>
      <c r="B624" s="15" t="s">
        <v>1915</v>
      </c>
      <c r="C624" s="15" t="s">
        <v>279</v>
      </c>
      <c r="D624" s="15" t="s">
        <v>1954</v>
      </c>
      <c r="E624" s="15" t="s">
        <v>3011</v>
      </c>
      <c r="F624" s="15" t="s">
        <v>3012</v>
      </c>
      <c r="G624" s="15" t="n">
        <v>250</v>
      </c>
      <c r="H624" s="15" t="s">
        <v>166</v>
      </c>
    </row>
    <row r="625" customFormat="false" ht="15" hidden="false" customHeight="false" outlineLevel="0" collapsed="false">
      <c r="A625" s="15" t="s">
        <v>489</v>
      </c>
      <c r="B625" s="15" t="s">
        <v>1915</v>
      </c>
      <c r="C625" s="15" t="s">
        <v>279</v>
      </c>
      <c r="D625" s="15" t="s">
        <v>1954</v>
      </c>
      <c r="E625" s="15" t="s">
        <v>3013</v>
      </c>
      <c r="F625" s="15" t="s">
        <v>3014</v>
      </c>
      <c r="G625" s="15" t="n">
        <v>250</v>
      </c>
      <c r="H625" s="15" t="s">
        <v>166</v>
      </c>
    </row>
    <row r="626" customFormat="false" ht="15" hidden="false" customHeight="false" outlineLevel="0" collapsed="false">
      <c r="A626" s="15" t="s">
        <v>492</v>
      </c>
      <c r="B626" s="15" t="s">
        <v>1910</v>
      </c>
      <c r="C626" s="15" t="s">
        <v>1970</v>
      </c>
      <c r="D626" s="15" t="s">
        <v>1971</v>
      </c>
      <c r="E626" s="15" t="s">
        <v>3015</v>
      </c>
      <c r="F626" s="15" t="s">
        <v>2052</v>
      </c>
      <c r="G626" s="15" t="n">
        <v>250</v>
      </c>
      <c r="H626" s="15"/>
    </row>
    <row r="627" customFormat="false" ht="15" hidden="false" customHeight="false" outlineLevel="0" collapsed="false">
      <c r="A627" s="15" t="s">
        <v>492</v>
      </c>
      <c r="B627" s="15" t="s">
        <v>1910</v>
      </c>
      <c r="C627" s="15" t="s">
        <v>1921</v>
      </c>
      <c r="D627" s="15" t="s">
        <v>1922</v>
      </c>
      <c r="E627" s="15" t="s">
        <v>3016</v>
      </c>
      <c r="F627" s="15" t="s">
        <v>2369</v>
      </c>
      <c r="G627" s="15" t="n">
        <v>500</v>
      </c>
      <c r="H627" s="15"/>
    </row>
    <row r="628" customFormat="false" ht="15" hidden="false" customHeight="false" outlineLevel="0" collapsed="false">
      <c r="A628" s="15" t="s">
        <v>492</v>
      </c>
      <c r="B628" s="15" t="s">
        <v>1910</v>
      </c>
      <c r="C628" s="15" t="s">
        <v>1921</v>
      </c>
      <c r="D628" s="15" t="s">
        <v>1922</v>
      </c>
      <c r="E628" s="15" t="s">
        <v>3017</v>
      </c>
      <c r="F628" s="15" t="s">
        <v>2233</v>
      </c>
      <c r="G628" s="15" t="n">
        <v>500</v>
      </c>
      <c r="H628" s="15"/>
    </row>
    <row r="629" customFormat="false" ht="15" hidden="false" customHeight="false" outlineLevel="0" collapsed="false">
      <c r="A629" s="15" t="s">
        <v>492</v>
      </c>
      <c r="B629" s="15" t="s">
        <v>1915</v>
      </c>
      <c r="C629" s="15" t="s">
        <v>279</v>
      </c>
      <c r="D629" s="15" t="s">
        <v>1954</v>
      </c>
      <c r="E629" s="15" t="s">
        <v>3018</v>
      </c>
      <c r="F629" s="15" t="s">
        <v>2367</v>
      </c>
      <c r="G629" s="15" t="n">
        <v>25000</v>
      </c>
      <c r="H629" s="15" t="s">
        <v>166</v>
      </c>
    </row>
    <row r="630" customFormat="false" ht="15" hidden="false" customHeight="false" outlineLevel="0" collapsed="false">
      <c r="A630" s="15" t="s">
        <v>495</v>
      </c>
      <c r="B630" s="15" t="s">
        <v>1910</v>
      </c>
      <c r="C630" s="15" t="s">
        <v>1992</v>
      </c>
      <c r="D630" s="15" t="s">
        <v>1993</v>
      </c>
      <c r="E630" s="15" t="s">
        <v>3019</v>
      </c>
      <c r="F630" s="15" t="s">
        <v>2097</v>
      </c>
      <c r="G630" s="15" t="n">
        <v>250</v>
      </c>
      <c r="H630" s="15"/>
    </row>
    <row r="631" customFormat="false" ht="15" hidden="false" customHeight="false" outlineLevel="0" collapsed="false">
      <c r="A631" s="15" t="s">
        <v>495</v>
      </c>
      <c r="B631" s="15" t="s">
        <v>1910</v>
      </c>
      <c r="C631" s="15" t="s">
        <v>1911</v>
      </c>
      <c r="D631" s="15" t="s">
        <v>1912</v>
      </c>
      <c r="E631" s="15" t="s">
        <v>3020</v>
      </c>
      <c r="F631" s="15" t="s">
        <v>3021</v>
      </c>
      <c r="G631" s="15" t="n">
        <v>250</v>
      </c>
      <c r="H631" s="15"/>
    </row>
    <row r="632" customFormat="false" ht="15" hidden="false" customHeight="false" outlineLevel="0" collapsed="false">
      <c r="A632" s="15" t="s">
        <v>495</v>
      </c>
      <c r="B632" s="15" t="s">
        <v>1910</v>
      </c>
      <c r="C632" s="15" t="s">
        <v>1970</v>
      </c>
      <c r="D632" s="15" t="s">
        <v>1971</v>
      </c>
      <c r="E632" s="15" t="s">
        <v>3022</v>
      </c>
      <c r="F632" s="15" t="s">
        <v>3021</v>
      </c>
      <c r="G632" s="15" t="n">
        <v>250</v>
      </c>
      <c r="H632" s="15"/>
    </row>
    <row r="633" customFormat="false" ht="15" hidden="false" customHeight="false" outlineLevel="0" collapsed="false">
      <c r="A633" s="15" t="s">
        <v>495</v>
      </c>
      <c r="B633" s="15" t="s">
        <v>1910</v>
      </c>
      <c r="C633" s="15" t="s">
        <v>1974</v>
      </c>
      <c r="D633" s="15" t="s">
        <v>1975</v>
      </c>
      <c r="E633" s="15" t="s">
        <v>3023</v>
      </c>
      <c r="F633" s="15" t="s">
        <v>3021</v>
      </c>
      <c r="G633" s="15" t="n">
        <v>250</v>
      </c>
      <c r="H633" s="15"/>
    </row>
    <row r="634" customFormat="false" ht="15" hidden="false" customHeight="false" outlineLevel="0" collapsed="false">
      <c r="A634" s="15" t="s">
        <v>495</v>
      </c>
      <c r="B634" s="15" t="s">
        <v>1910</v>
      </c>
      <c r="C634" s="15" t="s">
        <v>1974</v>
      </c>
      <c r="D634" s="15" t="s">
        <v>1975</v>
      </c>
      <c r="E634" s="15" t="s">
        <v>3024</v>
      </c>
      <c r="F634" s="15" t="s">
        <v>2394</v>
      </c>
      <c r="G634" s="15" t="n">
        <v>250</v>
      </c>
      <c r="H634" s="15"/>
    </row>
    <row r="635" customFormat="false" ht="15" hidden="false" customHeight="false" outlineLevel="0" collapsed="false">
      <c r="A635" s="15" t="s">
        <v>495</v>
      </c>
      <c r="B635" s="15" t="s">
        <v>1910</v>
      </c>
      <c r="C635" s="15" t="s">
        <v>2069</v>
      </c>
      <c r="D635" s="15" t="s">
        <v>2070</v>
      </c>
      <c r="E635" s="15" t="s">
        <v>3025</v>
      </c>
      <c r="F635" s="15" t="s">
        <v>3021</v>
      </c>
      <c r="G635" s="15" t="n">
        <v>250</v>
      </c>
      <c r="H635" s="15"/>
    </row>
    <row r="636" customFormat="false" ht="15" hidden="false" customHeight="false" outlineLevel="0" collapsed="false">
      <c r="A636" s="15" t="s">
        <v>495</v>
      </c>
      <c r="B636" s="15" t="s">
        <v>1910</v>
      </c>
      <c r="C636" s="15" t="s">
        <v>1921</v>
      </c>
      <c r="D636" s="15" t="s">
        <v>1922</v>
      </c>
      <c r="E636" s="15" t="s">
        <v>3026</v>
      </c>
      <c r="F636" s="15" t="s">
        <v>3027</v>
      </c>
      <c r="G636" s="15" t="n">
        <v>500</v>
      </c>
      <c r="H636" s="15"/>
    </row>
    <row r="637" customFormat="false" ht="15" hidden="false" customHeight="false" outlineLevel="0" collapsed="false">
      <c r="A637" s="15" t="s">
        <v>495</v>
      </c>
      <c r="B637" s="15" t="s">
        <v>1910</v>
      </c>
      <c r="C637" s="15" t="s">
        <v>1921</v>
      </c>
      <c r="D637" s="15" t="s">
        <v>1922</v>
      </c>
      <c r="E637" s="15" t="s">
        <v>3028</v>
      </c>
      <c r="F637" s="15" t="s">
        <v>2355</v>
      </c>
      <c r="G637" s="15" t="n">
        <v>500</v>
      </c>
      <c r="H637" s="15"/>
    </row>
    <row r="638" customFormat="false" ht="15" hidden="false" customHeight="false" outlineLevel="0" collapsed="false">
      <c r="A638" s="15" t="s">
        <v>495</v>
      </c>
      <c r="B638" s="15" t="s">
        <v>1915</v>
      </c>
      <c r="C638" s="15" t="s">
        <v>279</v>
      </c>
      <c r="D638" s="15" t="s">
        <v>1954</v>
      </c>
      <c r="E638" s="15" t="s">
        <v>3029</v>
      </c>
      <c r="F638" s="15" t="s">
        <v>2720</v>
      </c>
      <c r="G638" s="15" t="n">
        <v>3000</v>
      </c>
      <c r="H638" s="15" t="s">
        <v>166</v>
      </c>
    </row>
    <row r="639" customFormat="false" ht="15" hidden="false" customHeight="false" outlineLevel="0" collapsed="false">
      <c r="A639" s="15" t="s">
        <v>498</v>
      </c>
      <c r="B639" s="15" t="s">
        <v>1910</v>
      </c>
      <c r="C639" s="15" t="s">
        <v>2069</v>
      </c>
      <c r="D639" s="15" t="s">
        <v>2070</v>
      </c>
      <c r="E639" s="15" t="s">
        <v>3030</v>
      </c>
      <c r="F639" s="15" t="s">
        <v>2520</v>
      </c>
      <c r="G639" s="15" t="n">
        <v>250</v>
      </c>
      <c r="H639" s="15"/>
    </row>
    <row r="640" customFormat="false" ht="15" hidden="false" customHeight="false" outlineLevel="0" collapsed="false">
      <c r="A640" s="15" t="s">
        <v>498</v>
      </c>
      <c r="B640" s="15" t="s">
        <v>1910</v>
      </c>
      <c r="C640" s="15" t="s">
        <v>2069</v>
      </c>
      <c r="D640" s="15" t="s">
        <v>2070</v>
      </c>
      <c r="E640" s="15" t="s">
        <v>3031</v>
      </c>
      <c r="F640" s="15" t="s">
        <v>3032</v>
      </c>
      <c r="G640" s="15" t="n">
        <v>250</v>
      </c>
      <c r="H640" s="15"/>
    </row>
    <row r="641" customFormat="false" ht="15" hidden="false" customHeight="false" outlineLevel="0" collapsed="false">
      <c r="A641" s="15" t="s">
        <v>498</v>
      </c>
      <c r="B641" s="15" t="s">
        <v>1915</v>
      </c>
      <c r="C641" s="15" t="s">
        <v>279</v>
      </c>
      <c r="D641" s="15" t="s">
        <v>1954</v>
      </c>
      <c r="E641" s="15" t="s">
        <v>3033</v>
      </c>
      <c r="F641" s="15" t="s">
        <v>3034</v>
      </c>
      <c r="G641" s="15" t="n">
        <v>250</v>
      </c>
      <c r="H641" s="15" t="s">
        <v>166</v>
      </c>
    </row>
    <row r="642" customFormat="false" ht="15" hidden="false" customHeight="false" outlineLevel="0" collapsed="false">
      <c r="A642" s="15" t="s">
        <v>501</v>
      </c>
      <c r="B642" s="15" t="s">
        <v>1910</v>
      </c>
      <c r="C642" s="15" t="s">
        <v>1992</v>
      </c>
      <c r="D642" s="15" t="s">
        <v>1993</v>
      </c>
      <c r="E642" s="15" t="s">
        <v>3035</v>
      </c>
      <c r="F642" s="15" t="s">
        <v>2097</v>
      </c>
      <c r="G642" s="15" t="n">
        <v>250</v>
      </c>
      <c r="H642" s="15"/>
    </row>
    <row r="643" customFormat="false" ht="15" hidden="false" customHeight="false" outlineLevel="0" collapsed="false">
      <c r="A643" s="15" t="s">
        <v>501</v>
      </c>
      <c r="B643" s="15" t="s">
        <v>1910</v>
      </c>
      <c r="C643" s="15" t="s">
        <v>1911</v>
      </c>
      <c r="D643" s="15" t="s">
        <v>1912</v>
      </c>
      <c r="E643" s="15" t="s">
        <v>3036</v>
      </c>
      <c r="F643" s="15" t="s">
        <v>2303</v>
      </c>
      <c r="G643" s="15" t="n">
        <v>250</v>
      </c>
      <c r="H643" s="15"/>
    </row>
    <row r="644" customFormat="false" ht="15" hidden="false" customHeight="false" outlineLevel="0" collapsed="false">
      <c r="A644" s="15" t="s">
        <v>501</v>
      </c>
      <c r="B644" s="15" t="s">
        <v>1910</v>
      </c>
      <c r="C644" s="15" t="s">
        <v>1974</v>
      </c>
      <c r="D644" s="15" t="s">
        <v>1975</v>
      </c>
      <c r="E644" s="15" t="s">
        <v>3037</v>
      </c>
      <c r="F644" s="15" t="s">
        <v>2449</v>
      </c>
      <c r="G644" s="15" t="n">
        <v>250</v>
      </c>
      <c r="H644" s="15"/>
    </row>
    <row r="645" customFormat="false" ht="15" hidden="false" customHeight="false" outlineLevel="0" collapsed="false">
      <c r="A645" s="15" t="s">
        <v>501</v>
      </c>
      <c r="B645" s="15" t="s">
        <v>1910</v>
      </c>
      <c r="C645" s="15" t="s">
        <v>1921</v>
      </c>
      <c r="D645" s="15" t="s">
        <v>1922</v>
      </c>
      <c r="E645" s="15" t="s">
        <v>3038</v>
      </c>
      <c r="F645" s="15" t="s">
        <v>2369</v>
      </c>
      <c r="G645" s="15" t="n">
        <v>500</v>
      </c>
      <c r="H645" s="15"/>
    </row>
    <row r="646" customFormat="false" ht="15" hidden="false" customHeight="false" outlineLevel="0" collapsed="false">
      <c r="A646" s="15" t="s">
        <v>501</v>
      </c>
      <c r="B646" s="15" t="s">
        <v>1910</v>
      </c>
      <c r="C646" s="15" t="s">
        <v>1921</v>
      </c>
      <c r="D646" s="15" t="s">
        <v>1922</v>
      </c>
      <c r="E646" s="15" t="s">
        <v>3039</v>
      </c>
      <c r="F646" s="15" t="s">
        <v>3040</v>
      </c>
      <c r="G646" s="15" t="n">
        <v>500</v>
      </c>
      <c r="H646" s="15"/>
    </row>
    <row r="647" customFormat="false" ht="15" hidden="false" customHeight="false" outlineLevel="0" collapsed="false">
      <c r="A647" s="15" t="s">
        <v>501</v>
      </c>
      <c r="B647" s="15" t="s">
        <v>1910</v>
      </c>
      <c r="C647" s="15" t="s">
        <v>1921</v>
      </c>
      <c r="D647" s="15" t="s">
        <v>1922</v>
      </c>
      <c r="E647" s="15" t="s">
        <v>3041</v>
      </c>
      <c r="F647" s="15" t="s">
        <v>3042</v>
      </c>
      <c r="G647" s="15" t="n">
        <v>500</v>
      </c>
      <c r="H647" s="15"/>
    </row>
    <row r="648" customFormat="false" ht="15" hidden="false" customHeight="false" outlineLevel="0" collapsed="false">
      <c r="A648" s="15" t="s">
        <v>501</v>
      </c>
      <c r="B648" s="15" t="s">
        <v>1915</v>
      </c>
      <c r="C648" s="15" t="s">
        <v>279</v>
      </c>
      <c r="D648" s="15" t="s">
        <v>1954</v>
      </c>
      <c r="E648" s="15" t="s">
        <v>3043</v>
      </c>
      <c r="F648" s="15" t="s">
        <v>2843</v>
      </c>
      <c r="G648" s="15" t="n">
        <v>1000</v>
      </c>
      <c r="H648" s="15" t="s">
        <v>166</v>
      </c>
    </row>
    <row r="649" customFormat="false" ht="15" hidden="false" customHeight="false" outlineLevel="0" collapsed="false">
      <c r="A649" s="15" t="s">
        <v>504</v>
      </c>
      <c r="B649" s="15" t="s">
        <v>1910</v>
      </c>
      <c r="C649" s="15" t="s">
        <v>2069</v>
      </c>
      <c r="D649" s="15" t="s">
        <v>2070</v>
      </c>
      <c r="E649" s="15" t="s">
        <v>3044</v>
      </c>
      <c r="F649" s="15" t="s">
        <v>3045</v>
      </c>
      <c r="G649" s="15" t="n">
        <v>250</v>
      </c>
      <c r="H649" s="15"/>
    </row>
    <row r="650" customFormat="false" ht="15" hidden="false" customHeight="false" outlineLevel="0" collapsed="false">
      <c r="A650" s="15" t="s">
        <v>504</v>
      </c>
      <c r="B650" s="15" t="s">
        <v>1915</v>
      </c>
      <c r="C650" s="15" t="s">
        <v>279</v>
      </c>
      <c r="D650" s="15" t="s">
        <v>1954</v>
      </c>
      <c r="E650" s="15" t="s">
        <v>3046</v>
      </c>
      <c r="F650" s="15" t="s">
        <v>2843</v>
      </c>
      <c r="G650" s="15" t="n">
        <v>500</v>
      </c>
      <c r="H650" s="15" t="s">
        <v>166</v>
      </c>
    </row>
    <row r="651" customFormat="false" ht="15" hidden="false" customHeight="false" outlineLevel="0" collapsed="false">
      <c r="A651" s="15" t="s">
        <v>504</v>
      </c>
      <c r="B651" s="15" t="s">
        <v>1915</v>
      </c>
      <c r="C651" s="15" t="s">
        <v>475</v>
      </c>
      <c r="D651" s="15" t="s">
        <v>1965</v>
      </c>
      <c r="E651" s="15" t="s">
        <v>3047</v>
      </c>
      <c r="F651" s="15" t="s">
        <v>3048</v>
      </c>
      <c r="G651" s="15" t="n">
        <v>500</v>
      </c>
      <c r="H651" s="15" t="s">
        <v>166</v>
      </c>
    </row>
    <row r="652" customFormat="false" ht="15" hidden="false" customHeight="false" outlineLevel="0" collapsed="false">
      <c r="A652" s="15" t="s">
        <v>507</v>
      </c>
      <c r="B652" s="15" t="s">
        <v>1910</v>
      </c>
      <c r="C652" s="15" t="s">
        <v>1911</v>
      </c>
      <c r="D652" s="15" t="s">
        <v>1912</v>
      </c>
      <c r="E652" s="15" t="s">
        <v>3049</v>
      </c>
      <c r="F652" s="15" t="s">
        <v>2303</v>
      </c>
      <c r="G652" s="15" t="n">
        <v>250</v>
      </c>
      <c r="H652" s="15"/>
    </row>
    <row r="653" customFormat="false" ht="15" hidden="false" customHeight="false" outlineLevel="0" collapsed="false">
      <c r="A653" s="15" t="s">
        <v>507</v>
      </c>
      <c r="B653" s="15" t="s">
        <v>1910</v>
      </c>
      <c r="C653" s="15" t="s">
        <v>1921</v>
      </c>
      <c r="D653" s="15" t="s">
        <v>1922</v>
      </c>
      <c r="E653" s="15" t="s">
        <v>3050</v>
      </c>
      <c r="F653" s="15" t="s">
        <v>2541</v>
      </c>
      <c r="G653" s="15" t="n">
        <v>500</v>
      </c>
      <c r="H653" s="15"/>
    </row>
    <row r="654" customFormat="false" ht="15" hidden="false" customHeight="false" outlineLevel="0" collapsed="false">
      <c r="A654" s="15" t="s">
        <v>507</v>
      </c>
      <c r="B654" s="15" t="s">
        <v>1915</v>
      </c>
      <c r="C654" s="15" t="s">
        <v>279</v>
      </c>
      <c r="D654" s="15" t="s">
        <v>1954</v>
      </c>
      <c r="E654" s="15" t="s">
        <v>3051</v>
      </c>
      <c r="F654" s="15" t="s">
        <v>3052</v>
      </c>
      <c r="G654" s="15" t="n">
        <v>5000</v>
      </c>
      <c r="H654" s="15" t="s">
        <v>195</v>
      </c>
    </row>
    <row r="655" customFormat="false" ht="15" hidden="false" customHeight="false" outlineLevel="0" collapsed="false">
      <c r="A655" s="15" t="s">
        <v>507</v>
      </c>
      <c r="B655" s="15" t="s">
        <v>1915</v>
      </c>
      <c r="C655" s="15" t="s">
        <v>475</v>
      </c>
      <c r="D655" s="15" t="s">
        <v>1965</v>
      </c>
      <c r="E655" s="15" t="s">
        <v>3053</v>
      </c>
      <c r="F655" s="15" t="s">
        <v>3054</v>
      </c>
      <c r="G655" s="15" t="n">
        <v>10000</v>
      </c>
      <c r="H655" s="15" t="s">
        <v>166</v>
      </c>
    </row>
    <row r="656" customFormat="false" ht="15" hidden="false" customHeight="false" outlineLevel="0" collapsed="false">
      <c r="A656" s="15" t="s">
        <v>511</v>
      </c>
      <c r="B656" s="15" t="s">
        <v>1910</v>
      </c>
      <c r="C656" s="15" t="s">
        <v>1921</v>
      </c>
      <c r="D656" s="15" t="s">
        <v>1922</v>
      </c>
      <c r="E656" s="15" t="s">
        <v>3055</v>
      </c>
      <c r="F656" s="15" t="s">
        <v>2372</v>
      </c>
      <c r="G656" s="15" t="n">
        <v>500</v>
      </c>
      <c r="H656" s="15"/>
    </row>
    <row r="657" customFormat="false" ht="15" hidden="false" customHeight="false" outlineLevel="0" collapsed="false">
      <c r="A657" s="15" t="s">
        <v>511</v>
      </c>
      <c r="B657" s="15" t="s">
        <v>1915</v>
      </c>
      <c r="C657" s="15" t="s">
        <v>1961</v>
      </c>
      <c r="D657" s="15" t="s">
        <v>1962</v>
      </c>
      <c r="E657" s="15" t="s">
        <v>3056</v>
      </c>
      <c r="F657" s="15" t="s">
        <v>3057</v>
      </c>
      <c r="G657" s="15" t="n">
        <v>1000</v>
      </c>
      <c r="H657" s="15" t="s">
        <v>166</v>
      </c>
    </row>
    <row r="658" customFormat="false" ht="15" hidden="false" customHeight="false" outlineLevel="0" collapsed="false">
      <c r="A658" s="15" t="s">
        <v>511</v>
      </c>
      <c r="B658" s="15" t="s">
        <v>1915</v>
      </c>
      <c r="C658" s="15" t="s">
        <v>475</v>
      </c>
      <c r="D658" s="15" t="s">
        <v>1965</v>
      </c>
      <c r="E658" s="15" t="s">
        <v>3058</v>
      </c>
      <c r="F658" s="15" t="s">
        <v>2887</v>
      </c>
      <c r="G658" s="15" t="n">
        <v>10000</v>
      </c>
      <c r="H658" s="15" t="s">
        <v>166</v>
      </c>
    </row>
    <row r="659" customFormat="false" ht="15" hidden="false" customHeight="false" outlineLevel="0" collapsed="false">
      <c r="A659" s="15" t="s">
        <v>511</v>
      </c>
      <c r="B659" s="15" t="s">
        <v>1915</v>
      </c>
      <c r="C659" s="15" t="s">
        <v>475</v>
      </c>
      <c r="D659" s="15" t="s">
        <v>1965</v>
      </c>
      <c r="E659" s="15" t="s">
        <v>3059</v>
      </c>
      <c r="F659" s="15" t="s">
        <v>2054</v>
      </c>
      <c r="G659" s="15" t="n">
        <v>5000</v>
      </c>
      <c r="H659" s="15" t="s">
        <v>166</v>
      </c>
    </row>
    <row r="660" customFormat="false" ht="15" hidden="false" customHeight="false" outlineLevel="0" collapsed="false">
      <c r="A660" s="15" t="s">
        <v>515</v>
      </c>
      <c r="B660" s="15" t="s">
        <v>1910</v>
      </c>
      <c r="C660" s="15" t="s">
        <v>1911</v>
      </c>
      <c r="D660" s="15" t="s">
        <v>1912</v>
      </c>
      <c r="E660" s="15" t="s">
        <v>3060</v>
      </c>
      <c r="F660" s="15" t="s">
        <v>3061</v>
      </c>
      <c r="G660" s="15" t="n">
        <v>250</v>
      </c>
      <c r="H660" s="15"/>
    </row>
    <row r="661" customFormat="false" ht="15" hidden="false" customHeight="false" outlineLevel="0" collapsed="false">
      <c r="A661" s="15" t="s">
        <v>515</v>
      </c>
      <c r="B661" s="15" t="s">
        <v>1910</v>
      </c>
      <c r="C661" s="15" t="s">
        <v>1970</v>
      </c>
      <c r="D661" s="15" t="s">
        <v>1971</v>
      </c>
      <c r="E661" s="15" t="s">
        <v>3062</v>
      </c>
      <c r="F661" s="15" t="s">
        <v>3063</v>
      </c>
      <c r="G661" s="15" t="n">
        <v>250</v>
      </c>
      <c r="H661" s="15"/>
    </row>
    <row r="662" customFormat="false" ht="15" hidden="false" customHeight="false" outlineLevel="0" collapsed="false">
      <c r="A662" s="15" t="s">
        <v>515</v>
      </c>
      <c r="B662" s="15" t="s">
        <v>1910</v>
      </c>
      <c r="C662" s="15" t="s">
        <v>1970</v>
      </c>
      <c r="D662" s="15" t="s">
        <v>1971</v>
      </c>
      <c r="E662" s="15" t="s">
        <v>3064</v>
      </c>
      <c r="F662" s="15" t="s">
        <v>2524</v>
      </c>
      <c r="G662" s="15" t="n">
        <v>250</v>
      </c>
      <c r="H662" s="15"/>
    </row>
    <row r="663" customFormat="false" ht="15" hidden="false" customHeight="false" outlineLevel="0" collapsed="false">
      <c r="A663" s="15" t="s">
        <v>515</v>
      </c>
      <c r="B663" s="15" t="s">
        <v>1910</v>
      </c>
      <c r="C663" s="15" t="s">
        <v>1974</v>
      </c>
      <c r="D663" s="15" t="s">
        <v>1975</v>
      </c>
      <c r="E663" s="15" t="s">
        <v>3065</v>
      </c>
      <c r="F663" s="15" t="s">
        <v>2524</v>
      </c>
      <c r="G663" s="15" t="n">
        <v>250</v>
      </c>
      <c r="H663" s="15"/>
    </row>
    <row r="664" customFormat="false" ht="15" hidden="false" customHeight="false" outlineLevel="0" collapsed="false">
      <c r="A664" s="15" t="s">
        <v>515</v>
      </c>
      <c r="B664" s="15" t="s">
        <v>1915</v>
      </c>
      <c r="C664" s="15" t="s">
        <v>2408</v>
      </c>
      <c r="D664" s="15" t="s">
        <v>2409</v>
      </c>
      <c r="E664" s="15" t="s">
        <v>3066</v>
      </c>
      <c r="F664" s="15" t="s">
        <v>3067</v>
      </c>
      <c r="G664" s="15" t="n">
        <v>500</v>
      </c>
      <c r="H664" s="15" t="s">
        <v>166</v>
      </c>
    </row>
    <row r="665" customFormat="false" ht="15" hidden="false" customHeight="false" outlineLevel="0" collapsed="false">
      <c r="A665" s="15" t="s">
        <v>515</v>
      </c>
      <c r="B665" s="15" t="s">
        <v>1915</v>
      </c>
      <c r="C665" s="15" t="s">
        <v>475</v>
      </c>
      <c r="D665" s="15" t="s">
        <v>1965</v>
      </c>
      <c r="E665" s="15" t="s">
        <v>3068</v>
      </c>
      <c r="F665" s="15" t="s">
        <v>3069</v>
      </c>
      <c r="G665" s="15" t="n">
        <v>500</v>
      </c>
      <c r="H665" s="15" t="s">
        <v>225</v>
      </c>
    </row>
    <row r="666" customFormat="false" ht="15" hidden="false" customHeight="false" outlineLevel="0" collapsed="false">
      <c r="A666" s="15" t="s">
        <v>515</v>
      </c>
      <c r="B666" s="15" t="s">
        <v>1915</v>
      </c>
      <c r="C666" s="15" t="s">
        <v>475</v>
      </c>
      <c r="D666" s="15" t="s">
        <v>1965</v>
      </c>
      <c r="E666" s="15" t="s">
        <v>3070</v>
      </c>
      <c r="F666" s="15" t="s">
        <v>3042</v>
      </c>
      <c r="G666" s="15" t="n">
        <v>500</v>
      </c>
      <c r="H666" s="15" t="s">
        <v>225</v>
      </c>
    </row>
    <row r="667" customFormat="false" ht="15" hidden="false" customHeight="false" outlineLevel="0" collapsed="false">
      <c r="A667" s="15" t="s">
        <v>520</v>
      </c>
      <c r="B667" s="15" t="s">
        <v>1910</v>
      </c>
      <c r="C667" s="15" t="s">
        <v>1970</v>
      </c>
      <c r="D667" s="15" t="s">
        <v>1971</v>
      </c>
      <c r="E667" s="15" t="s">
        <v>3071</v>
      </c>
      <c r="F667" s="15" t="s">
        <v>2052</v>
      </c>
      <c r="G667" s="15" t="n">
        <v>250</v>
      </c>
      <c r="H667" s="15"/>
    </row>
    <row r="668" customFormat="false" ht="15" hidden="false" customHeight="false" outlineLevel="0" collapsed="false">
      <c r="A668" s="15" t="s">
        <v>520</v>
      </c>
      <c r="B668" s="15" t="s">
        <v>1915</v>
      </c>
      <c r="C668" s="15" t="s">
        <v>1961</v>
      </c>
      <c r="D668" s="15" t="s">
        <v>1962</v>
      </c>
      <c r="E668" s="15" t="s">
        <v>3072</v>
      </c>
      <c r="F668" s="15" t="s">
        <v>3073</v>
      </c>
      <c r="G668" s="15" t="n">
        <v>500</v>
      </c>
      <c r="H668" s="15" t="s">
        <v>166</v>
      </c>
    </row>
    <row r="669" customFormat="false" ht="15" hidden="false" customHeight="false" outlineLevel="0" collapsed="false">
      <c r="A669" s="15" t="s">
        <v>520</v>
      </c>
      <c r="B669" s="15" t="s">
        <v>1915</v>
      </c>
      <c r="C669" s="15" t="s">
        <v>475</v>
      </c>
      <c r="D669" s="15" t="s">
        <v>1965</v>
      </c>
      <c r="E669" s="15" t="s">
        <v>3074</v>
      </c>
      <c r="F669" s="15" t="s">
        <v>1969</v>
      </c>
      <c r="G669" s="15" t="n">
        <v>3000</v>
      </c>
      <c r="H669" s="15" t="s">
        <v>166</v>
      </c>
    </row>
    <row r="670" customFormat="false" ht="15" hidden="false" customHeight="false" outlineLevel="0" collapsed="false">
      <c r="A670" s="15" t="s">
        <v>523</v>
      </c>
      <c r="B670" s="15" t="s">
        <v>1910</v>
      </c>
      <c r="C670" s="15" t="s">
        <v>1921</v>
      </c>
      <c r="D670" s="15" t="s">
        <v>1922</v>
      </c>
      <c r="E670" s="15" t="s">
        <v>3075</v>
      </c>
      <c r="F670" s="15" t="s">
        <v>1987</v>
      </c>
      <c r="G670" s="15" t="n">
        <v>250</v>
      </c>
      <c r="H670" s="15"/>
    </row>
    <row r="671" customFormat="false" ht="15" hidden="false" customHeight="false" outlineLevel="0" collapsed="false">
      <c r="A671" s="15" t="s">
        <v>523</v>
      </c>
      <c r="B671" s="15" t="s">
        <v>1915</v>
      </c>
      <c r="C671" s="15" t="s">
        <v>475</v>
      </c>
      <c r="D671" s="15" t="s">
        <v>1965</v>
      </c>
      <c r="E671" s="15" t="s">
        <v>3076</v>
      </c>
      <c r="F671" s="15" t="s">
        <v>3077</v>
      </c>
      <c r="G671" s="15" t="n">
        <v>250</v>
      </c>
      <c r="H671" s="15" t="s">
        <v>166</v>
      </c>
    </row>
    <row r="672" customFormat="false" ht="15" hidden="false" customHeight="false" outlineLevel="0" collapsed="false">
      <c r="A672" s="15" t="s">
        <v>526</v>
      </c>
      <c r="B672" s="15" t="s">
        <v>1910</v>
      </c>
      <c r="C672" s="15" t="s">
        <v>2069</v>
      </c>
      <c r="D672" s="15" t="s">
        <v>2070</v>
      </c>
      <c r="E672" s="15" t="s">
        <v>3078</v>
      </c>
      <c r="F672" s="15" t="s">
        <v>3079</v>
      </c>
      <c r="G672" s="15" t="n">
        <v>250</v>
      </c>
      <c r="H672" s="15"/>
    </row>
    <row r="673" customFormat="false" ht="15" hidden="false" customHeight="false" outlineLevel="0" collapsed="false">
      <c r="A673" s="15" t="s">
        <v>526</v>
      </c>
      <c r="B673" s="15" t="s">
        <v>1910</v>
      </c>
      <c r="C673" s="15" t="s">
        <v>1921</v>
      </c>
      <c r="D673" s="15" t="s">
        <v>1922</v>
      </c>
      <c r="E673" s="15" t="s">
        <v>3080</v>
      </c>
      <c r="F673" s="15" t="s">
        <v>3081</v>
      </c>
      <c r="G673" s="15" t="n">
        <v>500</v>
      </c>
      <c r="H673" s="15"/>
    </row>
    <row r="674" customFormat="false" ht="15" hidden="false" customHeight="false" outlineLevel="0" collapsed="false">
      <c r="A674" s="15" t="s">
        <v>526</v>
      </c>
      <c r="B674" s="15" t="s">
        <v>1910</v>
      </c>
      <c r="C674" s="15" t="s">
        <v>1921</v>
      </c>
      <c r="D674" s="15" t="s">
        <v>1922</v>
      </c>
      <c r="E674" s="15" t="s">
        <v>3082</v>
      </c>
      <c r="F674" s="15" t="s">
        <v>3083</v>
      </c>
      <c r="G674" s="15" t="n">
        <v>250</v>
      </c>
      <c r="H674" s="15"/>
    </row>
    <row r="675" customFormat="false" ht="15" hidden="false" customHeight="false" outlineLevel="0" collapsed="false">
      <c r="A675" s="15" t="s">
        <v>526</v>
      </c>
      <c r="B675" s="15" t="s">
        <v>1910</v>
      </c>
      <c r="C675" s="15" t="s">
        <v>1921</v>
      </c>
      <c r="D675" s="15" t="s">
        <v>1922</v>
      </c>
      <c r="E675" s="15" t="s">
        <v>3084</v>
      </c>
      <c r="F675" s="15" t="s">
        <v>3085</v>
      </c>
      <c r="G675" s="15" t="n">
        <v>250</v>
      </c>
      <c r="H675" s="15"/>
    </row>
    <row r="676" customFormat="false" ht="15" hidden="false" customHeight="false" outlineLevel="0" collapsed="false">
      <c r="A676" s="15" t="s">
        <v>526</v>
      </c>
      <c r="B676" s="15" t="s">
        <v>1915</v>
      </c>
      <c r="C676" s="15" t="s">
        <v>475</v>
      </c>
      <c r="D676" s="15" t="s">
        <v>1965</v>
      </c>
      <c r="E676" s="15" t="s">
        <v>3086</v>
      </c>
      <c r="F676" s="15" t="s">
        <v>3087</v>
      </c>
      <c r="G676" s="15" t="n">
        <v>250</v>
      </c>
      <c r="H676" s="15" t="s">
        <v>166</v>
      </c>
    </row>
    <row r="677" customFormat="false" ht="15" hidden="false" customHeight="false" outlineLevel="0" collapsed="false">
      <c r="A677" s="15" t="s">
        <v>526</v>
      </c>
      <c r="B677" s="15" t="s">
        <v>1915</v>
      </c>
      <c r="C677" s="15" t="s">
        <v>475</v>
      </c>
      <c r="D677" s="15" t="s">
        <v>1965</v>
      </c>
      <c r="E677" s="15" t="s">
        <v>3088</v>
      </c>
      <c r="F677" s="15" t="s">
        <v>3087</v>
      </c>
      <c r="G677" s="15" t="n">
        <v>250</v>
      </c>
      <c r="H677" s="15" t="s">
        <v>166</v>
      </c>
    </row>
    <row r="678" customFormat="false" ht="15" hidden="false" customHeight="false" outlineLevel="0" collapsed="false">
      <c r="A678" s="15" t="s">
        <v>529</v>
      </c>
      <c r="B678" s="15" t="s">
        <v>1910</v>
      </c>
      <c r="C678" s="15" t="s">
        <v>1921</v>
      </c>
      <c r="D678" s="15" t="s">
        <v>1922</v>
      </c>
      <c r="E678" s="15" t="s">
        <v>3089</v>
      </c>
      <c r="F678" s="15" t="s">
        <v>3090</v>
      </c>
      <c r="G678" s="15" t="n">
        <v>500</v>
      </c>
      <c r="H678" s="15"/>
    </row>
    <row r="679" customFormat="false" ht="15" hidden="false" customHeight="false" outlineLevel="0" collapsed="false">
      <c r="A679" s="15" t="s">
        <v>529</v>
      </c>
      <c r="B679" s="15" t="s">
        <v>1915</v>
      </c>
      <c r="C679" s="15" t="s">
        <v>475</v>
      </c>
      <c r="D679" s="15" t="s">
        <v>1965</v>
      </c>
      <c r="E679" s="15" t="s">
        <v>3091</v>
      </c>
      <c r="F679" s="15" t="s">
        <v>3092</v>
      </c>
      <c r="G679" s="15" t="n">
        <v>250</v>
      </c>
      <c r="H679" s="15" t="s">
        <v>166</v>
      </c>
    </row>
    <row r="680" customFormat="false" ht="15" hidden="false" customHeight="false" outlineLevel="0" collapsed="false">
      <c r="A680" s="15" t="s">
        <v>529</v>
      </c>
      <c r="B680" s="15" t="s">
        <v>1915</v>
      </c>
      <c r="C680" s="15" t="s">
        <v>475</v>
      </c>
      <c r="D680" s="15" t="s">
        <v>1965</v>
      </c>
      <c r="E680" s="15" t="s">
        <v>3093</v>
      </c>
      <c r="F680" s="15" t="s">
        <v>3094</v>
      </c>
      <c r="G680" s="15" t="n">
        <v>250</v>
      </c>
      <c r="H680" s="15" t="s">
        <v>166</v>
      </c>
    </row>
    <row r="681" customFormat="false" ht="15" hidden="false" customHeight="false" outlineLevel="0" collapsed="false">
      <c r="A681" s="15" t="s">
        <v>529</v>
      </c>
      <c r="B681" s="15" t="s">
        <v>1915</v>
      </c>
      <c r="C681" s="15" t="s">
        <v>475</v>
      </c>
      <c r="D681" s="15" t="s">
        <v>1965</v>
      </c>
      <c r="E681" s="15" t="s">
        <v>3095</v>
      </c>
      <c r="F681" s="15" t="s">
        <v>3096</v>
      </c>
      <c r="G681" s="15" t="n">
        <v>250</v>
      </c>
      <c r="H681" s="15" t="s">
        <v>166</v>
      </c>
    </row>
    <row r="682" customFormat="false" ht="15" hidden="false" customHeight="false" outlineLevel="0" collapsed="false">
      <c r="A682" s="15" t="s">
        <v>529</v>
      </c>
      <c r="B682" s="15" t="s">
        <v>1915</v>
      </c>
      <c r="C682" s="15" t="s">
        <v>475</v>
      </c>
      <c r="D682" s="15" t="s">
        <v>1965</v>
      </c>
      <c r="E682" s="15" t="s">
        <v>3097</v>
      </c>
      <c r="F682" s="15" t="s">
        <v>3098</v>
      </c>
      <c r="G682" s="15" t="n">
        <v>500</v>
      </c>
      <c r="H682" s="15" t="s">
        <v>166</v>
      </c>
    </row>
    <row r="683" customFormat="false" ht="15" hidden="false" customHeight="false" outlineLevel="0" collapsed="false">
      <c r="A683" s="15" t="s">
        <v>529</v>
      </c>
      <c r="B683" s="15" t="s">
        <v>1915</v>
      </c>
      <c r="C683" s="15" t="s">
        <v>475</v>
      </c>
      <c r="D683" s="15" t="s">
        <v>1965</v>
      </c>
      <c r="E683" s="15" t="s">
        <v>3099</v>
      </c>
      <c r="F683" s="15" t="s">
        <v>3100</v>
      </c>
      <c r="G683" s="15" t="n">
        <v>250</v>
      </c>
      <c r="H683" s="15" t="s">
        <v>166</v>
      </c>
    </row>
    <row r="684" customFormat="false" ht="15" hidden="false" customHeight="false" outlineLevel="0" collapsed="false">
      <c r="A684" s="15" t="s">
        <v>529</v>
      </c>
      <c r="B684" s="15" t="s">
        <v>1915</v>
      </c>
      <c r="C684" s="15" t="s">
        <v>475</v>
      </c>
      <c r="D684" s="15" t="s">
        <v>1965</v>
      </c>
      <c r="E684" s="15" t="s">
        <v>3101</v>
      </c>
      <c r="F684" s="15" t="s">
        <v>3102</v>
      </c>
      <c r="G684" s="15" t="n">
        <v>500</v>
      </c>
      <c r="H684" s="15" t="s">
        <v>166</v>
      </c>
    </row>
    <row r="685" customFormat="false" ht="15" hidden="false" customHeight="false" outlineLevel="0" collapsed="false">
      <c r="A685" s="15" t="s">
        <v>529</v>
      </c>
      <c r="B685" s="15" t="s">
        <v>1915</v>
      </c>
      <c r="C685" s="15" t="s">
        <v>475</v>
      </c>
      <c r="D685" s="15" t="s">
        <v>1965</v>
      </c>
      <c r="E685" s="15" t="s">
        <v>3103</v>
      </c>
      <c r="F685" s="15" t="s">
        <v>3104</v>
      </c>
      <c r="G685" s="15" t="n">
        <v>250</v>
      </c>
      <c r="H685" s="15" t="s">
        <v>166</v>
      </c>
    </row>
    <row r="686" customFormat="false" ht="15" hidden="false" customHeight="false" outlineLevel="0" collapsed="false">
      <c r="A686" s="15" t="s">
        <v>529</v>
      </c>
      <c r="B686" s="15" t="s">
        <v>1915</v>
      </c>
      <c r="C686" s="15" t="s">
        <v>475</v>
      </c>
      <c r="D686" s="15" t="s">
        <v>1965</v>
      </c>
      <c r="E686" s="15" t="s">
        <v>3105</v>
      </c>
      <c r="F686" s="15" t="s">
        <v>3106</v>
      </c>
      <c r="G686" s="15" t="n">
        <v>250</v>
      </c>
      <c r="H686" s="15" t="s">
        <v>166</v>
      </c>
    </row>
    <row r="687" customFormat="false" ht="15" hidden="false" customHeight="false" outlineLevel="0" collapsed="false">
      <c r="A687" s="15" t="s">
        <v>529</v>
      </c>
      <c r="B687" s="15" t="s">
        <v>1915</v>
      </c>
      <c r="C687" s="15" t="s">
        <v>475</v>
      </c>
      <c r="D687" s="15" t="s">
        <v>1965</v>
      </c>
      <c r="E687" s="15" t="s">
        <v>3107</v>
      </c>
      <c r="F687" s="15" t="s">
        <v>3108</v>
      </c>
      <c r="G687" s="15" t="n">
        <v>250</v>
      </c>
      <c r="H687" s="15" t="s">
        <v>166</v>
      </c>
    </row>
    <row r="688" customFormat="false" ht="15" hidden="false" customHeight="false" outlineLevel="0" collapsed="false">
      <c r="A688" s="15" t="s">
        <v>529</v>
      </c>
      <c r="B688" s="15" t="s">
        <v>1915</v>
      </c>
      <c r="C688" s="15" t="s">
        <v>475</v>
      </c>
      <c r="D688" s="15" t="s">
        <v>1965</v>
      </c>
      <c r="E688" s="15" t="s">
        <v>3109</v>
      </c>
      <c r="F688" s="15" t="s">
        <v>1985</v>
      </c>
      <c r="G688" s="15" t="n">
        <v>500</v>
      </c>
      <c r="H688" s="15" t="s">
        <v>166</v>
      </c>
    </row>
    <row r="689" customFormat="false" ht="15" hidden="false" customHeight="false" outlineLevel="0" collapsed="false">
      <c r="A689" s="15" t="s">
        <v>529</v>
      </c>
      <c r="B689" s="15" t="s">
        <v>1915</v>
      </c>
      <c r="C689" s="15" t="s">
        <v>475</v>
      </c>
      <c r="D689" s="15" t="s">
        <v>1965</v>
      </c>
      <c r="E689" s="15" t="s">
        <v>3110</v>
      </c>
      <c r="F689" s="15" t="s">
        <v>1967</v>
      </c>
      <c r="G689" s="15" t="n">
        <v>2000</v>
      </c>
      <c r="H689" s="15" t="s">
        <v>166</v>
      </c>
    </row>
    <row r="690" customFormat="false" ht="15" hidden="false" customHeight="false" outlineLevel="0" collapsed="false">
      <c r="A690" s="15" t="s">
        <v>529</v>
      </c>
      <c r="B690" s="15" t="s">
        <v>1915</v>
      </c>
      <c r="C690" s="15" t="s">
        <v>475</v>
      </c>
      <c r="D690" s="15" t="s">
        <v>1965</v>
      </c>
      <c r="E690" s="15" t="s">
        <v>3111</v>
      </c>
      <c r="F690" s="15" t="s">
        <v>2639</v>
      </c>
      <c r="G690" s="15" t="n">
        <v>1000</v>
      </c>
      <c r="H690" s="15" t="s">
        <v>166</v>
      </c>
    </row>
    <row r="691" customFormat="false" ht="15" hidden="false" customHeight="false" outlineLevel="0" collapsed="false">
      <c r="A691" s="15" t="s">
        <v>532</v>
      </c>
      <c r="B691" s="15" t="s">
        <v>1910</v>
      </c>
      <c r="C691" s="15" t="s">
        <v>1911</v>
      </c>
      <c r="D691" s="15" t="s">
        <v>1912</v>
      </c>
      <c r="E691" s="15" t="s">
        <v>3112</v>
      </c>
      <c r="F691" s="15" t="s">
        <v>3113</v>
      </c>
      <c r="G691" s="15" t="n">
        <v>250</v>
      </c>
      <c r="H691" s="15"/>
    </row>
    <row r="692" customFormat="false" ht="15" hidden="false" customHeight="false" outlineLevel="0" collapsed="false">
      <c r="A692" s="15" t="s">
        <v>532</v>
      </c>
      <c r="B692" s="15" t="s">
        <v>1915</v>
      </c>
      <c r="C692" s="15" t="s">
        <v>475</v>
      </c>
      <c r="D692" s="15" t="s">
        <v>1965</v>
      </c>
      <c r="E692" s="15" t="s">
        <v>3114</v>
      </c>
      <c r="F692" s="15" t="s">
        <v>3115</v>
      </c>
      <c r="G692" s="15" t="n">
        <v>250</v>
      </c>
      <c r="H692" s="15" t="s">
        <v>166</v>
      </c>
    </row>
    <row r="693" customFormat="false" ht="15" hidden="false" customHeight="false" outlineLevel="0" collapsed="false">
      <c r="A693" s="15" t="s">
        <v>535</v>
      </c>
      <c r="B693" s="15" t="s">
        <v>1910</v>
      </c>
      <c r="C693" s="15" t="s">
        <v>1921</v>
      </c>
      <c r="D693" s="15" t="s">
        <v>1922</v>
      </c>
      <c r="E693" s="15" t="s">
        <v>3116</v>
      </c>
      <c r="F693" s="15" t="s">
        <v>2915</v>
      </c>
      <c r="G693" s="15" t="n">
        <v>500</v>
      </c>
      <c r="H693" s="15"/>
    </row>
    <row r="694" customFormat="false" ht="15" hidden="false" customHeight="false" outlineLevel="0" collapsed="false">
      <c r="A694" s="15" t="s">
        <v>535</v>
      </c>
      <c r="B694" s="15" t="s">
        <v>1915</v>
      </c>
      <c r="C694" s="15" t="s">
        <v>475</v>
      </c>
      <c r="D694" s="15" t="s">
        <v>1965</v>
      </c>
      <c r="E694" s="15" t="s">
        <v>3117</v>
      </c>
      <c r="F694" s="15" t="s">
        <v>3118</v>
      </c>
      <c r="G694" s="15" t="n">
        <v>250</v>
      </c>
      <c r="H694" s="15" t="s">
        <v>166</v>
      </c>
    </row>
    <row r="695" customFormat="false" ht="15" hidden="false" customHeight="false" outlineLevel="0" collapsed="false">
      <c r="A695" s="15" t="s">
        <v>535</v>
      </c>
      <c r="B695" s="15" t="s">
        <v>1915</v>
      </c>
      <c r="C695" s="15" t="s">
        <v>475</v>
      </c>
      <c r="D695" s="15" t="s">
        <v>1965</v>
      </c>
      <c r="E695" s="15" t="s">
        <v>3119</v>
      </c>
      <c r="F695" s="15" t="s">
        <v>3120</v>
      </c>
      <c r="G695" s="15" t="n">
        <v>250</v>
      </c>
      <c r="H695" s="15" t="s">
        <v>166</v>
      </c>
    </row>
    <row r="696" customFormat="false" ht="15" hidden="false" customHeight="false" outlineLevel="0" collapsed="false">
      <c r="A696" s="15" t="s">
        <v>535</v>
      </c>
      <c r="B696" s="15" t="s">
        <v>1915</v>
      </c>
      <c r="C696" s="15" t="s">
        <v>475</v>
      </c>
      <c r="D696" s="15" t="s">
        <v>1965</v>
      </c>
      <c r="E696" s="15" t="s">
        <v>3121</v>
      </c>
      <c r="F696" s="15" t="s">
        <v>3122</v>
      </c>
      <c r="G696" s="15" t="n">
        <v>250</v>
      </c>
      <c r="H696" s="15" t="s">
        <v>166</v>
      </c>
    </row>
    <row r="697" customFormat="false" ht="15" hidden="false" customHeight="false" outlineLevel="0" collapsed="false">
      <c r="A697" s="15" t="s">
        <v>535</v>
      </c>
      <c r="B697" s="15" t="s">
        <v>1915</v>
      </c>
      <c r="C697" s="15" t="s">
        <v>475</v>
      </c>
      <c r="D697" s="15" t="s">
        <v>1965</v>
      </c>
      <c r="E697" s="15" t="s">
        <v>3123</v>
      </c>
      <c r="F697" s="15" t="s">
        <v>3124</v>
      </c>
      <c r="G697" s="15" t="n">
        <v>250</v>
      </c>
      <c r="H697" s="15" t="s">
        <v>166</v>
      </c>
    </row>
    <row r="698" customFormat="false" ht="15" hidden="false" customHeight="false" outlineLevel="0" collapsed="false">
      <c r="A698" s="15" t="s">
        <v>535</v>
      </c>
      <c r="B698" s="15" t="s">
        <v>1915</v>
      </c>
      <c r="C698" s="15" t="s">
        <v>475</v>
      </c>
      <c r="D698" s="15" t="s">
        <v>1965</v>
      </c>
      <c r="E698" s="15" t="s">
        <v>3125</v>
      </c>
      <c r="F698" s="15" t="s">
        <v>1977</v>
      </c>
      <c r="G698" s="15" t="n">
        <v>250</v>
      </c>
      <c r="H698" s="15" t="s">
        <v>166</v>
      </c>
    </row>
    <row r="699" customFormat="false" ht="15" hidden="false" customHeight="false" outlineLevel="0" collapsed="false">
      <c r="A699" s="15" t="s">
        <v>538</v>
      </c>
      <c r="B699" s="15" t="s">
        <v>1910</v>
      </c>
      <c r="C699" s="15" t="s">
        <v>1970</v>
      </c>
      <c r="D699" s="15" t="s">
        <v>1971</v>
      </c>
      <c r="E699" s="15" t="s">
        <v>3126</v>
      </c>
      <c r="F699" s="15" t="s">
        <v>2524</v>
      </c>
      <c r="G699" s="15" t="n">
        <v>250</v>
      </c>
      <c r="H699" s="15"/>
    </row>
    <row r="700" customFormat="false" ht="15" hidden="false" customHeight="false" outlineLevel="0" collapsed="false">
      <c r="A700" s="15" t="s">
        <v>538</v>
      </c>
      <c r="B700" s="15" t="s">
        <v>1910</v>
      </c>
      <c r="C700" s="15" t="s">
        <v>1974</v>
      </c>
      <c r="D700" s="15" t="s">
        <v>1975</v>
      </c>
      <c r="E700" s="15" t="s">
        <v>3127</v>
      </c>
      <c r="F700" s="15" t="s">
        <v>2226</v>
      </c>
      <c r="G700" s="15" t="n">
        <v>250</v>
      </c>
      <c r="H700" s="15"/>
    </row>
    <row r="701" customFormat="false" ht="15" hidden="false" customHeight="false" outlineLevel="0" collapsed="false">
      <c r="A701" s="15" t="s">
        <v>538</v>
      </c>
      <c r="B701" s="15" t="s">
        <v>1910</v>
      </c>
      <c r="C701" s="15" t="s">
        <v>1921</v>
      </c>
      <c r="D701" s="15" t="s">
        <v>1922</v>
      </c>
      <c r="E701" s="15" t="s">
        <v>3128</v>
      </c>
      <c r="F701" s="15" t="s">
        <v>3032</v>
      </c>
      <c r="G701" s="15" t="n">
        <v>250</v>
      </c>
      <c r="H701" s="15"/>
    </row>
    <row r="702" customFormat="false" ht="15" hidden="false" customHeight="false" outlineLevel="0" collapsed="false">
      <c r="A702" s="15" t="s">
        <v>538</v>
      </c>
      <c r="B702" s="15" t="s">
        <v>1915</v>
      </c>
      <c r="C702" s="15" t="s">
        <v>475</v>
      </c>
      <c r="D702" s="15" t="s">
        <v>1965</v>
      </c>
      <c r="E702" s="15" t="s">
        <v>3129</v>
      </c>
      <c r="F702" s="15" t="s">
        <v>3130</v>
      </c>
      <c r="G702" s="15" t="n">
        <v>250</v>
      </c>
      <c r="H702" s="15" t="s">
        <v>225</v>
      </c>
    </row>
    <row r="703" customFormat="false" ht="15" hidden="false" customHeight="false" outlineLevel="0" collapsed="false">
      <c r="A703" s="15" t="s">
        <v>538</v>
      </c>
      <c r="B703" s="15" t="s">
        <v>1915</v>
      </c>
      <c r="C703" s="15" t="s">
        <v>593</v>
      </c>
      <c r="D703" s="15" t="s">
        <v>2061</v>
      </c>
      <c r="E703" s="15" t="s">
        <v>3131</v>
      </c>
      <c r="F703" s="15" t="s">
        <v>3132</v>
      </c>
      <c r="G703" s="15" t="n">
        <v>5000</v>
      </c>
      <c r="H703" s="15" t="s">
        <v>166</v>
      </c>
    </row>
    <row r="704" customFormat="false" ht="15" hidden="false" customHeight="false" outlineLevel="0" collapsed="false">
      <c r="A704" s="15" t="s">
        <v>538</v>
      </c>
      <c r="B704" s="15" t="s">
        <v>1915</v>
      </c>
      <c r="C704" s="15" t="s">
        <v>475</v>
      </c>
      <c r="D704" s="15" t="s">
        <v>1965</v>
      </c>
      <c r="E704" s="15" t="s">
        <v>3133</v>
      </c>
      <c r="F704" s="15" t="s">
        <v>3134</v>
      </c>
      <c r="G704" s="15" t="n">
        <v>500</v>
      </c>
      <c r="H704" s="15" t="s">
        <v>225</v>
      </c>
    </row>
    <row r="705" customFormat="false" ht="15" hidden="false" customHeight="false" outlineLevel="0" collapsed="false">
      <c r="A705" s="15" t="s">
        <v>542</v>
      </c>
      <c r="B705" s="15" t="s">
        <v>1910</v>
      </c>
      <c r="C705" s="15" t="s">
        <v>1921</v>
      </c>
      <c r="D705" s="15" t="s">
        <v>1922</v>
      </c>
      <c r="E705" s="15" t="s">
        <v>3135</v>
      </c>
      <c r="F705" s="15" t="s">
        <v>3136</v>
      </c>
      <c r="G705" s="15" t="n">
        <v>500</v>
      </c>
      <c r="H705" s="15"/>
    </row>
    <row r="706" customFormat="false" ht="15" hidden="false" customHeight="false" outlineLevel="0" collapsed="false">
      <c r="A706" s="15" t="s">
        <v>542</v>
      </c>
      <c r="B706" s="15" t="s">
        <v>1915</v>
      </c>
      <c r="C706" s="15" t="s">
        <v>475</v>
      </c>
      <c r="D706" s="15" t="s">
        <v>1965</v>
      </c>
      <c r="E706" s="15" t="s">
        <v>3137</v>
      </c>
      <c r="F706" s="15" t="s">
        <v>3138</v>
      </c>
      <c r="G706" s="15" t="n">
        <v>500</v>
      </c>
      <c r="H706" s="15" t="s">
        <v>166</v>
      </c>
    </row>
    <row r="707" customFormat="false" ht="15" hidden="false" customHeight="false" outlineLevel="0" collapsed="false">
      <c r="A707" s="15" t="s">
        <v>545</v>
      </c>
      <c r="B707" s="15" t="s">
        <v>1910</v>
      </c>
      <c r="C707" s="15" t="s">
        <v>1921</v>
      </c>
      <c r="D707" s="15" t="s">
        <v>1922</v>
      </c>
      <c r="E707" s="15" t="s">
        <v>3139</v>
      </c>
      <c r="F707" s="15" t="s">
        <v>2369</v>
      </c>
      <c r="G707" s="15" t="n">
        <v>500</v>
      </c>
      <c r="H707" s="15"/>
    </row>
    <row r="708" customFormat="false" ht="15" hidden="false" customHeight="false" outlineLevel="0" collapsed="false">
      <c r="A708" s="15" t="s">
        <v>545</v>
      </c>
      <c r="B708" s="15" t="s">
        <v>1910</v>
      </c>
      <c r="C708" s="15" t="s">
        <v>1921</v>
      </c>
      <c r="D708" s="15" t="s">
        <v>1922</v>
      </c>
      <c r="E708" s="15" t="s">
        <v>3140</v>
      </c>
      <c r="F708" s="15" t="s">
        <v>2355</v>
      </c>
      <c r="G708" s="15" t="n">
        <v>500</v>
      </c>
      <c r="H708" s="15"/>
    </row>
    <row r="709" customFormat="false" ht="15" hidden="false" customHeight="false" outlineLevel="0" collapsed="false">
      <c r="A709" s="15" t="s">
        <v>545</v>
      </c>
      <c r="B709" s="15" t="s">
        <v>1915</v>
      </c>
      <c r="C709" s="15" t="s">
        <v>475</v>
      </c>
      <c r="D709" s="15" t="s">
        <v>1965</v>
      </c>
      <c r="E709" s="15" t="s">
        <v>3141</v>
      </c>
      <c r="F709" s="15" t="s">
        <v>2111</v>
      </c>
      <c r="G709" s="15" t="n">
        <v>5000</v>
      </c>
      <c r="H709" s="15" t="s">
        <v>166</v>
      </c>
    </row>
    <row r="710" customFormat="false" ht="15" hidden="false" customHeight="false" outlineLevel="0" collapsed="false">
      <c r="A710" s="15" t="s">
        <v>548</v>
      </c>
      <c r="B710" s="15" t="s">
        <v>1910</v>
      </c>
      <c r="C710" s="15" t="s">
        <v>1921</v>
      </c>
      <c r="D710" s="15" t="s">
        <v>1922</v>
      </c>
      <c r="E710" s="15" t="s">
        <v>3142</v>
      </c>
      <c r="F710" s="15" t="s">
        <v>3143</v>
      </c>
      <c r="G710" s="15" t="n">
        <v>500</v>
      </c>
      <c r="H710" s="15"/>
    </row>
    <row r="711" customFormat="false" ht="15" hidden="false" customHeight="false" outlineLevel="0" collapsed="false">
      <c r="A711" s="15" t="s">
        <v>548</v>
      </c>
      <c r="B711" s="15" t="s">
        <v>1915</v>
      </c>
      <c r="C711" s="15" t="s">
        <v>475</v>
      </c>
      <c r="D711" s="15" t="s">
        <v>1965</v>
      </c>
      <c r="E711" s="15" t="s">
        <v>3144</v>
      </c>
      <c r="F711" s="15" t="s">
        <v>3145</v>
      </c>
      <c r="G711" s="15" t="n">
        <v>500</v>
      </c>
      <c r="H711" s="15" t="s">
        <v>225</v>
      </c>
    </row>
    <row r="712" customFormat="false" ht="15" hidden="false" customHeight="false" outlineLevel="0" collapsed="false">
      <c r="A712" s="15" t="s">
        <v>551</v>
      </c>
      <c r="B712" s="15" t="s">
        <v>1910</v>
      </c>
      <c r="C712" s="15" t="s">
        <v>2069</v>
      </c>
      <c r="D712" s="15" t="s">
        <v>2070</v>
      </c>
      <c r="E712" s="15" t="s">
        <v>3146</v>
      </c>
      <c r="F712" s="15" t="s">
        <v>3147</v>
      </c>
      <c r="G712" s="15" t="n">
        <v>500</v>
      </c>
      <c r="H712" s="15"/>
    </row>
    <row r="713" customFormat="false" ht="15" hidden="false" customHeight="false" outlineLevel="0" collapsed="false">
      <c r="A713" s="15" t="s">
        <v>551</v>
      </c>
      <c r="B713" s="15" t="s">
        <v>1915</v>
      </c>
      <c r="C713" s="15" t="s">
        <v>552</v>
      </c>
      <c r="D713" s="15" t="s">
        <v>2029</v>
      </c>
      <c r="E713" s="15" t="s">
        <v>3148</v>
      </c>
      <c r="F713" s="15" t="s">
        <v>2345</v>
      </c>
      <c r="G713" s="15" t="n">
        <v>500</v>
      </c>
      <c r="H713" s="15" t="s">
        <v>166</v>
      </c>
    </row>
    <row r="714" customFormat="false" ht="15" hidden="false" customHeight="false" outlineLevel="0" collapsed="false">
      <c r="A714" s="15" t="s">
        <v>555</v>
      </c>
      <c r="B714" s="15" t="s">
        <v>1910</v>
      </c>
      <c r="C714" s="15" t="s">
        <v>2069</v>
      </c>
      <c r="D714" s="15" t="s">
        <v>2070</v>
      </c>
      <c r="E714" s="15" t="s">
        <v>3149</v>
      </c>
      <c r="F714" s="15" t="s">
        <v>2031</v>
      </c>
      <c r="G714" s="15" t="n">
        <v>250</v>
      </c>
      <c r="H714" s="15"/>
    </row>
    <row r="715" customFormat="false" ht="15" hidden="false" customHeight="false" outlineLevel="0" collapsed="false">
      <c r="A715" s="15" t="s">
        <v>555</v>
      </c>
      <c r="B715" s="15" t="s">
        <v>1910</v>
      </c>
      <c r="C715" s="15" t="s">
        <v>2069</v>
      </c>
      <c r="D715" s="15" t="s">
        <v>2070</v>
      </c>
      <c r="E715" s="15" t="s">
        <v>3150</v>
      </c>
      <c r="F715" s="15" t="s">
        <v>2645</v>
      </c>
      <c r="G715" s="15" t="n">
        <v>250</v>
      </c>
      <c r="H715" s="15"/>
    </row>
    <row r="716" customFormat="false" ht="15" hidden="false" customHeight="false" outlineLevel="0" collapsed="false">
      <c r="A716" s="15" t="s">
        <v>555</v>
      </c>
      <c r="B716" s="15" t="s">
        <v>1915</v>
      </c>
      <c r="C716" s="15" t="s">
        <v>552</v>
      </c>
      <c r="D716" s="15" t="s">
        <v>2029</v>
      </c>
      <c r="E716" s="15" t="s">
        <v>3151</v>
      </c>
      <c r="F716" s="15" t="s">
        <v>1981</v>
      </c>
      <c r="G716" s="15" t="n">
        <v>500</v>
      </c>
      <c r="H716" s="15" t="s">
        <v>166</v>
      </c>
    </row>
    <row r="717" customFormat="false" ht="15" hidden="false" customHeight="false" outlineLevel="0" collapsed="false">
      <c r="A717" s="15" t="s">
        <v>555</v>
      </c>
      <c r="B717" s="15" t="s">
        <v>1915</v>
      </c>
      <c r="C717" s="15" t="s">
        <v>552</v>
      </c>
      <c r="D717" s="15" t="s">
        <v>2029</v>
      </c>
      <c r="E717" s="15" t="s">
        <v>3152</v>
      </c>
      <c r="F717" s="15" t="s">
        <v>3153</v>
      </c>
      <c r="G717" s="15" t="n">
        <v>500</v>
      </c>
      <c r="H717" s="15" t="s">
        <v>166</v>
      </c>
    </row>
    <row r="718" customFormat="false" ht="15" hidden="false" customHeight="false" outlineLevel="0" collapsed="false">
      <c r="A718" s="15" t="s">
        <v>558</v>
      </c>
      <c r="B718" s="15" t="s">
        <v>1910</v>
      </c>
      <c r="C718" s="15" t="s">
        <v>1992</v>
      </c>
      <c r="D718" s="15" t="s">
        <v>1993</v>
      </c>
      <c r="E718" s="15" t="s">
        <v>3154</v>
      </c>
      <c r="F718" s="15" t="s">
        <v>2097</v>
      </c>
      <c r="G718" s="15" t="n">
        <v>250</v>
      </c>
      <c r="H718" s="15"/>
    </row>
    <row r="719" customFormat="false" ht="15" hidden="false" customHeight="false" outlineLevel="0" collapsed="false">
      <c r="A719" s="15" t="s">
        <v>558</v>
      </c>
      <c r="B719" s="15" t="s">
        <v>1915</v>
      </c>
      <c r="C719" s="15" t="s">
        <v>475</v>
      </c>
      <c r="D719" s="15" t="s">
        <v>1965</v>
      </c>
      <c r="E719" s="15" t="s">
        <v>3155</v>
      </c>
      <c r="F719" s="15" t="s">
        <v>3156</v>
      </c>
      <c r="G719" s="15" t="n">
        <v>250</v>
      </c>
      <c r="H719" s="15" t="s">
        <v>225</v>
      </c>
    </row>
    <row r="720" customFormat="false" ht="15" hidden="false" customHeight="false" outlineLevel="0" collapsed="false">
      <c r="A720" s="15" t="s">
        <v>558</v>
      </c>
      <c r="B720" s="15" t="s">
        <v>1915</v>
      </c>
      <c r="C720" s="15" t="s">
        <v>475</v>
      </c>
      <c r="D720" s="15" t="s">
        <v>1965</v>
      </c>
      <c r="E720" s="15" t="s">
        <v>3157</v>
      </c>
      <c r="F720" s="15" t="s">
        <v>2524</v>
      </c>
      <c r="G720" s="15" t="n">
        <v>10000</v>
      </c>
      <c r="H720" s="15" t="s">
        <v>225</v>
      </c>
    </row>
    <row r="721" customFormat="false" ht="15" hidden="false" customHeight="false" outlineLevel="0" collapsed="false">
      <c r="A721" s="15" t="s">
        <v>561</v>
      </c>
      <c r="B721" s="15" t="s">
        <v>1910</v>
      </c>
      <c r="C721" s="15" t="s">
        <v>1974</v>
      </c>
      <c r="D721" s="15" t="s">
        <v>1975</v>
      </c>
      <c r="E721" s="15" t="s">
        <v>3158</v>
      </c>
      <c r="F721" s="15" t="s">
        <v>2668</v>
      </c>
      <c r="G721" s="15" t="n">
        <v>250</v>
      </c>
      <c r="H721" s="15"/>
    </row>
    <row r="722" customFormat="false" ht="15" hidden="false" customHeight="false" outlineLevel="0" collapsed="false">
      <c r="A722" s="15" t="s">
        <v>561</v>
      </c>
      <c r="B722" s="15" t="s">
        <v>1910</v>
      </c>
      <c r="C722" s="15" t="s">
        <v>2069</v>
      </c>
      <c r="D722" s="15" t="s">
        <v>2070</v>
      </c>
      <c r="E722" s="15" t="s">
        <v>3159</v>
      </c>
      <c r="F722" s="15" t="s">
        <v>3160</v>
      </c>
      <c r="G722" s="15" t="n">
        <v>250</v>
      </c>
      <c r="H722" s="15"/>
    </row>
    <row r="723" customFormat="false" ht="15" hidden="false" customHeight="false" outlineLevel="0" collapsed="false">
      <c r="A723" s="15" t="s">
        <v>561</v>
      </c>
      <c r="B723" s="15" t="s">
        <v>1910</v>
      </c>
      <c r="C723" s="15" t="s">
        <v>1921</v>
      </c>
      <c r="D723" s="15" t="s">
        <v>1922</v>
      </c>
      <c r="E723" s="15" t="s">
        <v>3161</v>
      </c>
      <c r="F723" s="15" t="s">
        <v>3162</v>
      </c>
      <c r="G723" s="15" t="n">
        <v>250</v>
      </c>
      <c r="H723" s="15"/>
    </row>
    <row r="724" customFormat="false" ht="15" hidden="false" customHeight="false" outlineLevel="0" collapsed="false">
      <c r="A724" s="15" t="s">
        <v>561</v>
      </c>
      <c r="B724" s="15" t="s">
        <v>1915</v>
      </c>
      <c r="C724" s="15" t="s">
        <v>562</v>
      </c>
      <c r="D724" s="15" t="s">
        <v>3163</v>
      </c>
      <c r="E724" s="15" t="s">
        <v>3164</v>
      </c>
      <c r="F724" s="15" t="s">
        <v>3165</v>
      </c>
      <c r="G724" s="15" t="n">
        <v>250</v>
      </c>
      <c r="H724" s="15" t="s">
        <v>166</v>
      </c>
    </row>
    <row r="725" customFormat="false" ht="15" hidden="false" customHeight="false" outlineLevel="0" collapsed="false">
      <c r="A725" s="15" t="s">
        <v>565</v>
      </c>
      <c r="B725" s="15" t="s">
        <v>1910</v>
      </c>
      <c r="C725" s="15" t="s">
        <v>1921</v>
      </c>
      <c r="D725" s="15" t="s">
        <v>1922</v>
      </c>
      <c r="E725" s="15" t="s">
        <v>3166</v>
      </c>
      <c r="F725" s="15" t="s">
        <v>3167</v>
      </c>
      <c r="G725" s="15" t="n">
        <v>250</v>
      </c>
      <c r="H725" s="15"/>
    </row>
    <row r="726" customFormat="false" ht="15" hidden="false" customHeight="false" outlineLevel="0" collapsed="false">
      <c r="A726" s="15" t="s">
        <v>565</v>
      </c>
      <c r="B726" s="15" t="s">
        <v>1915</v>
      </c>
      <c r="C726" s="15" t="s">
        <v>552</v>
      </c>
      <c r="D726" s="15" t="s">
        <v>2029</v>
      </c>
      <c r="E726" s="15" t="s">
        <v>3168</v>
      </c>
      <c r="F726" s="15" t="s">
        <v>3169</v>
      </c>
      <c r="G726" s="15" t="n">
        <v>250</v>
      </c>
      <c r="H726" s="15" t="s">
        <v>166</v>
      </c>
    </row>
    <row r="727" customFormat="false" ht="15" hidden="false" customHeight="false" outlineLevel="0" collapsed="false">
      <c r="A727" s="15" t="s">
        <v>568</v>
      </c>
      <c r="B727" s="15" t="s">
        <v>1910</v>
      </c>
      <c r="C727" s="15" t="s">
        <v>2069</v>
      </c>
      <c r="D727" s="15" t="s">
        <v>2070</v>
      </c>
      <c r="E727" s="15" t="s">
        <v>3170</v>
      </c>
      <c r="F727" s="15" t="s">
        <v>3171</v>
      </c>
      <c r="G727" s="15" t="n">
        <v>250</v>
      </c>
      <c r="H727" s="15"/>
    </row>
    <row r="728" customFormat="false" ht="15" hidden="false" customHeight="false" outlineLevel="0" collapsed="false">
      <c r="A728" s="15" t="s">
        <v>568</v>
      </c>
      <c r="B728" s="15" t="s">
        <v>1910</v>
      </c>
      <c r="C728" s="15" t="s">
        <v>2069</v>
      </c>
      <c r="D728" s="15" t="s">
        <v>2070</v>
      </c>
      <c r="E728" s="15" t="s">
        <v>3172</v>
      </c>
      <c r="F728" s="15" t="s">
        <v>3173</v>
      </c>
      <c r="G728" s="15" t="n">
        <v>250</v>
      </c>
      <c r="H728" s="15"/>
    </row>
    <row r="729" customFormat="false" ht="15" hidden="false" customHeight="false" outlineLevel="0" collapsed="false">
      <c r="A729" s="15" t="s">
        <v>568</v>
      </c>
      <c r="B729" s="15" t="s">
        <v>1910</v>
      </c>
      <c r="C729" s="15" t="s">
        <v>2069</v>
      </c>
      <c r="D729" s="15" t="s">
        <v>2070</v>
      </c>
      <c r="E729" s="15" t="s">
        <v>3174</v>
      </c>
      <c r="F729" s="15" t="s">
        <v>2512</v>
      </c>
      <c r="G729" s="15" t="n">
        <v>250</v>
      </c>
      <c r="H729" s="15"/>
    </row>
    <row r="730" customFormat="false" ht="15" hidden="false" customHeight="false" outlineLevel="0" collapsed="false">
      <c r="A730" s="15" t="s">
        <v>568</v>
      </c>
      <c r="B730" s="15" t="s">
        <v>1915</v>
      </c>
      <c r="C730" s="15" t="s">
        <v>552</v>
      </c>
      <c r="D730" s="15" t="s">
        <v>2029</v>
      </c>
      <c r="E730" s="15" t="s">
        <v>3175</v>
      </c>
      <c r="F730" s="15" t="s">
        <v>2256</v>
      </c>
      <c r="G730" s="15" t="n">
        <v>1000</v>
      </c>
      <c r="H730" s="15" t="s">
        <v>225</v>
      </c>
    </row>
    <row r="731" customFormat="false" ht="15" hidden="false" customHeight="false" outlineLevel="0" collapsed="false">
      <c r="A731" s="15" t="s">
        <v>568</v>
      </c>
      <c r="B731" s="15" t="s">
        <v>1915</v>
      </c>
      <c r="C731" s="15" t="s">
        <v>475</v>
      </c>
      <c r="D731" s="15" t="s">
        <v>1965</v>
      </c>
      <c r="E731" s="15" t="s">
        <v>3176</v>
      </c>
      <c r="F731" s="15" t="s">
        <v>3177</v>
      </c>
      <c r="G731" s="15" t="n">
        <v>250</v>
      </c>
      <c r="H731" s="15" t="s">
        <v>166</v>
      </c>
    </row>
    <row r="732" customFormat="false" ht="15" hidden="false" customHeight="false" outlineLevel="0" collapsed="false">
      <c r="A732" s="15" t="s">
        <v>572</v>
      </c>
      <c r="B732" s="15" t="s">
        <v>1910</v>
      </c>
      <c r="C732" s="15" t="s">
        <v>1992</v>
      </c>
      <c r="D732" s="15" t="s">
        <v>1993</v>
      </c>
      <c r="E732" s="15" t="s">
        <v>3178</v>
      </c>
      <c r="F732" s="15" t="s">
        <v>2097</v>
      </c>
      <c r="G732" s="15" t="n">
        <v>250</v>
      </c>
      <c r="H732" s="15"/>
    </row>
    <row r="733" customFormat="false" ht="15" hidden="false" customHeight="false" outlineLevel="0" collapsed="false">
      <c r="A733" s="15" t="s">
        <v>572</v>
      </c>
      <c r="B733" s="15" t="s">
        <v>1910</v>
      </c>
      <c r="C733" s="15" t="s">
        <v>1992</v>
      </c>
      <c r="D733" s="15" t="s">
        <v>1993</v>
      </c>
      <c r="E733" s="15" t="s">
        <v>3179</v>
      </c>
      <c r="F733" s="15" t="s">
        <v>3180</v>
      </c>
      <c r="G733" s="15" t="n">
        <v>250</v>
      </c>
      <c r="H733" s="15"/>
    </row>
    <row r="734" customFormat="false" ht="15" hidden="false" customHeight="false" outlineLevel="0" collapsed="false">
      <c r="A734" s="15" t="s">
        <v>572</v>
      </c>
      <c r="B734" s="15" t="s">
        <v>1910</v>
      </c>
      <c r="C734" s="15" t="s">
        <v>1911</v>
      </c>
      <c r="D734" s="15" t="s">
        <v>1912</v>
      </c>
      <c r="E734" s="15" t="s">
        <v>3181</v>
      </c>
      <c r="F734" s="15" t="s">
        <v>3182</v>
      </c>
      <c r="G734" s="15" t="n">
        <v>250</v>
      </c>
      <c r="H734" s="15"/>
    </row>
    <row r="735" customFormat="false" ht="15" hidden="false" customHeight="false" outlineLevel="0" collapsed="false">
      <c r="A735" s="15" t="s">
        <v>572</v>
      </c>
      <c r="B735" s="15" t="s">
        <v>1910</v>
      </c>
      <c r="C735" s="15" t="s">
        <v>1974</v>
      </c>
      <c r="D735" s="15" t="s">
        <v>1975</v>
      </c>
      <c r="E735" s="15" t="s">
        <v>3183</v>
      </c>
      <c r="F735" s="15" t="s">
        <v>3182</v>
      </c>
      <c r="G735" s="15" t="n">
        <v>250</v>
      </c>
      <c r="H735" s="15"/>
    </row>
    <row r="736" customFormat="false" ht="15" hidden="false" customHeight="false" outlineLevel="0" collapsed="false">
      <c r="A736" s="15" t="s">
        <v>572</v>
      </c>
      <c r="B736" s="15" t="s">
        <v>1910</v>
      </c>
      <c r="C736" s="15" t="s">
        <v>1921</v>
      </c>
      <c r="D736" s="15" t="s">
        <v>1922</v>
      </c>
      <c r="E736" s="15" t="s">
        <v>3184</v>
      </c>
      <c r="F736" s="15" t="s">
        <v>2260</v>
      </c>
      <c r="G736" s="15" t="n">
        <v>500</v>
      </c>
      <c r="H736" s="15"/>
    </row>
    <row r="737" customFormat="false" ht="15" hidden="false" customHeight="false" outlineLevel="0" collapsed="false">
      <c r="A737" s="15" t="s">
        <v>572</v>
      </c>
      <c r="B737" s="15" t="s">
        <v>1910</v>
      </c>
      <c r="C737" s="15" t="s">
        <v>1921</v>
      </c>
      <c r="D737" s="15" t="s">
        <v>1922</v>
      </c>
      <c r="E737" s="15" t="s">
        <v>3185</v>
      </c>
      <c r="F737" s="15" t="s">
        <v>1926</v>
      </c>
      <c r="G737" s="15" t="n">
        <v>500</v>
      </c>
      <c r="H737" s="15"/>
    </row>
    <row r="738" customFormat="false" ht="15" hidden="false" customHeight="false" outlineLevel="0" collapsed="false">
      <c r="A738" s="15" t="s">
        <v>572</v>
      </c>
      <c r="B738" s="15" t="s">
        <v>1910</v>
      </c>
      <c r="C738" s="15" t="s">
        <v>1921</v>
      </c>
      <c r="D738" s="15" t="s">
        <v>1922</v>
      </c>
      <c r="E738" s="15" t="s">
        <v>3186</v>
      </c>
      <c r="F738" s="15" t="s">
        <v>2876</v>
      </c>
      <c r="G738" s="15" t="n">
        <v>500</v>
      </c>
      <c r="H738" s="15"/>
    </row>
    <row r="739" customFormat="false" ht="15" hidden="false" customHeight="false" outlineLevel="0" collapsed="false">
      <c r="A739" s="15" t="s">
        <v>572</v>
      </c>
      <c r="B739" s="15" t="s">
        <v>1915</v>
      </c>
      <c r="C739" s="15" t="s">
        <v>552</v>
      </c>
      <c r="D739" s="15" t="s">
        <v>2029</v>
      </c>
      <c r="E739" s="15" t="s">
        <v>3187</v>
      </c>
      <c r="F739" s="15" t="s">
        <v>3188</v>
      </c>
      <c r="G739" s="15" t="n">
        <v>2000</v>
      </c>
      <c r="H739" s="15" t="s">
        <v>225</v>
      </c>
    </row>
    <row r="740" customFormat="false" ht="15" hidden="false" customHeight="false" outlineLevel="0" collapsed="false">
      <c r="A740" s="15" t="s">
        <v>572</v>
      </c>
      <c r="B740" s="15" t="s">
        <v>1915</v>
      </c>
      <c r="C740" s="15" t="s">
        <v>2032</v>
      </c>
      <c r="D740" s="15" t="s">
        <v>2033</v>
      </c>
      <c r="E740" s="15" t="s">
        <v>3189</v>
      </c>
      <c r="F740" s="15" t="s">
        <v>3190</v>
      </c>
      <c r="G740" s="15" t="n">
        <v>3000</v>
      </c>
      <c r="H740" s="15" t="s">
        <v>166</v>
      </c>
    </row>
    <row r="741" customFormat="false" ht="15" hidden="false" customHeight="false" outlineLevel="0" collapsed="false">
      <c r="A741" s="15" t="s">
        <v>572</v>
      </c>
      <c r="B741" s="15" t="s">
        <v>1915</v>
      </c>
      <c r="C741" s="15" t="s">
        <v>593</v>
      </c>
      <c r="D741" s="15" t="s">
        <v>2061</v>
      </c>
      <c r="E741" s="15" t="s">
        <v>3191</v>
      </c>
      <c r="F741" s="15" t="s">
        <v>3192</v>
      </c>
      <c r="G741" s="15" t="n">
        <v>10000</v>
      </c>
      <c r="H741" s="15" t="s">
        <v>166</v>
      </c>
    </row>
    <row r="742" customFormat="false" ht="15" hidden="false" customHeight="false" outlineLevel="0" collapsed="false">
      <c r="A742" s="15" t="s">
        <v>572</v>
      </c>
      <c r="B742" s="15" t="s">
        <v>1915</v>
      </c>
      <c r="C742" s="15" t="s">
        <v>475</v>
      </c>
      <c r="D742" s="15" t="s">
        <v>1965</v>
      </c>
      <c r="E742" s="15" t="s">
        <v>3193</v>
      </c>
      <c r="F742" s="15" t="s">
        <v>3194</v>
      </c>
      <c r="G742" s="15" t="n">
        <v>5000</v>
      </c>
      <c r="H742" s="15" t="s">
        <v>166</v>
      </c>
    </row>
    <row r="743" customFormat="false" ht="15" hidden="false" customHeight="false" outlineLevel="0" collapsed="false">
      <c r="A743" s="15" t="s">
        <v>576</v>
      </c>
      <c r="B743" s="15" t="s">
        <v>1910</v>
      </c>
      <c r="C743" s="15" t="s">
        <v>1911</v>
      </c>
      <c r="D743" s="15" t="s">
        <v>1912</v>
      </c>
      <c r="E743" s="15" t="s">
        <v>3195</v>
      </c>
      <c r="F743" s="15" t="s">
        <v>3196</v>
      </c>
      <c r="G743" s="15" t="n">
        <v>250</v>
      </c>
      <c r="H743" s="15"/>
    </row>
    <row r="744" customFormat="false" ht="15" hidden="false" customHeight="false" outlineLevel="0" collapsed="false">
      <c r="A744" s="15" t="s">
        <v>576</v>
      </c>
      <c r="B744" s="15" t="s">
        <v>1910</v>
      </c>
      <c r="C744" s="15" t="s">
        <v>1974</v>
      </c>
      <c r="D744" s="15" t="s">
        <v>1975</v>
      </c>
      <c r="E744" s="15" t="s">
        <v>3197</v>
      </c>
      <c r="F744" s="15" t="s">
        <v>3196</v>
      </c>
      <c r="G744" s="15" t="n">
        <v>250</v>
      </c>
      <c r="H744" s="15"/>
    </row>
    <row r="745" customFormat="false" ht="15" hidden="false" customHeight="false" outlineLevel="0" collapsed="false">
      <c r="A745" s="15" t="s">
        <v>576</v>
      </c>
      <c r="B745" s="15" t="s">
        <v>1915</v>
      </c>
      <c r="C745" s="15" t="s">
        <v>552</v>
      </c>
      <c r="D745" s="15" t="s">
        <v>2029</v>
      </c>
      <c r="E745" s="15" t="s">
        <v>3198</v>
      </c>
      <c r="F745" s="15" t="s">
        <v>2851</v>
      </c>
      <c r="G745" s="15" t="n">
        <v>8000</v>
      </c>
      <c r="H745" s="15" t="s">
        <v>166</v>
      </c>
    </row>
    <row r="746" customFormat="false" ht="15" hidden="false" customHeight="false" outlineLevel="0" collapsed="false">
      <c r="A746" s="15" t="s">
        <v>576</v>
      </c>
      <c r="B746" s="15" t="s">
        <v>1915</v>
      </c>
      <c r="C746" s="15" t="s">
        <v>2032</v>
      </c>
      <c r="D746" s="15" t="s">
        <v>2033</v>
      </c>
      <c r="E746" s="15" t="s">
        <v>3199</v>
      </c>
      <c r="F746" s="15" t="s">
        <v>3190</v>
      </c>
      <c r="G746" s="15" t="n">
        <v>5000</v>
      </c>
      <c r="H746" s="15" t="s">
        <v>166</v>
      </c>
    </row>
    <row r="747" customFormat="false" ht="15" hidden="false" customHeight="false" outlineLevel="0" collapsed="false">
      <c r="A747" s="15" t="s">
        <v>581</v>
      </c>
      <c r="B747" s="15" t="s">
        <v>1910</v>
      </c>
      <c r="C747" s="15" t="s">
        <v>1992</v>
      </c>
      <c r="D747" s="15" t="s">
        <v>1993</v>
      </c>
      <c r="E747" s="15" t="s">
        <v>3200</v>
      </c>
      <c r="F747" s="15" t="s">
        <v>2052</v>
      </c>
      <c r="G747" s="15" t="n">
        <v>250</v>
      </c>
      <c r="H747" s="15"/>
    </row>
    <row r="748" customFormat="false" ht="15" hidden="false" customHeight="false" outlineLevel="0" collapsed="false">
      <c r="A748" s="15" t="s">
        <v>581</v>
      </c>
      <c r="B748" s="15" t="s">
        <v>1910</v>
      </c>
      <c r="C748" s="15" t="s">
        <v>1970</v>
      </c>
      <c r="D748" s="15" t="s">
        <v>1971</v>
      </c>
      <c r="E748" s="15" t="s">
        <v>3201</v>
      </c>
      <c r="F748" s="15" t="s">
        <v>2100</v>
      </c>
      <c r="G748" s="15" t="n">
        <v>250</v>
      </c>
      <c r="H748" s="15"/>
    </row>
    <row r="749" customFormat="false" ht="15" hidden="false" customHeight="false" outlineLevel="0" collapsed="false">
      <c r="A749" s="15" t="s">
        <v>581</v>
      </c>
      <c r="B749" s="15" t="s">
        <v>1910</v>
      </c>
      <c r="C749" s="15" t="s">
        <v>1921</v>
      </c>
      <c r="D749" s="15" t="s">
        <v>1922</v>
      </c>
      <c r="E749" s="15" t="s">
        <v>3202</v>
      </c>
      <c r="F749" s="15" t="s">
        <v>2355</v>
      </c>
      <c r="G749" s="15" t="n">
        <v>500</v>
      </c>
      <c r="H749" s="15"/>
    </row>
    <row r="750" customFormat="false" ht="15" hidden="false" customHeight="false" outlineLevel="0" collapsed="false">
      <c r="A750" s="15" t="s">
        <v>581</v>
      </c>
      <c r="B750" s="15" t="s">
        <v>1915</v>
      </c>
      <c r="C750" s="15" t="s">
        <v>552</v>
      </c>
      <c r="D750" s="15" t="s">
        <v>2029</v>
      </c>
      <c r="E750" s="15" t="s">
        <v>3203</v>
      </c>
      <c r="F750" s="15" t="s">
        <v>3204</v>
      </c>
      <c r="G750" s="15" t="n">
        <v>10000</v>
      </c>
      <c r="H750" s="15" t="s">
        <v>166</v>
      </c>
    </row>
    <row r="751" customFormat="false" ht="15" hidden="false" customHeight="false" outlineLevel="0" collapsed="false">
      <c r="A751" s="15" t="s">
        <v>581</v>
      </c>
      <c r="B751" s="15" t="s">
        <v>1915</v>
      </c>
      <c r="C751" s="15" t="s">
        <v>2613</v>
      </c>
      <c r="D751" s="15" t="s">
        <v>2614</v>
      </c>
      <c r="E751" s="15" t="s">
        <v>3205</v>
      </c>
      <c r="F751" s="15" t="s">
        <v>3206</v>
      </c>
      <c r="G751" s="15" t="n">
        <v>5000</v>
      </c>
      <c r="H751" s="15" t="s">
        <v>166</v>
      </c>
    </row>
    <row r="752" customFormat="false" ht="15" hidden="false" customHeight="false" outlineLevel="0" collapsed="false">
      <c r="A752" s="15" t="s">
        <v>581</v>
      </c>
      <c r="B752" s="15" t="s">
        <v>1915</v>
      </c>
      <c r="C752" s="15" t="s">
        <v>612</v>
      </c>
      <c r="D752" s="15" t="s">
        <v>2427</v>
      </c>
      <c r="E752" s="15" t="s">
        <v>3207</v>
      </c>
      <c r="F752" s="15" t="s">
        <v>3208</v>
      </c>
      <c r="G752" s="15" t="n">
        <v>15000</v>
      </c>
      <c r="H752" s="15" t="s">
        <v>166</v>
      </c>
    </row>
    <row r="753" customFormat="false" ht="15" hidden="false" customHeight="false" outlineLevel="0" collapsed="false">
      <c r="A753" s="15" t="s">
        <v>581</v>
      </c>
      <c r="B753" s="15" t="s">
        <v>1915</v>
      </c>
      <c r="C753" s="15" t="s">
        <v>2732</v>
      </c>
      <c r="D753" s="15" t="s">
        <v>2733</v>
      </c>
      <c r="E753" s="15" t="s">
        <v>3209</v>
      </c>
      <c r="F753" s="15" t="s">
        <v>3194</v>
      </c>
      <c r="G753" s="15" t="n">
        <v>25000</v>
      </c>
      <c r="H753" s="15" t="s">
        <v>166</v>
      </c>
    </row>
    <row r="754" customFormat="false" ht="15" hidden="false" customHeight="false" outlineLevel="0" collapsed="false">
      <c r="A754" s="15" t="s">
        <v>581</v>
      </c>
      <c r="B754" s="15" t="s">
        <v>1915</v>
      </c>
      <c r="C754" s="15" t="s">
        <v>305</v>
      </c>
      <c r="D754" s="15" t="s">
        <v>2503</v>
      </c>
      <c r="E754" s="15" t="s">
        <v>3210</v>
      </c>
      <c r="F754" s="15" t="s">
        <v>2137</v>
      </c>
      <c r="G754" s="15" t="n">
        <v>10000</v>
      </c>
      <c r="H754" s="15" t="s">
        <v>166</v>
      </c>
    </row>
    <row r="755" customFormat="false" ht="15" hidden="false" customHeight="false" outlineLevel="0" collapsed="false">
      <c r="A755" s="15" t="s">
        <v>585</v>
      </c>
      <c r="B755" s="15" t="s">
        <v>1910</v>
      </c>
      <c r="C755" s="15" t="s">
        <v>2069</v>
      </c>
      <c r="D755" s="15" t="s">
        <v>2070</v>
      </c>
      <c r="E755" s="15" t="s">
        <v>3211</v>
      </c>
      <c r="F755" s="15" t="s">
        <v>3212</v>
      </c>
      <c r="G755" s="15" t="n">
        <v>250</v>
      </c>
      <c r="H755" s="15"/>
    </row>
    <row r="756" customFormat="false" ht="15" hidden="false" customHeight="false" outlineLevel="0" collapsed="false">
      <c r="A756" s="15" t="s">
        <v>585</v>
      </c>
      <c r="B756" s="15" t="s">
        <v>1910</v>
      </c>
      <c r="C756" s="15" t="s">
        <v>2069</v>
      </c>
      <c r="D756" s="15" t="s">
        <v>2070</v>
      </c>
      <c r="E756" s="15" t="s">
        <v>3213</v>
      </c>
      <c r="F756" s="15" t="s">
        <v>3214</v>
      </c>
      <c r="G756" s="15" t="n">
        <v>250</v>
      </c>
      <c r="H756" s="15"/>
    </row>
    <row r="757" customFormat="false" ht="15" hidden="false" customHeight="false" outlineLevel="0" collapsed="false">
      <c r="A757" s="15" t="s">
        <v>585</v>
      </c>
      <c r="B757" s="15" t="s">
        <v>1910</v>
      </c>
      <c r="C757" s="15" t="s">
        <v>2069</v>
      </c>
      <c r="D757" s="15" t="s">
        <v>2070</v>
      </c>
      <c r="E757" s="15" t="s">
        <v>3215</v>
      </c>
      <c r="F757" s="15" t="s">
        <v>2065</v>
      </c>
      <c r="G757" s="15" t="n">
        <v>250</v>
      </c>
      <c r="H757" s="15"/>
    </row>
    <row r="758" customFormat="false" ht="15" hidden="false" customHeight="false" outlineLevel="0" collapsed="false">
      <c r="A758" s="15" t="s">
        <v>585</v>
      </c>
      <c r="B758" s="15" t="s">
        <v>1915</v>
      </c>
      <c r="C758" s="15" t="s">
        <v>552</v>
      </c>
      <c r="D758" s="15" t="s">
        <v>2029</v>
      </c>
      <c r="E758" s="15" t="s">
        <v>3216</v>
      </c>
      <c r="F758" s="15" t="s">
        <v>3217</v>
      </c>
      <c r="G758" s="15" t="n">
        <v>500</v>
      </c>
      <c r="H758" s="15" t="s">
        <v>166</v>
      </c>
    </row>
    <row r="759" customFormat="false" ht="15" hidden="false" customHeight="false" outlineLevel="0" collapsed="false">
      <c r="A759" s="15" t="s">
        <v>588</v>
      </c>
      <c r="B759" s="15" t="s">
        <v>1910</v>
      </c>
      <c r="C759" s="15" t="s">
        <v>2069</v>
      </c>
      <c r="D759" s="15" t="s">
        <v>2070</v>
      </c>
      <c r="E759" s="15" t="s">
        <v>3218</v>
      </c>
      <c r="F759" s="15" t="s">
        <v>3219</v>
      </c>
      <c r="G759" s="15" t="n">
        <v>250</v>
      </c>
      <c r="H759" s="15"/>
    </row>
    <row r="760" customFormat="false" ht="15" hidden="false" customHeight="false" outlineLevel="0" collapsed="false">
      <c r="A760" s="15" t="s">
        <v>588</v>
      </c>
      <c r="B760" s="15" t="s">
        <v>1910</v>
      </c>
      <c r="C760" s="15" t="s">
        <v>2069</v>
      </c>
      <c r="D760" s="15" t="s">
        <v>2070</v>
      </c>
      <c r="E760" s="15" t="s">
        <v>3220</v>
      </c>
      <c r="F760" s="15" t="s">
        <v>3221</v>
      </c>
      <c r="G760" s="15" t="n">
        <v>250</v>
      </c>
      <c r="H760" s="15"/>
    </row>
    <row r="761" customFormat="false" ht="15" hidden="false" customHeight="false" outlineLevel="0" collapsed="false">
      <c r="A761" s="15" t="s">
        <v>588</v>
      </c>
      <c r="B761" s="15" t="s">
        <v>1910</v>
      </c>
      <c r="C761" s="15" t="s">
        <v>2069</v>
      </c>
      <c r="D761" s="15" t="s">
        <v>2070</v>
      </c>
      <c r="E761" s="15" t="s">
        <v>3222</v>
      </c>
      <c r="F761" s="15" t="s">
        <v>2137</v>
      </c>
      <c r="G761" s="15" t="n">
        <v>250</v>
      </c>
      <c r="H761" s="15"/>
    </row>
    <row r="762" customFormat="false" ht="15" hidden="false" customHeight="false" outlineLevel="0" collapsed="false">
      <c r="A762" s="15" t="s">
        <v>588</v>
      </c>
      <c r="B762" s="15" t="s">
        <v>1915</v>
      </c>
      <c r="C762" s="15" t="s">
        <v>589</v>
      </c>
      <c r="D762" s="15" t="s">
        <v>3223</v>
      </c>
      <c r="E762" s="15" t="s">
        <v>3224</v>
      </c>
      <c r="F762" s="15" t="s">
        <v>3225</v>
      </c>
      <c r="G762" s="15" t="n">
        <v>250</v>
      </c>
      <c r="H762" s="15" t="s">
        <v>166</v>
      </c>
    </row>
    <row r="763" customFormat="false" ht="15" hidden="false" customHeight="false" outlineLevel="0" collapsed="false">
      <c r="A763" s="15" t="s">
        <v>592</v>
      </c>
      <c r="B763" s="15" t="s">
        <v>1910</v>
      </c>
      <c r="C763" s="15" t="s">
        <v>1921</v>
      </c>
      <c r="D763" s="15" t="s">
        <v>1922</v>
      </c>
      <c r="E763" s="15" t="s">
        <v>3226</v>
      </c>
      <c r="F763" s="15" t="s">
        <v>2541</v>
      </c>
      <c r="G763" s="15" t="n">
        <v>500</v>
      </c>
      <c r="H763" s="15"/>
    </row>
    <row r="764" customFormat="false" ht="15" hidden="false" customHeight="false" outlineLevel="0" collapsed="false">
      <c r="A764" s="15" t="s">
        <v>592</v>
      </c>
      <c r="B764" s="15" t="s">
        <v>1910</v>
      </c>
      <c r="C764" s="15" t="s">
        <v>1921</v>
      </c>
      <c r="D764" s="15" t="s">
        <v>1922</v>
      </c>
      <c r="E764" s="15" t="s">
        <v>3227</v>
      </c>
      <c r="F764" s="15" t="s">
        <v>3228</v>
      </c>
      <c r="G764" s="15" t="n">
        <v>500</v>
      </c>
      <c r="H764" s="15"/>
    </row>
    <row r="765" customFormat="false" ht="15" hidden="false" customHeight="false" outlineLevel="0" collapsed="false">
      <c r="A765" s="15" t="s">
        <v>592</v>
      </c>
      <c r="B765" s="15" t="s">
        <v>1915</v>
      </c>
      <c r="C765" s="15" t="s">
        <v>593</v>
      </c>
      <c r="D765" s="15" t="s">
        <v>2061</v>
      </c>
      <c r="E765" s="15" t="s">
        <v>3229</v>
      </c>
      <c r="F765" s="15" t="s">
        <v>3230</v>
      </c>
      <c r="G765" s="15" t="n">
        <v>10000</v>
      </c>
      <c r="H765" s="15" t="s">
        <v>166</v>
      </c>
    </row>
    <row r="766" customFormat="false" ht="15" hidden="false" customHeight="false" outlineLevel="0" collapsed="false">
      <c r="A766" s="15" t="s">
        <v>596</v>
      </c>
      <c r="B766" s="15" t="s">
        <v>1910</v>
      </c>
      <c r="C766" s="15" t="s">
        <v>1921</v>
      </c>
      <c r="D766" s="15" t="s">
        <v>1922</v>
      </c>
      <c r="E766" s="15" t="s">
        <v>3231</v>
      </c>
      <c r="F766" s="15" t="s">
        <v>3232</v>
      </c>
      <c r="G766" s="15" t="n">
        <v>250</v>
      </c>
      <c r="H766" s="15"/>
    </row>
    <row r="767" customFormat="false" ht="15" hidden="false" customHeight="false" outlineLevel="0" collapsed="false">
      <c r="A767" s="15" t="s">
        <v>596</v>
      </c>
      <c r="B767" s="15" t="s">
        <v>1915</v>
      </c>
      <c r="C767" s="15" t="s">
        <v>593</v>
      </c>
      <c r="D767" s="15" t="s">
        <v>2061</v>
      </c>
      <c r="E767" s="15" t="s">
        <v>3233</v>
      </c>
      <c r="F767" s="15" t="s">
        <v>2502</v>
      </c>
      <c r="G767" s="15" t="n">
        <v>1000</v>
      </c>
      <c r="H767" s="15" t="s">
        <v>166</v>
      </c>
    </row>
    <row r="768" customFormat="false" ht="15" hidden="false" customHeight="false" outlineLevel="0" collapsed="false">
      <c r="A768" s="15" t="s">
        <v>596</v>
      </c>
      <c r="B768" s="15" t="s">
        <v>1915</v>
      </c>
      <c r="C768" s="15" t="s">
        <v>593</v>
      </c>
      <c r="D768" s="15" t="s">
        <v>2061</v>
      </c>
      <c r="E768" s="15" t="s">
        <v>3234</v>
      </c>
      <c r="F768" s="15" t="s">
        <v>3235</v>
      </c>
      <c r="G768" s="15" t="n">
        <v>750</v>
      </c>
      <c r="H768" s="15" t="s">
        <v>166</v>
      </c>
    </row>
    <row r="769" customFormat="false" ht="15" hidden="false" customHeight="false" outlineLevel="0" collapsed="false">
      <c r="A769" s="15" t="s">
        <v>599</v>
      </c>
      <c r="B769" s="15" t="s">
        <v>1910</v>
      </c>
      <c r="C769" s="15" t="s">
        <v>1921</v>
      </c>
      <c r="D769" s="15" t="s">
        <v>1922</v>
      </c>
      <c r="E769" s="15" t="s">
        <v>3236</v>
      </c>
      <c r="F769" s="15" t="s">
        <v>3237</v>
      </c>
      <c r="G769" s="15" t="n">
        <v>500</v>
      </c>
      <c r="H769" s="15"/>
    </row>
    <row r="770" customFormat="false" ht="15" hidden="false" customHeight="false" outlineLevel="0" collapsed="false">
      <c r="A770" s="15" t="s">
        <v>599</v>
      </c>
      <c r="B770" s="15" t="s">
        <v>1910</v>
      </c>
      <c r="C770" s="15" t="s">
        <v>1921</v>
      </c>
      <c r="D770" s="15" t="s">
        <v>1922</v>
      </c>
      <c r="E770" s="15" t="s">
        <v>3238</v>
      </c>
      <c r="F770" s="15" t="s">
        <v>2695</v>
      </c>
      <c r="G770" s="15" t="n">
        <v>500</v>
      </c>
      <c r="H770" s="15"/>
    </row>
    <row r="771" customFormat="false" ht="15" hidden="false" customHeight="false" outlineLevel="0" collapsed="false">
      <c r="A771" s="15" t="s">
        <v>599</v>
      </c>
      <c r="B771" s="15" t="s">
        <v>1910</v>
      </c>
      <c r="C771" s="15" t="s">
        <v>1921</v>
      </c>
      <c r="D771" s="15" t="s">
        <v>1922</v>
      </c>
      <c r="E771" s="15" t="s">
        <v>3239</v>
      </c>
      <c r="F771" s="15" t="s">
        <v>2063</v>
      </c>
      <c r="G771" s="15" t="n">
        <v>500</v>
      </c>
      <c r="H771" s="15"/>
    </row>
    <row r="772" customFormat="false" ht="15" hidden="false" customHeight="false" outlineLevel="0" collapsed="false">
      <c r="A772" s="15" t="s">
        <v>599</v>
      </c>
      <c r="B772" s="15" t="s">
        <v>1915</v>
      </c>
      <c r="C772" s="15" t="s">
        <v>593</v>
      </c>
      <c r="D772" s="15" t="s">
        <v>2061</v>
      </c>
      <c r="E772" s="15" t="s">
        <v>3240</v>
      </c>
      <c r="F772" s="15" t="s">
        <v>2309</v>
      </c>
      <c r="G772" s="15" t="n">
        <v>3000</v>
      </c>
      <c r="H772" s="15" t="s">
        <v>166</v>
      </c>
    </row>
    <row r="773" customFormat="false" ht="15" hidden="false" customHeight="false" outlineLevel="0" collapsed="false">
      <c r="A773" s="15" t="s">
        <v>599</v>
      </c>
      <c r="B773" s="15" t="s">
        <v>1915</v>
      </c>
      <c r="C773" s="15" t="s">
        <v>475</v>
      </c>
      <c r="D773" s="15" t="s">
        <v>1965</v>
      </c>
      <c r="E773" s="15" t="s">
        <v>3241</v>
      </c>
      <c r="F773" s="15" t="s">
        <v>3242</v>
      </c>
      <c r="G773" s="15" t="n">
        <v>1000</v>
      </c>
      <c r="H773" s="15" t="s">
        <v>166</v>
      </c>
    </row>
    <row r="774" customFormat="false" ht="15" hidden="false" customHeight="false" outlineLevel="0" collapsed="false">
      <c r="A774" s="15" t="s">
        <v>599</v>
      </c>
      <c r="B774" s="15" t="s">
        <v>1915</v>
      </c>
      <c r="C774" s="15" t="s">
        <v>612</v>
      </c>
      <c r="D774" s="15" t="s">
        <v>2427</v>
      </c>
      <c r="E774" s="15" t="s">
        <v>3243</v>
      </c>
      <c r="F774" s="15" t="s">
        <v>3242</v>
      </c>
      <c r="G774" s="15" t="n">
        <v>1000</v>
      </c>
      <c r="H774" s="15" t="s">
        <v>166</v>
      </c>
    </row>
    <row r="775" customFormat="false" ht="15" hidden="false" customHeight="false" outlineLevel="0" collapsed="false">
      <c r="A775" s="15" t="s">
        <v>603</v>
      </c>
      <c r="B775" s="15" t="s">
        <v>1910</v>
      </c>
      <c r="C775" s="15" t="s">
        <v>2069</v>
      </c>
      <c r="D775" s="15" t="s">
        <v>2070</v>
      </c>
      <c r="E775" s="15" t="s">
        <v>3244</v>
      </c>
      <c r="F775" s="15" t="s">
        <v>3245</v>
      </c>
      <c r="G775" s="15" t="n">
        <v>250</v>
      </c>
      <c r="H775" s="15"/>
    </row>
    <row r="776" customFormat="false" ht="15" hidden="false" customHeight="false" outlineLevel="0" collapsed="false">
      <c r="A776" s="15" t="s">
        <v>603</v>
      </c>
      <c r="B776" s="15" t="s">
        <v>1910</v>
      </c>
      <c r="C776" s="15" t="s">
        <v>1921</v>
      </c>
      <c r="D776" s="15" t="s">
        <v>1922</v>
      </c>
      <c r="E776" s="15" t="s">
        <v>3246</v>
      </c>
      <c r="F776" s="15" t="s">
        <v>3247</v>
      </c>
      <c r="G776" s="15" t="n">
        <v>500</v>
      </c>
      <c r="H776" s="15"/>
    </row>
    <row r="777" customFormat="false" ht="15" hidden="false" customHeight="false" outlineLevel="0" collapsed="false">
      <c r="A777" s="15" t="s">
        <v>603</v>
      </c>
      <c r="B777" s="15" t="s">
        <v>1915</v>
      </c>
      <c r="C777" s="15" t="s">
        <v>593</v>
      </c>
      <c r="D777" s="15" t="s">
        <v>2061</v>
      </c>
      <c r="E777" s="15" t="s">
        <v>3248</v>
      </c>
      <c r="F777" s="15" t="s">
        <v>2508</v>
      </c>
      <c r="G777" s="15" t="n">
        <v>5000</v>
      </c>
      <c r="H777" s="15" t="s">
        <v>225</v>
      </c>
    </row>
    <row r="778" customFormat="false" ht="15" hidden="false" customHeight="false" outlineLevel="0" collapsed="false">
      <c r="A778" s="15" t="s">
        <v>606</v>
      </c>
      <c r="B778" s="15" t="s">
        <v>1910</v>
      </c>
      <c r="C778" s="15" t="s">
        <v>1992</v>
      </c>
      <c r="D778" s="15" t="s">
        <v>1993</v>
      </c>
      <c r="E778" s="15" t="s">
        <v>3249</v>
      </c>
      <c r="F778" s="15" t="s">
        <v>2097</v>
      </c>
      <c r="G778" s="15" t="n">
        <v>250</v>
      </c>
      <c r="H778" s="15"/>
    </row>
    <row r="779" customFormat="false" ht="15" hidden="false" customHeight="false" outlineLevel="0" collapsed="false">
      <c r="A779" s="15" t="s">
        <v>606</v>
      </c>
      <c r="B779" s="15" t="s">
        <v>1915</v>
      </c>
      <c r="C779" s="15" t="s">
        <v>593</v>
      </c>
      <c r="D779" s="15" t="s">
        <v>2061</v>
      </c>
      <c r="E779" s="15" t="s">
        <v>3250</v>
      </c>
      <c r="F779" s="15" t="s">
        <v>3085</v>
      </c>
      <c r="G779" s="15" t="n">
        <v>5000</v>
      </c>
      <c r="H779" s="15" t="s">
        <v>195</v>
      </c>
    </row>
    <row r="780" customFormat="false" ht="15" hidden="false" customHeight="false" outlineLevel="0" collapsed="false">
      <c r="A780" s="15" t="s">
        <v>610</v>
      </c>
      <c r="B780" s="15" t="s">
        <v>1910</v>
      </c>
      <c r="C780" s="15" t="s">
        <v>1992</v>
      </c>
      <c r="D780" s="15" t="s">
        <v>1993</v>
      </c>
      <c r="E780" s="15" t="s">
        <v>3251</v>
      </c>
      <c r="F780" s="15" t="s">
        <v>3252</v>
      </c>
      <c r="G780" s="15" t="n">
        <v>250</v>
      </c>
      <c r="H780" s="15"/>
    </row>
    <row r="781" customFormat="false" ht="15" hidden="false" customHeight="false" outlineLevel="0" collapsed="false">
      <c r="A781" s="15" t="s">
        <v>610</v>
      </c>
      <c r="B781" s="15" t="s">
        <v>1910</v>
      </c>
      <c r="C781" s="15" t="s">
        <v>1974</v>
      </c>
      <c r="D781" s="15" t="s">
        <v>1975</v>
      </c>
      <c r="E781" s="15" t="s">
        <v>3253</v>
      </c>
      <c r="F781" s="15" t="s">
        <v>2128</v>
      </c>
      <c r="G781" s="15" t="n">
        <v>250</v>
      </c>
      <c r="H781" s="15"/>
    </row>
    <row r="782" customFormat="false" ht="15" hidden="false" customHeight="false" outlineLevel="0" collapsed="false">
      <c r="A782" s="15" t="s">
        <v>610</v>
      </c>
      <c r="B782" s="15" t="s">
        <v>1910</v>
      </c>
      <c r="C782" s="15" t="s">
        <v>1921</v>
      </c>
      <c r="D782" s="15" t="s">
        <v>1922</v>
      </c>
      <c r="E782" s="15" t="s">
        <v>3254</v>
      </c>
      <c r="F782" s="15" t="s">
        <v>2128</v>
      </c>
      <c r="G782" s="15" t="n">
        <v>500</v>
      </c>
      <c r="H782" s="15"/>
    </row>
    <row r="783" customFormat="false" ht="15" hidden="false" customHeight="false" outlineLevel="0" collapsed="false">
      <c r="A783" s="15" t="s">
        <v>610</v>
      </c>
      <c r="B783" s="15" t="s">
        <v>1915</v>
      </c>
      <c r="C783" s="15" t="s">
        <v>612</v>
      </c>
      <c r="D783" s="15" t="s">
        <v>2427</v>
      </c>
      <c r="E783" s="15" t="s">
        <v>3255</v>
      </c>
      <c r="F783" s="15" t="s">
        <v>3256</v>
      </c>
      <c r="G783" s="15" t="n">
        <v>3000</v>
      </c>
      <c r="H783" s="15" t="s">
        <v>166</v>
      </c>
    </row>
    <row r="784" customFormat="false" ht="15" hidden="false" customHeight="false" outlineLevel="0" collapsed="false">
      <c r="A784" s="15" t="s">
        <v>615</v>
      </c>
      <c r="B784" s="15" t="s">
        <v>1910</v>
      </c>
      <c r="C784" s="15" t="s">
        <v>2069</v>
      </c>
      <c r="D784" s="15" t="s">
        <v>2070</v>
      </c>
      <c r="E784" s="15" t="s">
        <v>3257</v>
      </c>
      <c r="F784" s="15" t="s">
        <v>2135</v>
      </c>
      <c r="G784" s="15" t="n">
        <v>250</v>
      </c>
      <c r="H784" s="15"/>
    </row>
    <row r="785" customFormat="false" ht="15" hidden="false" customHeight="false" outlineLevel="0" collapsed="false">
      <c r="A785" s="15" t="s">
        <v>615</v>
      </c>
      <c r="B785" s="15" t="s">
        <v>1910</v>
      </c>
      <c r="C785" s="15" t="s">
        <v>2069</v>
      </c>
      <c r="D785" s="15" t="s">
        <v>2070</v>
      </c>
      <c r="E785" s="15" t="s">
        <v>3258</v>
      </c>
      <c r="F785" s="15" t="s">
        <v>3259</v>
      </c>
      <c r="G785" s="15" t="n">
        <v>250</v>
      </c>
      <c r="H785" s="15"/>
    </row>
    <row r="786" customFormat="false" ht="15" hidden="false" customHeight="false" outlineLevel="0" collapsed="false">
      <c r="A786" s="15" t="s">
        <v>615</v>
      </c>
      <c r="B786" s="15" t="s">
        <v>1910</v>
      </c>
      <c r="C786" s="15" t="s">
        <v>2069</v>
      </c>
      <c r="D786" s="15" t="s">
        <v>2070</v>
      </c>
      <c r="E786" s="15" t="s">
        <v>3260</v>
      </c>
      <c r="F786" s="15" t="s">
        <v>3261</v>
      </c>
      <c r="G786" s="15" t="n">
        <v>250</v>
      </c>
      <c r="H786" s="15"/>
    </row>
    <row r="787" customFormat="false" ht="15" hidden="false" customHeight="false" outlineLevel="0" collapsed="false">
      <c r="A787" s="15" t="s">
        <v>615</v>
      </c>
      <c r="B787" s="15" t="s">
        <v>1910</v>
      </c>
      <c r="C787" s="15" t="s">
        <v>2069</v>
      </c>
      <c r="D787" s="15" t="s">
        <v>2070</v>
      </c>
      <c r="E787" s="15" t="s">
        <v>3262</v>
      </c>
      <c r="F787" s="15" t="s">
        <v>3194</v>
      </c>
      <c r="G787" s="15" t="n">
        <v>250</v>
      </c>
      <c r="H787" s="15"/>
    </row>
    <row r="788" customFormat="false" ht="15" hidden="false" customHeight="false" outlineLevel="0" collapsed="false">
      <c r="A788" s="15" t="s">
        <v>615</v>
      </c>
      <c r="B788" s="15" t="s">
        <v>1910</v>
      </c>
      <c r="C788" s="15" t="s">
        <v>2069</v>
      </c>
      <c r="D788" s="15" t="s">
        <v>2070</v>
      </c>
      <c r="E788" s="15" t="s">
        <v>3263</v>
      </c>
      <c r="F788" s="15" t="s">
        <v>2931</v>
      </c>
      <c r="G788" s="15" t="n">
        <v>250</v>
      </c>
      <c r="H788" s="15"/>
    </row>
    <row r="789" customFormat="false" ht="15" hidden="false" customHeight="false" outlineLevel="0" collapsed="false">
      <c r="A789" s="15" t="s">
        <v>615</v>
      </c>
      <c r="B789" s="15" t="s">
        <v>1915</v>
      </c>
      <c r="C789" s="15" t="s">
        <v>475</v>
      </c>
      <c r="D789" s="15" t="s">
        <v>1965</v>
      </c>
      <c r="E789" s="15" t="s">
        <v>3264</v>
      </c>
      <c r="F789" s="15" t="s">
        <v>3265</v>
      </c>
      <c r="G789" s="15" t="n">
        <v>250</v>
      </c>
      <c r="H789" s="15" t="s">
        <v>166</v>
      </c>
    </row>
    <row r="790" customFormat="false" ht="15" hidden="false" customHeight="false" outlineLevel="0" collapsed="false">
      <c r="A790" s="15" t="s">
        <v>615</v>
      </c>
      <c r="B790" s="15" t="s">
        <v>1915</v>
      </c>
      <c r="C790" s="15" t="s">
        <v>475</v>
      </c>
      <c r="D790" s="15" t="s">
        <v>1965</v>
      </c>
      <c r="E790" s="15" t="s">
        <v>3266</v>
      </c>
      <c r="F790" s="15" t="s">
        <v>3267</v>
      </c>
      <c r="G790" s="15" t="n">
        <v>250</v>
      </c>
      <c r="H790" s="15" t="s">
        <v>166</v>
      </c>
    </row>
    <row r="791" customFormat="false" ht="15" hidden="false" customHeight="false" outlineLevel="0" collapsed="false">
      <c r="A791" s="15" t="s">
        <v>615</v>
      </c>
      <c r="B791" s="15" t="s">
        <v>1915</v>
      </c>
      <c r="C791" s="15" t="s">
        <v>475</v>
      </c>
      <c r="D791" s="15" t="s">
        <v>1965</v>
      </c>
      <c r="E791" s="15" t="s">
        <v>3268</v>
      </c>
      <c r="F791" s="15" t="s">
        <v>2052</v>
      </c>
      <c r="G791" s="15" t="n">
        <v>250</v>
      </c>
      <c r="H791" s="15" t="s">
        <v>166</v>
      </c>
    </row>
    <row r="792" customFormat="false" ht="15" hidden="false" customHeight="false" outlineLevel="0" collapsed="false">
      <c r="A792" s="15" t="s">
        <v>618</v>
      </c>
      <c r="B792" s="15" t="s">
        <v>1910</v>
      </c>
      <c r="C792" s="15" t="s">
        <v>1970</v>
      </c>
      <c r="D792" s="15" t="s">
        <v>1971</v>
      </c>
      <c r="E792" s="15" t="s">
        <v>3269</v>
      </c>
      <c r="F792" s="15" t="s">
        <v>3270</v>
      </c>
      <c r="G792" s="15" t="n">
        <v>250</v>
      </c>
      <c r="H792" s="15"/>
    </row>
    <row r="793" customFormat="false" ht="15" hidden="false" customHeight="false" outlineLevel="0" collapsed="false">
      <c r="A793" s="15" t="s">
        <v>618</v>
      </c>
      <c r="B793" s="15" t="s">
        <v>1910</v>
      </c>
      <c r="C793" s="15" t="s">
        <v>1970</v>
      </c>
      <c r="D793" s="15" t="s">
        <v>1971</v>
      </c>
      <c r="E793" s="15" t="s">
        <v>3271</v>
      </c>
      <c r="F793" s="15" t="s">
        <v>3272</v>
      </c>
      <c r="G793" s="15" t="n">
        <v>250</v>
      </c>
      <c r="H793" s="15"/>
    </row>
    <row r="794" customFormat="false" ht="15" hidden="false" customHeight="false" outlineLevel="0" collapsed="false">
      <c r="A794" s="15" t="s">
        <v>618</v>
      </c>
      <c r="B794" s="15" t="s">
        <v>1910</v>
      </c>
      <c r="C794" s="15" t="s">
        <v>1970</v>
      </c>
      <c r="D794" s="15" t="s">
        <v>1971</v>
      </c>
      <c r="E794" s="15" t="s">
        <v>3273</v>
      </c>
      <c r="F794" s="15" t="s">
        <v>2052</v>
      </c>
      <c r="G794" s="15" t="n">
        <v>250</v>
      </c>
      <c r="H794" s="15"/>
    </row>
    <row r="795" customFormat="false" ht="15" hidden="false" customHeight="false" outlineLevel="0" collapsed="false">
      <c r="A795" s="15" t="s">
        <v>618</v>
      </c>
      <c r="B795" s="15" t="s">
        <v>1915</v>
      </c>
      <c r="C795" s="15" t="s">
        <v>475</v>
      </c>
      <c r="D795" s="15" t="s">
        <v>1965</v>
      </c>
      <c r="E795" s="15" t="s">
        <v>3274</v>
      </c>
      <c r="F795" s="15" t="s">
        <v>1969</v>
      </c>
      <c r="G795" s="15" t="n">
        <v>3000</v>
      </c>
      <c r="H795" s="15" t="s">
        <v>166</v>
      </c>
    </row>
    <row r="796" customFormat="false" ht="15" hidden="false" customHeight="false" outlineLevel="0" collapsed="false">
      <c r="A796" s="15" t="s">
        <v>621</v>
      </c>
      <c r="B796" s="15" t="s">
        <v>1910</v>
      </c>
      <c r="C796" s="15" t="s">
        <v>1911</v>
      </c>
      <c r="D796" s="15" t="s">
        <v>1912</v>
      </c>
      <c r="E796" s="15" t="s">
        <v>3275</v>
      </c>
      <c r="F796" s="15" t="s">
        <v>2903</v>
      </c>
      <c r="G796" s="15" t="n">
        <v>250</v>
      </c>
      <c r="H796" s="15"/>
    </row>
    <row r="797" customFormat="false" ht="15" hidden="false" customHeight="false" outlineLevel="0" collapsed="false">
      <c r="A797" s="15" t="s">
        <v>621</v>
      </c>
      <c r="B797" s="15" t="s">
        <v>1910</v>
      </c>
      <c r="C797" s="15" t="s">
        <v>1970</v>
      </c>
      <c r="D797" s="15" t="s">
        <v>1971</v>
      </c>
      <c r="E797" s="15" t="s">
        <v>3276</v>
      </c>
      <c r="F797" s="15" t="s">
        <v>2903</v>
      </c>
      <c r="G797" s="15" t="n">
        <v>250</v>
      </c>
      <c r="H797" s="15"/>
    </row>
    <row r="798" customFormat="false" ht="15" hidden="false" customHeight="false" outlineLevel="0" collapsed="false">
      <c r="A798" s="15" t="s">
        <v>621</v>
      </c>
      <c r="B798" s="15" t="s">
        <v>1910</v>
      </c>
      <c r="C798" s="15" t="s">
        <v>1974</v>
      </c>
      <c r="D798" s="15" t="s">
        <v>1975</v>
      </c>
      <c r="E798" s="15" t="s">
        <v>3277</v>
      </c>
      <c r="F798" s="15" t="s">
        <v>2903</v>
      </c>
      <c r="G798" s="15" t="n">
        <v>250</v>
      </c>
      <c r="H798" s="15"/>
    </row>
    <row r="799" customFormat="false" ht="15" hidden="false" customHeight="false" outlineLevel="0" collapsed="false">
      <c r="A799" s="15" t="s">
        <v>621</v>
      </c>
      <c r="B799" s="15" t="s">
        <v>1910</v>
      </c>
      <c r="C799" s="15" t="s">
        <v>1974</v>
      </c>
      <c r="D799" s="15" t="s">
        <v>1975</v>
      </c>
      <c r="E799" s="15" t="s">
        <v>3278</v>
      </c>
      <c r="F799" s="15" t="s">
        <v>3279</v>
      </c>
      <c r="G799" s="15" t="n">
        <v>250</v>
      </c>
      <c r="H799" s="15"/>
    </row>
    <row r="800" customFormat="false" ht="15" hidden="false" customHeight="false" outlineLevel="0" collapsed="false">
      <c r="A800" s="15" t="s">
        <v>621</v>
      </c>
      <c r="B800" s="15" t="s">
        <v>1910</v>
      </c>
      <c r="C800" s="15" t="s">
        <v>2069</v>
      </c>
      <c r="D800" s="15" t="s">
        <v>2070</v>
      </c>
      <c r="E800" s="15" t="s">
        <v>3280</v>
      </c>
      <c r="F800" s="15" t="s">
        <v>3281</v>
      </c>
      <c r="G800" s="15" t="n">
        <v>250</v>
      </c>
      <c r="H800" s="15"/>
    </row>
    <row r="801" customFormat="false" ht="15" hidden="false" customHeight="false" outlineLevel="0" collapsed="false">
      <c r="A801" s="15" t="s">
        <v>621</v>
      </c>
      <c r="B801" s="15" t="s">
        <v>1910</v>
      </c>
      <c r="C801" s="15" t="s">
        <v>1921</v>
      </c>
      <c r="D801" s="15" t="s">
        <v>1922</v>
      </c>
      <c r="E801" s="15" t="s">
        <v>3282</v>
      </c>
      <c r="F801" s="15" t="s">
        <v>3283</v>
      </c>
      <c r="G801" s="15" t="n">
        <v>500</v>
      </c>
      <c r="H801" s="15"/>
    </row>
    <row r="802" customFormat="false" ht="15" hidden="false" customHeight="false" outlineLevel="0" collapsed="false">
      <c r="A802" s="15" t="s">
        <v>621</v>
      </c>
      <c r="B802" s="15" t="s">
        <v>1915</v>
      </c>
      <c r="C802" s="15" t="s">
        <v>475</v>
      </c>
      <c r="D802" s="15" t="s">
        <v>1965</v>
      </c>
      <c r="E802" s="15" t="s">
        <v>3284</v>
      </c>
      <c r="F802" s="15" t="s">
        <v>3194</v>
      </c>
      <c r="G802" s="15" t="n">
        <v>250</v>
      </c>
      <c r="H802" s="15" t="s">
        <v>166</v>
      </c>
    </row>
    <row r="803" customFormat="false" ht="15" hidden="false" customHeight="false" outlineLevel="0" collapsed="false">
      <c r="A803" s="15" t="s">
        <v>621</v>
      </c>
      <c r="B803" s="15" t="s">
        <v>1915</v>
      </c>
      <c r="C803" s="15" t="s">
        <v>475</v>
      </c>
      <c r="D803" s="15" t="s">
        <v>1965</v>
      </c>
      <c r="E803" s="15" t="s">
        <v>3285</v>
      </c>
      <c r="F803" s="15" t="s">
        <v>3194</v>
      </c>
      <c r="G803" s="15" t="n">
        <v>250</v>
      </c>
      <c r="H803" s="15" t="s">
        <v>166</v>
      </c>
    </row>
    <row r="804" customFormat="false" ht="15" hidden="false" customHeight="false" outlineLevel="0" collapsed="false">
      <c r="A804" s="15" t="s">
        <v>624</v>
      </c>
      <c r="B804" s="15" t="s">
        <v>1910</v>
      </c>
      <c r="C804" s="15" t="s">
        <v>1970</v>
      </c>
      <c r="D804" s="15" t="s">
        <v>1971</v>
      </c>
      <c r="E804" s="15" t="s">
        <v>3286</v>
      </c>
      <c r="F804" s="15" t="s">
        <v>3287</v>
      </c>
      <c r="G804" s="15" t="n">
        <v>250</v>
      </c>
      <c r="H804" s="15"/>
    </row>
    <row r="805" customFormat="false" ht="15" hidden="false" customHeight="false" outlineLevel="0" collapsed="false">
      <c r="A805" s="15" t="s">
        <v>624</v>
      </c>
      <c r="B805" s="15" t="s">
        <v>1910</v>
      </c>
      <c r="C805" s="15" t="s">
        <v>1974</v>
      </c>
      <c r="D805" s="15" t="s">
        <v>1975</v>
      </c>
      <c r="E805" s="15" t="s">
        <v>3288</v>
      </c>
      <c r="F805" s="15" t="s">
        <v>3287</v>
      </c>
      <c r="G805" s="15" t="n">
        <v>250</v>
      </c>
      <c r="H805" s="15"/>
    </row>
    <row r="806" customFormat="false" ht="15" hidden="false" customHeight="false" outlineLevel="0" collapsed="false">
      <c r="A806" s="15" t="s">
        <v>624</v>
      </c>
      <c r="B806" s="15" t="s">
        <v>1910</v>
      </c>
      <c r="C806" s="15" t="s">
        <v>2069</v>
      </c>
      <c r="D806" s="15" t="s">
        <v>2070</v>
      </c>
      <c r="E806" s="15" t="s">
        <v>3289</v>
      </c>
      <c r="F806" s="15" t="s">
        <v>3290</v>
      </c>
      <c r="G806" s="15" t="n">
        <v>250</v>
      </c>
      <c r="H806" s="15"/>
    </row>
    <row r="807" customFormat="false" ht="15" hidden="false" customHeight="false" outlineLevel="0" collapsed="false">
      <c r="A807" s="15" t="s">
        <v>624</v>
      </c>
      <c r="B807" s="15" t="s">
        <v>1915</v>
      </c>
      <c r="C807" s="15" t="s">
        <v>475</v>
      </c>
      <c r="D807" s="15" t="s">
        <v>1965</v>
      </c>
      <c r="E807" s="15" t="s">
        <v>3291</v>
      </c>
      <c r="F807" s="15" t="s">
        <v>3194</v>
      </c>
      <c r="G807" s="15" t="n">
        <v>250</v>
      </c>
      <c r="H807" s="15" t="s">
        <v>166</v>
      </c>
    </row>
    <row r="808" customFormat="false" ht="15" hidden="false" customHeight="false" outlineLevel="0" collapsed="false">
      <c r="A808" s="15" t="s">
        <v>627</v>
      </c>
      <c r="B808" s="15" t="s">
        <v>1910</v>
      </c>
      <c r="C808" s="15" t="s">
        <v>2069</v>
      </c>
      <c r="D808" s="15" t="s">
        <v>2070</v>
      </c>
      <c r="E808" s="15" t="s">
        <v>3292</v>
      </c>
      <c r="F808" s="15" t="s">
        <v>3293</v>
      </c>
      <c r="G808" s="15" t="n">
        <v>250</v>
      </c>
      <c r="H808" s="15"/>
    </row>
    <row r="809" customFormat="false" ht="15" hidden="false" customHeight="false" outlineLevel="0" collapsed="false">
      <c r="A809" s="15" t="s">
        <v>627</v>
      </c>
      <c r="B809" s="15" t="s">
        <v>1910</v>
      </c>
      <c r="C809" s="15" t="s">
        <v>2069</v>
      </c>
      <c r="D809" s="15" t="s">
        <v>2070</v>
      </c>
      <c r="E809" s="15" t="s">
        <v>3294</v>
      </c>
      <c r="F809" s="15" t="s">
        <v>2641</v>
      </c>
      <c r="G809" s="15" t="n">
        <v>250</v>
      </c>
      <c r="H809" s="15"/>
    </row>
    <row r="810" customFormat="false" ht="15" hidden="false" customHeight="false" outlineLevel="0" collapsed="false">
      <c r="A810" s="15" t="s">
        <v>627</v>
      </c>
      <c r="B810" s="15" t="s">
        <v>1915</v>
      </c>
      <c r="C810" s="15" t="s">
        <v>475</v>
      </c>
      <c r="D810" s="15" t="s">
        <v>1965</v>
      </c>
      <c r="E810" s="15" t="s">
        <v>3295</v>
      </c>
      <c r="F810" s="15" t="s">
        <v>3296</v>
      </c>
      <c r="G810" s="15" t="n">
        <v>250</v>
      </c>
      <c r="H810" s="15" t="s">
        <v>166</v>
      </c>
    </row>
    <row r="811" customFormat="false" ht="15" hidden="false" customHeight="false" outlineLevel="0" collapsed="false">
      <c r="A811" s="15" t="s">
        <v>627</v>
      </c>
      <c r="B811" s="15" t="s">
        <v>1915</v>
      </c>
      <c r="C811" s="15" t="s">
        <v>475</v>
      </c>
      <c r="D811" s="15" t="s">
        <v>1965</v>
      </c>
      <c r="E811" s="15" t="s">
        <v>3297</v>
      </c>
      <c r="F811" s="15" t="s">
        <v>2494</v>
      </c>
      <c r="G811" s="15" t="n">
        <v>250</v>
      </c>
      <c r="H811" s="15" t="s">
        <v>166</v>
      </c>
    </row>
    <row r="812" customFormat="false" ht="15" hidden="false" customHeight="false" outlineLevel="0" collapsed="false">
      <c r="A812" s="15" t="s">
        <v>630</v>
      </c>
      <c r="B812" s="15" t="s">
        <v>1910</v>
      </c>
      <c r="C812" s="15" t="s">
        <v>1992</v>
      </c>
      <c r="D812" s="15" t="s">
        <v>1993</v>
      </c>
      <c r="E812" s="15" t="s">
        <v>3298</v>
      </c>
      <c r="F812" s="15" t="s">
        <v>2097</v>
      </c>
      <c r="G812" s="15" t="n">
        <v>250</v>
      </c>
      <c r="H812" s="15"/>
    </row>
    <row r="813" customFormat="false" ht="15" hidden="false" customHeight="false" outlineLevel="0" collapsed="false">
      <c r="A813" s="15" t="s">
        <v>630</v>
      </c>
      <c r="B813" s="15" t="s">
        <v>1910</v>
      </c>
      <c r="C813" s="15" t="s">
        <v>1921</v>
      </c>
      <c r="D813" s="15" t="s">
        <v>1922</v>
      </c>
      <c r="E813" s="15" t="s">
        <v>3299</v>
      </c>
      <c r="F813" s="15" t="s">
        <v>1924</v>
      </c>
      <c r="G813" s="15" t="n">
        <v>500</v>
      </c>
      <c r="H813" s="15"/>
    </row>
    <row r="814" customFormat="false" ht="15" hidden="false" customHeight="false" outlineLevel="0" collapsed="false">
      <c r="A814" s="15" t="s">
        <v>630</v>
      </c>
      <c r="B814" s="15" t="s">
        <v>1915</v>
      </c>
      <c r="C814" s="15" t="s">
        <v>475</v>
      </c>
      <c r="D814" s="15" t="s">
        <v>1965</v>
      </c>
      <c r="E814" s="15" t="s">
        <v>3300</v>
      </c>
      <c r="F814" s="15" t="s">
        <v>2226</v>
      </c>
      <c r="G814" s="15" t="n">
        <v>250</v>
      </c>
      <c r="H814" s="15" t="s">
        <v>166</v>
      </c>
    </row>
    <row r="815" customFormat="false" ht="15" hidden="false" customHeight="false" outlineLevel="0" collapsed="false">
      <c r="A815" s="15" t="s">
        <v>633</v>
      </c>
      <c r="B815" s="15" t="s">
        <v>1910</v>
      </c>
      <c r="C815" s="15" t="s">
        <v>1921</v>
      </c>
      <c r="D815" s="15" t="s">
        <v>1922</v>
      </c>
      <c r="E815" s="15" t="s">
        <v>3301</v>
      </c>
      <c r="F815" s="15" t="s">
        <v>3302</v>
      </c>
      <c r="G815" s="15" t="n">
        <v>250</v>
      </c>
      <c r="H815" s="15"/>
    </row>
    <row r="816" customFormat="false" ht="15" hidden="false" customHeight="false" outlineLevel="0" collapsed="false">
      <c r="A816" s="15" t="s">
        <v>633</v>
      </c>
      <c r="B816" s="15" t="s">
        <v>1915</v>
      </c>
      <c r="C816" s="15" t="s">
        <v>475</v>
      </c>
      <c r="D816" s="15" t="s">
        <v>1965</v>
      </c>
      <c r="E816" s="15" t="s">
        <v>3303</v>
      </c>
      <c r="F816" s="15" t="s">
        <v>1995</v>
      </c>
      <c r="G816" s="15" t="n">
        <v>250</v>
      </c>
      <c r="H816" s="15" t="s">
        <v>166</v>
      </c>
    </row>
    <row r="817" customFormat="false" ht="15" hidden="false" customHeight="false" outlineLevel="0" collapsed="false">
      <c r="A817" s="15" t="s">
        <v>636</v>
      </c>
      <c r="B817" s="15" t="s">
        <v>1910</v>
      </c>
      <c r="C817" s="15" t="s">
        <v>2069</v>
      </c>
      <c r="D817" s="15" t="s">
        <v>2070</v>
      </c>
      <c r="E817" s="15" t="s">
        <v>3304</v>
      </c>
      <c r="F817" s="15" t="s">
        <v>3305</v>
      </c>
      <c r="G817" s="15" t="n">
        <v>250</v>
      </c>
      <c r="H817" s="15"/>
    </row>
    <row r="818" customFormat="false" ht="15" hidden="false" customHeight="false" outlineLevel="0" collapsed="false">
      <c r="A818" s="15" t="s">
        <v>636</v>
      </c>
      <c r="B818" s="15" t="s">
        <v>1910</v>
      </c>
      <c r="C818" s="15" t="s">
        <v>2069</v>
      </c>
      <c r="D818" s="15" t="s">
        <v>2070</v>
      </c>
      <c r="E818" s="15" t="s">
        <v>3306</v>
      </c>
      <c r="F818" s="15" t="s">
        <v>3305</v>
      </c>
      <c r="G818" s="15" t="n">
        <v>250</v>
      </c>
      <c r="H818" s="15"/>
    </row>
    <row r="819" customFormat="false" ht="15" hidden="false" customHeight="false" outlineLevel="0" collapsed="false">
      <c r="A819" s="15" t="s">
        <v>636</v>
      </c>
      <c r="B819" s="15" t="s">
        <v>1910</v>
      </c>
      <c r="C819" s="15" t="s">
        <v>2069</v>
      </c>
      <c r="D819" s="15" t="s">
        <v>2070</v>
      </c>
      <c r="E819" s="15" t="s">
        <v>3307</v>
      </c>
      <c r="F819" s="15" t="s">
        <v>3308</v>
      </c>
      <c r="G819" s="15" t="n">
        <v>250</v>
      </c>
      <c r="H819" s="15"/>
    </row>
    <row r="820" customFormat="false" ht="15" hidden="false" customHeight="false" outlineLevel="0" collapsed="false">
      <c r="A820" s="15" t="s">
        <v>636</v>
      </c>
      <c r="B820" s="15" t="s">
        <v>1910</v>
      </c>
      <c r="C820" s="15" t="s">
        <v>2069</v>
      </c>
      <c r="D820" s="15" t="s">
        <v>2070</v>
      </c>
      <c r="E820" s="15" t="s">
        <v>3309</v>
      </c>
      <c r="F820" s="15" t="s">
        <v>2135</v>
      </c>
      <c r="G820" s="15" t="n">
        <v>250</v>
      </c>
      <c r="H820" s="15"/>
    </row>
    <row r="821" customFormat="false" ht="15" hidden="false" customHeight="false" outlineLevel="0" collapsed="false">
      <c r="A821" s="15" t="s">
        <v>636</v>
      </c>
      <c r="B821" s="15" t="s">
        <v>1910</v>
      </c>
      <c r="C821" s="15" t="s">
        <v>2069</v>
      </c>
      <c r="D821" s="15" t="s">
        <v>2070</v>
      </c>
      <c r="E821" s="15" t="s">
        <v>3310</v>
      </c>
      <c r="F821" s="15" t="s">
        <v>3259</v>
      </c>
      <c r="G821" s="15" t="n">
        <v>250</v>
      </c>
      <c r="H821" s="15"/>
    </row>
    <row r="822" customFormat="false" ht="15" hidden="false" customHeight="false" outlineLevel="0" collapsed="false">
      <c r="A822" s="15" t="s">
        <v>636</v>
      </c>
      <c r="B822" s="15" t="s">
        <v>1910</v>
      </c>
      <c r="C822" s="15" t="s">
        <v>2069</v>
      </c>
      <c r="D822" s="15" t="s">
        <v>2070</v>
      </c>
      <c r="E822" s="15" t="s">
        <v>3311</v>
      </c>
      <c r="F822" s="15" t="s">
        <v>3261</v>
      </c>
      <c r="G822" s="15" t="n">
        <v>250</v>
      </c>
      <c r="H822" s="15"/>
    </row>
    <row r="823" customFormat="false" ht="15" hidden="false" customHeight="false" outlineLevel="0" collapsed="false">
      <c r="A823" s="15" t="s">
        <v>636</v>
      </c>
      <c r="B823" s="15" t="s">
        <v>1910</v>
      </c>
      <c r="C823" s="15" t="s">
        <v>2069</v>
      </c>
      <c r="D823" s="15" t="s">
        <v>2070</v>
      </c>
      <c r="E823" s="15" t="s">
        <v>3312</v>
      </c>
      <c r="F823" s="15" t="s">
        <v>3313</v>
      </c>
      <c r="G823" s="15" t="n">
        <v>250</v>
      </c>
      <c r="H823" s="15"/>
    </row>
    <row r="824" customFormat="false" ht="15" hidden="false" customHeight="false" outlineLevel="0" collapsed="false">
      <c r="A824" s="15" t="s">
        <v>636</v>
      </c>
      <c r="B824" s="15" t="s">
        <v>1910</v>
      </c>
      <c r="C824" s="15" t="s">
        <v>2069</v>
      </c>
      <c r="D824" s="15" t="s">
        <v>2070</v>
      </c>
      <c r="E824" s="15" t="s">
        <v>3314</v>
      </c>
      <c r="F824" s="15" t="s">
        <v>3194</v>
      </c>
      <c r="G824" s="15" t="n">
        <v>250</v>
      </c>
      <c r="H824" s="15"/>
    </row>
    <row r="825" customFormat="false" ht="15" hidden="false" customHeight="false" outlineLevel="0" collapsed="false">
      <c r="A825" s="15" t="s">
        <v>636</v>
      </c>
      <c r="B825" s="15" t="s">
        <v>1910</v>
      </c>
      <c r="C825" s="15" t="s">
        <v>2069</v>
      </c>
      <c r="D825" s="15" t="s">
        <v>2070</v>
      </c>
      <c r="E825" s="15" t="s">
        <v>3315</v>
      </c>
      <c r="F825" s="15" t="s">
        <v>2494</v>
      </c>
      <c r="G825" s="15" t="n">
        <v>250</v>
      </c>
      <c r="H825" s="15"/>
    </row>
    <row r="826" customFormat="false" ht="15" hidden="false" customHeight="false" outlineLevel="0" collapsed="false">
      <c r="A826" s="15" t="s">
        <v>636</v>
      </c>
      <c r="B826" s="15" t="s">
        <v>1910</v>
      </c>
      <c r="C826" s="15" t="s">
        <v>2069</v>
      </c>
      <c r="D826" s="15" t="s">
        <v>2070</v>
      </c>
      <c r="E826" s="15" t="s">
        <v>3316</v>
      </c>
      <c r="F826" s="15" t="s">
        <v>2931</v>
      </c>
      <c r="G826" s="15" t="n">
        <v>250</v>
      </c>
      <c r="H826" s="15"/>
    </row>
    <row r="827" customFormat="false" ht="15" hidden="false" customHeight="false" outlineLevel="0" collapsed="false">
      <c r="A827" s="15" t="s">
        <v>636</v>
      </c>
      <c r="B827" s="15" t="s">
        <v>1915</v>
      </c>
      <c r="C827" s="15" t="s">
        <v>475</v>
      </c>
      <c r="D827" s="15" t="s">
        <v>1965</v>
      </c>
      <c r="E827" s="15" t="s">
        <v>3317</v>
      </c>
      <c r="F827" s="15" t="s">
        <v>2524</v>
      </c>
      <c r="G827" s="15" t="n">
        <v>250</v>
      </c>
      <c r="H827" s="15" t="s">
        <v>166</v>
      </c>
    </row>
    <row r="828" customFormat="false" ht="15" hidden="false" customHeight="false" outlineLevel="0" collapsed="false">
      <c r="A828" s="15" t="s">
        <v>636</v>
      </c>
      <c r="B828" s="15" t="s">
        <v>1915</v>
      </c>
      <c r="C828" s="15" t="s">
        <v>475</v>
      </c>
      <c r="D828" s="15" t="s">
        <v>1965</v>
      </c>
      <c r="E828" s="15" t="s">
        <v>3318</v>
      </c>
      <c r="F828" s="15" t="s">
        <v>3319</v>
      </c>
      <c r="G828" s="15" t="n">
        <v>250</v>
      </c>
      <c r="H828" s="15" t="s">
        <v>166</v>
      </c>
    </row>
    <row r="829" customFormat="false" ht="15" hidden="false" customHeight="false" outlineLevel="0" collapsed="false">
      <c r="A829" s="15" t="s">
        <v>639</v>
      </c>
      <c r="B829" s="15" t="s">
        <v>1910</v>
      </c>
      <c r="C829" s="15" t="s">
        <v>1921</v>
      </c>
      <c r="D829" s="15" t="s">
        <v>1922</v>
      </c>
      <c r="E829" s="15" t="s">
        <v>3320</v>
      </c>
      <c r="F829" s="15" t="s">
        <v>2541</v>
      </c>
      <c r="G829" s="15" t="n">
        <v>500</v>
      </c>
      <c r="H829" s="15"/>
    </row>
    <row r="830" customFormat="false" ht="15" hidden="false" customHeight="false" outlineLevel="0" collapsed="false">
      <c r="A830" s="15" t="s">
        <v>639</v>
      </c>
      <c r="B830" s="15" t="s">
        <v>1910</v>
      </c>
      <c r="C830" s="15" t="s">
        <v>1921</v>
      </c>
      <c r="D830" s="15" t="s">
        <v>1922</v>
      </c>
      <c r="E830" s="15" t="s">
        <v>3321</v>
      </c>
      <c r="F830" s="15" t="s">
        <v>3090</v>
      </c>
      <c r="G830" s="15" t="n">
        <v>500</v>
      </c>
      <c r="H830" s="15"/>
    </row>
    <row r="831" customFormat="false" ht="15" hidden="false" customHeight="false" outlineLevel="0" collapsed="false">
      <c r="A831" s="15" t="s">
        <v>639</v>
      </c>
      <c r="B831" s="15" t="s">
        <v>1915</v>
      </c>
      <c r="C831" s="15" t="s">
        <v>475</v>
      </c>
      <c r="D831" s="15" t="s">
        <v>1965</v>
      </c>
      <c r="E831" s="15" t="s">
        <v>3322</v>
      </c>
      <c r="F831" s="15" t="s">
        <v>3162</v>
      </c>
      <c r="G831" s="15" t="n">
        <v>500</v>
      </c>
      <c r="H831" s="15" t="s">
        <v>166</v>
      </c>
    </row>
    <row r="832" customFormat="false" ht="15" hidden="false" customHeight="false" outlineLevel="0" collapsed="false">
      <c r="A832" s="15" t="s">
        <v>642</v>
      </c>
      <c r="B832" s="15" t="s">
        <v>1910</v>
      </c>
      <c r="C832" s="15" t="s">
        <v>1970</v>
      </c>
      <c r="D832" s="15" t="s">
        <v>1971</v>
      </c>
      <c r="E832" s="15" t="s">
        <v>3323</v>
      </c>
      <c r="F832" s="15" t="s">
        <v>2054</v>
      </c>
      <c r="G832" s="15" t="n">
        <v>250</v>
      </c>
      <c r="H832" s="15"/>
    </row>
    <row r="833" customFormat="false" ht="15" hidden="false" customHeight="false" outlineLevel="0" collapsed="false">
      <c r="A833" s="15" t="s">
        <v>642</v>
      </c>
      <c r="B833" s="15" t="s">
        <v>1910</v>
      </c>
      <c r="C833" s="15" t="s">
        <v>2069</v>
      </c>
      <c r="D833" s="15" t="s">
        <v>2070</v>
      </c>
      <c r="E833" s="15" t="s">
        <v>3324</v>
      </c>
      <c r="F833" s="15" t="s">
        <v>1998</v>
      </c>
      <c r="G833" s="15" t="n">
        <v>250</v>
      </c>
      <c r="H833" s="15"/>
    </row>
    <row r="834" customFormat="false" ht="15" hidden="false" customHeight="false" outlineLevel="0" collapsed="false">
      <c r="A834" s="15" t="s">
        <v>642</v>
      </c>
      <c r="B834" s="15" t="s">
        <v>1910</v>
      </c>
      <c r="C834" s="15" t="s">
        <v>2069</v>
      </c>
      <c r="D834" s="15" t="s">
        <v>2070</v>
      </c>
      <c r="E834" s="15" t="s">
        <v>3325</v>
      </c>
      <c r="F834" s="15" t="s">
        <v>3326</v>
      </c>
      <c r="G834" s="15" t="n">
        <v>250</v>
      </c>
      <c r="H834" s="15"/>
    </row>
    <row r="835" customFormat="false" ht="15" hidden="false" customHeight="false" outlineLevel="0" collapsed="false">
      <c r="A835" s="15" t="s">
        <v>642</v>
      </c>
      <c r="B835" s="15" t="s">
        <v>1915</v>
      </c>
      <c r="C835" s="15" t="s">
        <v>475</v>
      </c>
      <c r="D835" s="15" t="s">
        <v>1965</v>
      </c>
      <c r="E835" s="15" t="s">
        <v>3327</v>
      </c>
      <c r="F835" s="15" t="s">
        <v>3162</v>
      </c>
      <c r="G835" s="15" t="n">
        <v>250</v>
      </c>
      <c r="H835" s="15" t="s">
        <v>166</v>
      </c>
    </row>
    <row r="836" customFormat="false" ht="15" hidden="false" customHeight="false" outlineLevel="0" collapsed="false">
      <c r="A836" s="15" t="s">
        <v>646</v>
      </c>
      <c r="B836" s="15" t="s">
        <v>1910</v>
      </c>
      <c r="C836" s="15" t="s">
        <v>1992</v>
      </c>
      <c r="D836" s="15" t="s">
        <v>1993</v>
      </c>
      <c r="E836" s="15" t="s">
        <v>3328</v>
      </c>
      <c r="F836" s="15" t="s">
        <v>3329</v>
      </c>
      <c r="G836" s="15" t="n">
        <v>250</v>
      </c>
      <c r="H836" s="15"/>
    </row>
    <row r="837" customFormat="false" ht="15" hidden="false" customHeight="false" outlineLevel="0" collapsed="false">
      <c r="A837" s="15" t="s">
        <v>646</v>
      </c>
      <c r="B837" s="15" t="s">
        <v>1915</v>
      </c>
      <c r="C837" s="15" t="s">
        <v>475</v>
      </c>
      <c r="D837" s="15" t="s">
        <v>1965</v>
      </c>
      <c r="E837" s="15" t="s">
        <v>3330</v>
      </c>
      <c r="F837" s="15" t="s">
        <v>2496</v>
      </c>
      <c r="G837" s="15" t="n">
        <v>250</v>
      </c>
      <c r="H837" s="15" t="s">
        <v>166</v>
      </c>
    </row>
    <row r="838" customFormat="false" ht="15" hidden="false" customHeight="false" outlineLevel="0" collapsed="false">
      <c r="A838" s="15" t="s">
        <v>649</v>
      </c>
      <c r="B838" s="15" t="s">
        <v>1910</v>
      </c>
      <c r="C838" s="15" t="s">
        <v>1921</v>
      </c>
      <c r="D838" s="15" t="s">
        <v>1922</v>
      </c>
      <c r="E838" s="15" t="s">
        <v>3331</v>
      </c>
      <c r="F838" s="15" t="s">
        <v>3332</v>
      </c>
      <c r="G838" s="15" t="n">
        <v>500</v>
      </c>
      <c r="H838" s="15"/>
    </row>
    <row r="839" customFormat="false" ht="15" hidden="false" customHeight="false" outlineLevel="0" collapsed="false">
      <c r="A839" s="15" t="s">
        <v>649</v>
      </c>
      <c r="B839" s="15" t="s">
        <v>1915</v>
      </c>
      <c r="C839" s="15" t="s">
        <v>475</v>
      </c>
      <c r="D839" s="15" t="s">
        <v>1965</v>
      </c>
      <c r="E839" s="15" t="s">
        <v>3333</v>
      </c>
      <c r="F839" s="15" t="s">
        <v>3196</v>
      </c>
      <c r="G839" s="15" t="n">
        <v>250</v>
      </c>
      <c r="H839" s="15" t="s">
        <v>166</v>
      </c>
    </row>
  </sheetData>
  <mergeCells count="1">
    <mergeCell ref="A1:H1"/>
  </mergeCells>
  <hyperlinks>
    <hyperlink ref="A2" r:id="rId1" location="'Start%20here'!A1" display="← Back to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8F99"/>
    <pageSetUpPr fitToPage="false"/>
  </sheetPr>
  <dimension ref="A1:O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38"/>
    <col collapsed="false" customWidth="true" hidden="false" outlineLevel="0" max="3" min="3" style="0" width="9"/>
    <col collapsed="false" customWidth="true" hidden="false" outlineLevel="0" max="4" min="4" style="0" width="20"/>
    <col collapsed="false" customWidth="true" hidden="false" outlineLevel="0" max="5" min="5" style="0" width="14"/>
    <col collapsed="false" customWidth="true" hidden="false" outlineLevel="0" max="7" min="6" style="0" width="12"/>
    <col collapsed="false" customWidth="true" hidden="false" outlineLevel="0" max="10" min="8" style="0" width="8"/>
    <col collapsed="false" customWidth="true" hidden="false" outlineLevel="0" max="11" min="11" style="0" width="10"/>
    <col collapsed="false" customWidth="true" hidden="false" outlineLevel="0" max="12" min="12" style="0" width="8"/>
    <col collapsed="false" customWidth="true" hidden="false" outlineLevel="0" max="13" min="13" style="0" width="11"/>
    <col collapsed="false" customWidth="true" hidden="false" outlineLevel="0" max="14" min="14" style="0" width="8"/>
    <col collapsed="false" customWidth="true" hidden="false" outlineLevel="0" max="15" min="15" style="0" width="60"/>
  </cols>
  <sheetData>
    <row r="1" customFormat="false" ht="42" hidden="false" customHeight="true" outlineLevel="0" collapsed="false">
      <c r="A1" s="12" t="s">
        <v>3334</v>
      </c>
      <c r="B1" s="12"/>
      <c r="C1" s="12"/>
      <c r="D1" s="12"/>
      <c r="E1" s="12"/>
      <c r="F1" s="12"/>
      <c r="G1" s="12"/>
      <c r="H1" s="12"/>
    </row>
    <row r="2" customFormat="false" ht="15" hidden="false" customHeight="false" outlineLevel="0" collapsed="false">
      <c r="A2" s="13" t="s">
        <v>129</v>
      </c>
    </row>
    <row r="4" customFormat="false" ht="33.75" hidden="false" customHeight="true" outlineLevel="0" collapsed="false">
      <c r="A4" s="14" t="s">
        <v>131</v>
      </c>
      <c r="B4" s="14" t="s">
        <v>1904</v>
      </c>
      <c r="C4" s="14" t="s">
        <v>1905</v>
      </c>
      <c r="D4" s="14" t="s">
        <v>130</v>
      </c>
      <c r="E4" s="14" t="s">
        <v>3335</v>
      </c>
      <c r="F4" s="14" t="s">
        <v>3336</v>
      </c>
      <c r="G4" s="14" t="s">
        <v>3337</v>
      </c>
      <c r="H4" s="14" t="s">
        <v>3338</v>
      </c>
      <c r="I4" s="14" t="s">
        <v>3339</v>
      </c>
      <c r="J4" s="14" t="s">
        <v>3340</v>
      </c>
      <c r="K4" s="14" t="s">
        <v>3341</v>
      </c>
      <c r="L4" s="14" t="s">
        <v>3342</v>
      </c>
      <c r="M4" s="14" t="s">
        <v>3343</v>
      </c>
      <c r="N4" s="14" t="s">
        <v>3344</v>
      </c>
      <c r="O4" s="14" t="s">
        <v>3345</v>
      </c>
    </row>
    <row r="5" customFormat="false" ht="15" hidden="false" customHeight="false" outlineLevel="0" collapsed="false">
      <c r="A5" s="15" t="s">
        <v>3346</v>
      </c>
      <c r="B5" s="17" t="s">
        <v>279</v>
      </c>
      <c r="C5" s="15" t="s">
        <v>1954</v>
      </c>
      <c r="D5" s="15" t="s">
        <v>3347</v>
      </c>
      <c r="E5" s="15" t="s">
        <v>3346</v>
      </c>
      <c r="F5" s="15" t="s">
        <v>3348</v>
      </c>
      <c r="G5" s="15" t="s">
        <v>3349</v>
      </c>
      <c r="H5" s="15" t="n">
        <v>19</v>
      </c>
      <c r="I5" s="15" t="n">
        <v>14</v>
      </c>
      <c r="J5" s="15" t="n">
        <v>19</v>
      </c>
      <c r="K5" s="15" t="n">
        <v>25</v>
      </c>
      <c r="L5" s="15" t="n">
        <v>14</v>
      </c>
      <c r="M5" s="15" t="n">
        <v>37</v>
      </c>
      <c r="N5" s="15" t="n">
        <v>128</v>
      </c>
      <c r="O5" s="17" t="s">
        <v>3350</v>
      </c>
    </row>
    <row r="6" customFormat="false" ht="15" hidden="false" customHeight="false" outlineLevel="0" collapsed="false">
      <c r="A6" s="15" t="s">
        <v>3346</v>
      </c>
      <c r="B6" s="17" t="s">
        <v>475</v>
      </c>
      <c r="C6" s="15" t="s">
        <v>1965</v>
      </c>
      <c r="D6" s="15" t="s">
        <v>3351</v>
      </c>
      <c r="E6" s="15" t="s">
        <v>3346</v>
      </c>
      <c r="F6" s="15" t="s">
        <v>3352</v>
      </c>
      <c r="G6" s="15" t="s">
        <v>3353</v>
      </c>
      <c r="H6" s="15" t="n">
        <v>8</v>
      </c>
      <c r="I6" s="15" t="n">
        <v>9</v>
      </c>
      <c r="J6" s="15" t="n">
        <v>13</v>
      </c>
      <c r="K6" s="15" t="n">
        <v>12</v>
      </c>
      <c r="L6" s="15" t="n">
        <v>15</v>
      </c>
      <c r="M6" s="15" t="n">
        <v>28</v>
      </c>
      <c r="N6" s="15" t="n">
        <v>85</v>
      </c>
      <c r="O6" s="17" t="s">
        <v>3350</v>
      </c>
    </row>
    <row r="7" customFormat="false" ht="15" hidden="false" customHeight="false" outlineLevel="0" collapsed="false">
      <c r="A7" s="15" t="s">
        <v>3346</v>
      </c>
      <c r="B7" s="17" t="s">
        <v>552</v>
      </c>
      <c r="C7" s="15" t="s">
        <v>2029</v>
      </c>
      <c r="D7" s="15" t="s">
        <v>3354</v>
      </c>
      <c r="E7" s="15" t="s">
        <v>3346</v>
      </c>
      <c r="F7" s="15" t="s">
        <v>3355</v>
      </c>
      <c r="G7" s="15" t="s">
        <v>2992</v>
      </c>
      <c r="H7" s="15" t="n">
        <v>4</v>
      </c>
      <c r="I7" s="15" t="n">
        <v>5</v>
      </c>
      <c r="J7" s="15" t="n">
        <v>1</v>
      </c>
      <c r="K7" s="15" t="n">
        <v>5</v>
      </c>
      <c r="L7" s="15" t="n">
        <v>7</v>
      </c>
      <c r="M7" s="15" t="n">
        <v>8</v>
      </c>
      <c r="N7" s="15" t="n">
        <v>30</v>
      </c>
      <c r="O7" s="17" t="s">
        <v>3350</v>
      </c>
    </row>
    <row r="8" customFormat="false" ht="15" hidden="false" customHeight="false" outlineLevel="0" collapsed="false">
      <c r="A8" s="15" t="s">
        <v>3346</v>
      </c>
      <c r="B8" s="17" t="s">
        <v>260</v>
      </c>
      <c r="C8" s="15" t="s">
        <v>2013</v>
      </c>
      <c r="D8" s="15" t="s">
        <v>3356</v>
      </c>
      <c r="E8" s="15" t="s">
        <v>3346</v>
      </c>
      <c r="F8" s="15" t="s">
        <v>3357</v>
      </c>
      <c r="G8" s="15" t="s">
        <v>3358</v>
      </c>
      <c r="H8" s="15" t="n">
        <v>3</v>
      </c>
      <c r="I8" s="15" t="n">
        <v>3</v>
      </c>
      <c r="J8" s="15" t="n">
        <v>3</v>
      </c>
      <c r="K8" s="15" t="n">
        <v>5</v>
      </c>
      <c r="L8" s="15" t="n">
        <v>3</v>
      </c>
      <c r="M8" s="15" t="n">
        <v>7</v>
      </c>
      <c r="N8" s="15" t="n">
        <v>24</v>
      </c>
      <c r="O8" s="17" t="s">
        <v>3350</v>
      </c>
    </row>
    <row r="9" customFormat="false" ht="15" hidden="false" customHeight="false" outlineLevel="0" collapsed="false">
      <c r="A9" s="15" t="s">
        <v>3346</v>
      </c>
      <c r="B9" s="17" t="s">
        <v>165</v>
      </c>
      <c r="C9" s="15" t="s">
        <v>1916</v>
      </c>
      <c r="D9" s="15" t="s">
        <v>3359</v>
      </c>
      <c r="E9" s="15" t="s">
        <v>3346</v>
      </c>
      <c r="F9" s="15" t="s">
        <v>3360</v>
      </c>
      <c r="G9" s="15" t="s">
        <v>3361</v>
      </c>
      <c r="H9" s="15" t="n">
        <v>6</v>
      </c>
      <c r="I9" s="15" t="n">
        <v>4</v>
      </c>
      <c r="J9" s="15" t="n">
        <v>3</v>
      </c>
      <c r="K9" s="15" t="n">
        <v>4</v>
      </c>
      <c r="L9" s="15" t="n">
        <v>0</v>
      </c>
      <c r="M9" s="15" t="n">
        <v>8</v>
      </c>
      <c r="N9" s="15" t="n">
        <v>25</v>
      </c>
      <c r="O9" s="17" t="s">
        <v>3350</v>
      </c>
    </row>
    <row r="10" customFormat="false" ht="15" hidden="false" customHeight="false" outlineLevel="0" collapsed="false">
      <c r="A10" s="15" t="s">
        <v>3346</v>
      </c>
      <c r="B10" s="17" t="s">
        <v>329</v>
      </c>
      <c r="C10" s="15" t="s">
        <v>1942</v>
      </c>
      <c r="D10" s="15" t="s">
        <v>3362</v>
      </c>
      <c r="E10" s="15" t="s">
        <v>3346</v>
      </c>
      <c r="F10" s="15" t="s">
        <v>3363</v>
      </c>
      <c r="G10" s="15" t="s">
        <v>3364</v>
      </c>
      <c r="H10" s="15" t="n">
        <v>4</v>
      </c>
      <c r="I10" s="15" t="n">
        <v>4</v>
      </c>
      <c r="J10" s="15" t="n">
        <v>4</v>
      </c>
      <c r="K10" s="15" t="n">
        <v>4</v>
      </c>
      <c r="L10" s="15" t="n">
        <v>1</v>
      </c>
      <c r="M10" s="15" t="n">
        <v>5</v>
      </c>
      <c r="N10" s="15" t="n">
        <v>22</v>
      </c>
      <c r="O10" s="17" t="s">
        <v>3350</v>
      </c>
    </row>
    <row r="11" customFormat="false" ht="15" hidden="false" customHeight="false" outlineLevel="0" collapsed="false">
      <c r="A11" s="15" t="s">
        <v>3346</v>
      </c>
      <c r="B11" s="17" t="s">
        <v>208</v>
      </c>
      <c r="C11" s="15" t="s">
        <v>1931</v>
      </c>
      <c r="D11" s="15" t="s">
        <v>3365</v>
      </c>
      <c r="E11" s="15" t="s">
        <v>3346</v>
      </c>
      <c r="F11" s="15" t="s">
        <v>3366</v>
      </c>
      <c r="G11" s="15" t="s">
        <v>3367</v>
      </c>
      <c r="H11" s="15" t="n">
        <v>5</v>
      </c>
      <c r="I11" s="15" t="n">
        <v>2</v>
      </c>
      <c r="J11" s="15" t="n">
        <v>3</v>
      </c>
      <c r="K11" s="15" t="n">
        <v>3</v>
      </c>
      <c r="L11" s="15" t="n">
        <v>1</v>
      </c>
      <c r="M11" s="15" t="n">
        <v>7</v>
      </c>
      <c r="N11" s="15" t="n">
        <v>21</v>
      </c>
      <c r="O11" s="17" t="s">
        <v>3350</v>
      </c>
    </row>
    <row r="12" customFormat="false" ht="15" hidden="false" customHeight="false" outlineLevel="0" collapsed="false">
      <c r="A12" s="15" t="s">
        <v>3346</v>
      </c>
      <c r="B12" s="17" t="s">
        <v>593</v>
      </c>
      <c r="C12" s="15" t="s">
        <v>2061</v>
      </c>
      <c r="D12" s="15" t="s">
        <v>3365</v>
      </c>
      <c r="E12" s="15" t="s">
        <v>3346</v>
      </c>
      <c r="F12" s="15" t="s">
        <v>3368</v>
      </c>
      <c r="G12" s="15" t="s">
        <v>3369</v>
      </c>
      <c r="H12" s="15" t="n">
        <v>2</v>
      </c>
      <c r="I12" s="15" t="n">
        <v>1</v>
      </c>
      <c r="J12" s="15" t="n">
        <v>2</v>
      </c>
      <c r="K12" s="15" t="n">
        <v>2</v>
      </c>
      <c r="L12" s="15" t="n">
        <v>1</v>
      </c>
      <c r="M12" s="15" t="n">
        <v>9</v>
      </c>
      <c r="N12" s="15" t="n">
        <v>17</v>
      </c>
      <c r="O12" s="17" t="s">
        <v>3350</v>
      </c>
    </row>
    <row r="13" customFormat="false" ht="15" hidden="false" customHeight="false" outlineLevel="0" collapsed="false">
      <c r="A13" s="15" t="s">
        <v>3346</v>
      </c>
      <c r="B13" s="17" t="s">
        <v>366</v>
      </c>
      <c r="C13" s="15" t="s">
        <v>1949</v>
      </c>
      <c r="D13" s="15" t="s">
        <v>3370</v>
      </c>
      <c r="E13" s="15" t="s">
        <v>3346</v>
      </c>
      <c r="F13" s="15" t="s">
        <v>3371</v>
      </c>
      <c r="G13" s="15" t="s">
        <v>3372</v>
      </c>
      <c r="H13" s="15" t="n">
        <v>4</v>
      </c>
      <c r="I13" s="15" t="n">
        <v>1</v>
      </c>
      <c r="J13" s="15" t="n">
        <v>3</v>
      </c>
      <c r="K13" s="15" t="n">
        <v>2</v>
      </c>
      <c r="L13" s="15" t="n">
        <v>3</v>
      </c>
      <c r="M13" s="15" t="n">
        <v>4</v>
      </c>
      <c r="N13" s="15" t="n">
        <v>17</v>
      </c>
      <c r="O13" s="17" t="s">
        <v>3350</v>
      </c>
    </row>
    <row r="14" customFormat="false" ht="15" hidden="false" customHeight="false" outlineLevel="0" collapsed="false">
      <c r="A14" s="15" t="s">
        <v>3346</v>
      </c>
      <c r="B14" s="17" t="s">
        <v>305</v>
      </c>
      <c r="C14" s="15" t="s">
        <v>2503</v>
      </c>
      <c r="D14" s="15" t="s">
        <v>3373</v>
      </c>
      <c r="E14" s="15" t="s">
        <v>3346</v>
      </c>
      <c r="F14" s="15" t="s">
        <v>3374</v>
      </c>
      <c r="G14" s="15" t="s">
        <v>3196</v>
      </c>
      <c r="H14" s="15" t="n">
        <v>1</v>
      </c>
      <c r="I14" s="15" t="n">
        <v>1</v>
      </c>
      <c r="J14" s="15" t="n">
        <v>3</v>
      </c>
      <c r="K14" s="15" t="n">
        <v>3</v>
      </c>
      <c r="L14" s="15" t="n">
        <v>2</v>
      </c>
      <c r="M14" s="15" t="n">
        <v>3</v>
      </c>
      <c r="N14" s="15" t="n">
        <v>13</v>
      </c>
      <c r="O14" s="17" t="s">
        <v>3350</v>
      </c>
    </row>
    <row r="15" customFormat="false" ht="15" hidden="false" customHeight="false" outlineLevel="0" collapsed="false">
      <c r="A15" s="15" t="s">
        <v>3346</v>
      </c>
      <c r="B15" s="17" t="s">
        <v>612</v>
      </c>
      <c r="C15" s="15" t="s">
        <v>2427</v>
      </c>
      <c r="D15" s="15" t="s">
        <v>3375</v>
      </c>
      <c r="E15" s="15" t="s">
        <v>3346</v>
      </c>
      <c r="F15" s="15" t="s">
        <v>3376</v>
      </c>
      <c r="G15" s="15" t="s">
        <v>3353</v>
      </c>
      <c r="H15" s="15" t="n">
        <v>3</v>
      </c>
      <c r="I15" s="15" t="n">
        <v>1</v>
      </c>
      <c r="J15" s="15" t="n">
        <v>2</v>
      </c>
      <c r="K15" s="15" t="n">
        <v>2</v>
      </c>
      <c r="L15" s="15" t="n">
        <v>0</v>
      </c>
      <c r="M15" s="15" t="n">
        <v>4</v>
      </c>
      <c r="N15" s="15" t="n">
        <v>12</v>
      </c>
      <c r="O15" s="17" t="s">
        <v>3350</v>
      </c>
    </row>
    <row r="16" customFormat="false" ht="28.35" hidden="false" customHeight="false" outlineLevel="0" collapsed="false">
      <c r="A16" s="15" t="s">
        <v>3346</v>
      </c>
      <c r="B16" s="17" t="s">
        <v>2032</v>
      </c>
      <c r="C16" s="15" t="s">
        <v>2033</v>
      </c>
      <c r="D16" s="15"/>
      <c r="E16" s="15"/>
      <c r="F16" s="15" t="s">
        <v>3377</v>
      </c>
      <c r="G16" s="15" t="s">
        <v>3252</v>
      </c>
      <c r="H16" s="15" t="n">
        <v>1</v>
      </c>
      <c r="I16" s="15" t="n">
        <v>2</v>
      </c>
      <c r="J16" s="15" t="n">
        <v>0</v>
      </c>
      <c r="K16" s="15" t="n">
        <v>3</v>
      </c>
      <c r="L16" s="15" t="n">
        <v>0</v>
      </c>
      <c r="M16" s="15" t="n">
        <v>3</v>
      </c>
      <c r="N16" s="15" t="n">
        <v>9</v>
      </c>
      <c r="O16" s="17" t="s">
        <v>3378</v>
      </c>
    </row>
    <row r="17" customFormat="false" ht="15" hidden="false" customHeight="false" outlineLevel="0" collapsed="false">
      <c r="A17" s="15" t="s">
        <v>3346</v>
      </c>
      <c r="B17" s="17" t="s">
        <v>1961</v>
      </c>
      <c r="C17" s="15" t="s">
        <v>1962</v>
      </c>
      <c r="D17" s="15" t="s">
        <v>3379</v>
      </c>
      <c r="E17" s="15" t="s">
        <v>3346</v>
      </c>
      <c r="F17" s="15" t="s">
        <v>3380</v>
      </c>
      <c r="G17" s="15" t="s">
        <v>3196</v>
      </c>
      <c r="H17" s="15" t="n">
        <v>1</v>
      </c>
      <c r="I17" s="15" t="n">
        <v>0</v>
      </c>
      <c r="J17" s="15" t="n">
        <v>2</v>
      </c>
      <c r="K17" s="15" t="n">
        <v>1</v>
      </c>
      <c r="L17" s="15" t="n">
        <v>1</v>
      </c>
      <c r="M17" s="15" t="n">
        <v>3</v>
      </c>
      <c r="N17" s="15" t="n">
        <v>8</v>
      </c>
      <c r="O17" s="17" t="s">
        <v>3350</v>
      </c>
    </row>
    <row r="18" customFormat="false" ht="15" hidden="false" customHeight="false" outlineLevel="0" collapsed="false">
      <c r="A18" s="15" t="s">
        <v>3346</v>
      </c>
      <c r="B18" s="17" t="s">
        <v>224</v>
      </c>
      <c r="C18" s="15" t="s">
        <v>2016</v>
      </c>
      <c r="D18" s="15"/>
      <c r="E18" s="15"/>
      <c r="F18" s="15" t="s">
        <v>3381</v>
      </c>
      <c r="G18" s="15" t="s">
        <v>3182</v>
      </c>
      <c r="H18" s="15" t="n">
        <v>1</v>
      </c>
      <c r="I18" s="15" t="n">
        <v>0</v>
      </c>
      <c r="J18" s="15" t="n">
        <v>2</v>
      </c>
      <c r="K18" s="15" t="n">
        <v>1</v>
      </c>
      <c r="L18" s="15" t="n">
        <v>0</v>
      </c>
      <c r="M18" s="15" t="n">
        <v>5</v>
      </c>
      <c r="N18" s="15" t="n">
        <v>9</v>
      </c>
      <c r="O18" s="17" t="s">
        <v>3382</v>
      </c>
    </row>
    <row r="19" customFormat="false" ht="15" hidden="false" customHeight="false" outlineLevel="0" collapsed="false">
      <c r="A19" s="15" t="s">
        <v>3346</v>
      </c>
      <c r="B19" s="17" t="s">
        <v>2613</v>
      </c>
      <c r="C19" s="15" t="s">
        <v>2614</v>
      </c>
      <c r="D19" s="15" t="s">
        <v>3383</v>
      </c>
      <c r="E19" s="15" t="s">
        <v>3346</v>
      </c>
      <c r="F19" s="15" t="s">
        <v>3384</v>
      </c>
      <c r="G19" s="15" t="s">
        <v>3385</v>
      </c>
      <c r="H19" s="15" t="n">
        <v>2</v>
      </c>
      <c r="I19" s="15" t="n">
        <v>1</v>
      </c>
      <c r="J19" s="15" t="n">
        <v>2</v>
      </c>
      <c r="K19" s="15" t="n">
        <v>1</v>
      </c>
      <c r="L19" s="15" t="n">
        <v>0</v>
      </c>
      <c r="M19" s="15" t="n">
        <v>1</v>
      </c>
      <c r="N19" s="15" t="n">
        <v>7</v>
      </c>
      <c r="O19" s="17" t="s">
        <v>3350</v>
      </c>
    </row>
    <row r="20" customFormat="false" ht="15" hidden="false" customHeight="false" outlineLevel="0" collapsed="false">
      <c r="A20" s="15" t="s">
        <v>3346</v>
      </c>
      <c r="B20" s="17" t="s">
        <v>2408</v>
      </c>
      <c r="C20" s="15" t="s">
        <v>2409</v>
      </c>
      <c r="D20" s="15" t="s">
        <v>3386</v>
      </c>
      <c r="E20" s="15" t="s">
        <v>3346</v>
      </c>
      <c r="F20" s="15" t="s">
        <v>3387</v>
      </c>
      <c r="G20" s="15" t="s">
        <v>3388</v>
      </c>
      <c r="H20" s="15" t="n">
        <v>1</v>
      </c>
      <c r="I20" s="15" t="n">
        <v>2</v>
      </c>
      <c r="J20" s="15" t="n">
        <v>2</v>
      </c>
      <c r="K20" s="15" t="n">
        <v>2</v>
      </c>
      <c r="L20" s="15" t="n">
        <v>0</v>
      </c>
      <c r="M20" s="15" t="n">
        <v>1</v>
      </c>
      <c r="N20" s="15" t="n">
        <v>8</v>
      </c>
      <c r="O20" s="17" t="s">
        <v>3350</v>
      </c>
    </row>
    <row r="21" customFormat="false" ht="15" hidden="false" customHeight="false" outlineLevel="0" collapsed="false">
      <c r="A21" s="15" t="s">
        <v>3346</v>
      </c>
      <c r="B21" s="17" t="s">
        <v>562</v>
      </c>
      <c r="C21" s="15" t="s">
        <v>3163</v>
      </c>
      <c r="D21" s="15" t="s">
        <v>3389</v>
      </c>
      <c r="E21" s="15" t="s">
        <v>3346</v>
      </c>
      <c r="F21" s="15" t="s">
        <v>3390</v>
      </c>
      <c r="G21" s="15" t="s">
        <v>3391</v>
      </c>
      <c r="H21" s="15" t="n">
        <v>0</v>
      </c>
      <c r="I21" s="15" t="n">
        <v>0</v>
      </c>
      <c r="J21" s="15" t="n">
        <v>0</v>
      </c>
      <c r="K21" s="15" t="n">
        <v>1</v>
      </c>
      <c r="L21" s="15" t="n">
        <v>1</v>
      </c>
      <c r="M21" s="15" t="n">
        <v>1</v>
      </c>
      <c r="N21" s="15" t="n">
        <v>3</v>
      </c>
      <c r="O21" s="17" t="s">
        <v>3350</v>
      </c>
    </row>
    <row r="22" customFormat="false" ht="15" hidden="false" customHeight="false" outlineLevel="0" collapsed="false">
      <c r="A22" s="15" t="s">
        <v>3346</v>
      </c>
      <c r="B22" s="17" t="s">
        <v>2732</v>
      </c>
      <c r="C22" s="15" t="s">
        <v>2733</v>
      </c>
      <c r="D22" s="15" t="s">
        <v>3392</v>
      </c>
      <c r="E22" s="15" t="s">
        <v>3346</v>
      </c>
      <c r="F22" s="15" t="s">
        <v>3393</v>
      </c>
      <c r="G22" s="15" t="s">
        <v>3180</v>
      </c>
      <c r="H22" s="15" t="n">
        <v>1</v>
      </c>
      <c r="I22" s="15" t="n">
        <v>0</v>
      </c>
      <c r="J22" s="15" t="n">
        <v>1</v>
      </c>
      <c r="K22" s="15" t="n">
        <v>0</v>
      </c>
      <c r="L22" s="15" t="n">
        <v>0</v>
      </c>
      <c r="M22" s="15" t="n">
        <v>2</v>
      </c>
      <c r="N22" s="15" t="n">
        <v>4</v>
      </c>
      <c r="O22" s="17" t="s">
        <v>3350</v>
      </c>
    </row>
    <row r="23" customFormat="false" ht="28.35" hidden="false" customHeight="false" outlineLevel="0" collapsed="false">
      <c r="A23" s="15" t="s">
        <v>3346</v>
      </c>
      <c r="B23" s="17" t="s">
        <v>2864</v>
      </c>
      <c r="C23" s="15" t="s">
        <v>2865</v>
      </c>
      <c r="D23" s="15"/>
      <c r="E23" s="15" t="s">
        <v>3346</v>
      </c>
      <c r="F23" s="15" t="s">
        <v>3394</v>
      </c>
      <c r="G23" s="15" t="s">
        <v>2052</v>
      </c>
      <c r="H23" s="15" t="n">
        <v>0</v>
      </c>
      <c r="I23" s="15" t="n">
        <v>0</v>
      </c>
      <c r="J23" s="15" t="n">
        <v>0</v>
      </c>
      <c r="K23" s="15" t="n">
        <v>1</v>
      </c>
      <c r="L23" s="15" t="n">
        <v>1</v>
      </c>
      <c r="M23" s="15" t="n">
        <v>0</v>
      </c>
      <c r="N23" s="15" t="n">
        <v>2</v>
      </c>
      <c r="O23" s="17" t="s">
        <v>3395</v>
      </c>
    </row>
    <row r="24" customFormat="false" ht="28.35" hidden="false" customHeight="false" outlineLevel="0" collapsed="false">
      <c r="A24" s="15" t="s">
        <v>3346</v>
      </c>
      <c r="B24" s="17" t="s">
        <v>589</v>
      </c>
      <c r="C24" s="15" t="s">
        <v>3223</v>
      </c>
      <c r="D24" s="15"/>
      <c r="E24" s="15"/>
      <c r="F24" s="15" t="s">
        <v>3377</v>
      </c>
      <c r="G24" s="15" t="s">
        <v>3182</v>
      </c>
      <c r="H24" s="15" t="n">
        <v>0</v>
      </c>
      <c r="I24" s="15" t="n">
        <v>0</v>
      </c>
      <c r="J24" s="15" t="n">
        <v>0</v>
      </c>
      <c r="K24" s="15" t="n">
        <v>0</v>
      </c>
      <c r="L24" s="15" t="n">
        <v>1</v>
      </c>
      <c r="M24" s="15" t="n">
        <v>0</v>
      </c>
      <c r="N24" s="15" t="n">
        <v>1</v>
      </c>
      <c r="O24" s="17" t="s">
        <v>3396</v>
      </c>
    </row>
    <row r="25" customFormat="false" ht="15" hidden="false" customHeight="false" outlineLevel="0" collapsed="false">
      <c r="A25" s="15" t="s">
        <v>3346</v>
      </c>
      <c r="B25" s="17" t="s">
        <v>2199</v>
      </c>
      <c r="C25" s="15" t="s">
        <v>2200</v>
      </c>
      <c r="D25" s="15"/>
      <c r="E25" s="15"/>
      <c r="F25" s="15" t="s">
        <v>3397</v>
      </c>
      <c r="G25" s="15" t="s">
        <v>3398</v>
      </c>
      <c r="H25" s="15" t="n">
        <v>1</v>
      </c>
      <c r="I25" s="15" t="n">
        <v>0</v>
      </c>
      <c r="J25" s="15" t="n">
        <v>0</v>
      </c>
      <c r="K25" s="15" t="n">
        <v>0</v>
      </c>
      <c r="L25" s="15" t="n">
        <v>0</v>
      </c>
      <c r="M25" s="15" t="n">
        <v>0</v>
      </c>
      <c r="N25" s="15" t="n">
        <v>1</v>
      </c>
      <c r="O25" s="17" t="s">
        <v>3399</v>
      </c>
    </row>
    <row r="26" customFormat="false" ht="28.35" hidden="false" customHeight="false" outlineLevel="0" collapsed="false">
      <c r="A26" s="15" t="s">
        <v>3346</v>
      </c>
      <c r="B26" s="17" t="s">
        <v>3400</v>
      </c>
      <c r="C26" s="15" t="s">
        <v>3401</v>
      </c>
      <c r="D26" s="15" t="s">
        <v>3402</v>
      </c>
      <c r="E26" s="15" t="s">
        <v>3346</v>
      </c>
      <c r="F26" s="15" t="s">
        <v>3380</v>
      </c>
      <c r="G26" s="15" t="s">
        <v>3403</v>
      </c>
      <c r="H26" s="15" t="n">
        <v>0</v>
      </c>
      <c r="I26" s="15" t="n">
        <v>0</v>
      </c>
      <c r="J26" s="15" t="n">
        <v>0</v>
      </c>
      <c r="K26" s="15" t="n">
        <v>0</v>
      </c>
      <c r="L26" s="15" t="n">
        <v>0</v>
      </c>
      <c r="M26" s="15" t="n">
        <v>0</v>
      </c>
      <c r="N26" s="15" t="n">
        <v>0</v>
      </c>
      <c r="O26" s="17" t="s">
        <v>3404</v>
      </c>
    </row>
    <row r="27" customFormat="false" ht="15" hidden="false" customHeight="false" outlineLevel="0" collapsed="false">
      <c r="A27" s="15" t="s">
        <v>3346</v>
      </c>
      <c r="B27" s="17" t="s">
        <v>3405</v>
      </c>
      <c r="C27" s="15" t="s">
        <v>3406</v>
      </c>
      <c r="D27" s="15"/>
      <c r="E27" s="15" t="s">
        <v>3346</v>
      </c>
      <c r="F27" s="15" t="s">
        <v>3407</v>
      </c>
      <c r="G27" s="15" t="s">
        <v>3182</v>
      </c>
      <c r="H27" s="15" t="n">
        <v>0</v>
      </c>
      <c r="I27" s="15" t="n">
        <v>0</v>
      </c>
      <c r="J27" s="15" t="n">
        <v>0</v>
      </c>
      <c r="K27" s="15" t="n">
        <v>0</v>
      </c>
      <c r="L27" s="15" t="n">
        <v>0</v>
      </c>
      <c r="M27" s="15" t="n">
        <v>0</v>
      </c>
      <c r="N27" s="15" t="n">
        <v>0</v>
      </c>
      <c r="O27" s="17" t="s">
        <v>3395</v>
      </c>
    </row>
    <row r="28" customFormat="false" ht="28.35" hidden="false" customHeight="false" outlineLevel="0" collapsed="false">
      <c r="A28" s="15" t="s">
        <v>3346</v>
      </c>
      <c r="B28" s="17" t="s">
        <v>3408</v>
      </c>
      <c r="C28" s="15" t="s">
        <v>3409</v>
      </c>
      <c r="D28" s="15"/>
      <c r="E28" s="15"/>
      <c r="F28" s="15" t="s">
        <v>3410</v>
      </c>
      <c r="G28" s="15" t="s">
        <v>3411</v>
      </c>
      <c r="H28" s="15" t="n">
        <v>0</v>
      </c>
      <c r="I28" s="15" t="n">
        <v>0</v>
      </c>
      <c r="J28" s="15" t="n">
        <v>0</v>
      </c>
      <c r="K28" s="15" t="n">
        <v>0</v>
      </c>
      <c r="L28" s="15" t="n">
        <v>0</v>
      </c>
      <c r="M28" s="15" t="n">
        <v>0</v>
      </c>
      <c r="N28" s="15" t="n">
        <v>0</v>
      </c>
      <c r="O28" s="17" t="s">
        <v>3412</v>
      </c>
    </row>
    <row r="29" customFormat="false" ht="28.35" hidden="false" customHeight="false" outlineLevel="0" collapsed="false">
      <c r="A29" s="15" t="s">
        <v>3346</v>
      </c>
      <c r="B29" s="17" t="s">
        <v>3413</v>
      </c>
      <c r="C29" s="15" t="s">
        <v>3414</v>
      </c>
      <c r="D29" s="15"/>
      <c r="E29" s="15" t="s">
        <v>3346</v>
      </c>
      <c r="F29" s="15" t="s">
        <v>3380</v>
      </c>
      <c r="G29" s="15" t="s">
        <v>2052</v>
      </c>
      <c r="H29" s="15" t="n">
        <v>0</v>
      </c>
      <c r="I29" s="15" t="n">
        <v>0</v>
      </c>
      <c r="J29" s="15" t="n">
        <v>0</v>
      </c>
      <c r="K29" s="15" t="n">
        <v>0</v>
      </c>
      <c r="L29" s="15" t="n">
        <v>0</v>
      </c>
      <c r="M29" s="15" t="n">
        <v>0</v>
      </c>
      <c r="N29" s="15" t="n">
        <v>0</v>
      </c>
      <c r="O29" s="17" t="s">
        <v>3395</v>
      </c>
    </row>
    <row r="30" customFormat="false" ht="41.75" hidden="false" customHeight="false" outlineLevel="0" collapsed="false">
      <c r="A30" s="15" t="s">
        <v>116</v>
      </c>
      <c r="B30" s="17" t="s">
        <v>695</v>
      </c>
      <c r="C30" s="15" t="s">
        <v>3415</v>
      </c>
      <c r="D30" s="15" t="s">
        <v>3416</v>
      </c>
      <c r="E30" s="15"/>
      <c r="F30" s="15" t="s">
        <v>3417</v>
      </c>
      <c r="G30" s="15" t="s">
        <v>3418</v>
      </c>
      <c r="H30" s="15" t="n">
        <v>51</v>
      </c>
      <c r="I30" s="15" t="n">
        <v>33</v>
      </c>
      <c r="J30" s="15" t="n">
        <v>52</v>
      </c>
      <c r="K30" s="15" t="n">
        <v>68</v>
      </c>
      <c r="L30" s="15" t="n">
        <v>55</v>
      </c>
      <c r="M30" s="15" t="n">
        <v>101</v>
      </c>
      <c r="N30" s="15" t="n">
        <v>360</v>
      </c>
      <c r="O30" s="17" t="s">
        <v>3419</v>
      </c>
    </row>
    <row r="31" customFormat="false" ht="41.75" hidden="false" customHeight="false" outlineLevel="0" collapsed="false">
      <c r="A31" s="15" t="s">
        <v>116</v>
      </c>
      <c r="B31" s="17" t="s">
        <v>662</v>
      </c>
      <c r="C31" s="15" t="s">
        <v>3420</v>
      </c>
      <c r="D31" s="15" t="s">
        <v>3421</v>
      </c>
      <c r="E31" s="15" t="s">
        <v>3422</v>
      </c>
      <c r="F31" s="15" t="s">
        <v>3423</v>
      </c>
      <c r="G31" s="15" t="s">
        <v>3424</v>
      </c>
      <c r="H31" s="15" t="n">
        <v>42</v>
      </c>
      <c r="I31" s="15" t="n">
        <v>30</v>
      </c>
      <c r="J31" s="15" t="n">
        <v>45</v>
      </c>
      <c r="K31" s="15" t="n">
        <v>59</v>
      </c>
      <c r="L31" s="15" t="n">
        <v>42</v>
      </c>
      <c r="M31" s="15" t="n">
        <v>94</v>
      </c>
      <c r="N31" s="15" t="n">
        <v>312</v>
      </c>
      <c r="O31" s="17" t="s">
        <v>3419</v>
      </c>
    </row>
    <row r="32" customFormat="false" ht="28.35" hidden="false" customHeight="false" outlineLevel="0" collapsed="false">
      <c r="A32" s="15" t="s">
        <v>116</v>
      </c>
      <c r="B32" s="17" t="s">
        <v>658</v>
      </c>
      <c r="C32" s="15" t="s">
        <v>3425</v>
      </c>
      <c r="D32" s="15" t="s">
        <v>3426</v>
      </c>
      <c r="E32" s="15" t="s">
        <v>3422</v>
      </c>
      <c r="F32" s="15" t="s">
        <v>3427</v>
      </c>
      <c r="G32" s="15" t="s">
        <v>3212</v>
      </c>
      <c r="H32" s="15" t="n">
        <v>22</v>
      </c>
      <c r="I32" s="15" t="n">
        <v>38</v>
      </c>
      <c r="J32" s="15" t="n">
        <v>33</v>
      </c>
      <c r="K32" s="15" t="n">
        <v>51</v>
      </c>
      <c r="L32" s="15" t="n">
        <v>21</v>
      </c>
      <c r="M32" s="15" t="n">
        <v>87</v>
      </c>
      <c r="N32" s="15" t="n">
        <v>252</v>
      </c>
      <c r="O32" s="17" t="s">
        <v>3428</v>
      </c>
    </row>
    <row r="33" customFormat="false" ht="41.75" hidden="false" customHeight="false" outlineLevel="0" collapsed="false">
      <c r="A33" s="15" t="s">
        <v>116</v>
      </c>
      <c r="B33" s="17" t="s">
        <v>732</v>
      </c>
      <c r="C33" s="15" t="s">
        <v>3429</v>
      </c>
      <c r="D33" s="15" t="s">
        <v>3430</v>
      </c>
      <c r="E33" s="15" t="s">
        <v>3422</v>
      </c>
      <c r="F33" s="15" t="s">
        <v>3431</v>
      </c>
      <c r="G33" s="15" t="s">
        <v>3252</v>
      </c>
      <c r="H33" s="15" t="n">
        <v>33</v>
      </c>
      <c r="I33" s="15" t="n">
        <v>22</v>
      </c>
      <c r="J33" s="15" t="n">
        <v>28</v>
      </c>
      <c r="K33" s="15" t="n">
        <v>42</v>
      </c>
      <c r="L33" s="15" t="n">
        <v>36</v>
      </c>
      <c r="M33" s="15" t="n">
        <v>68</v>
      </c>
      <c r="N33" s="15" t="n">
        <v>229</v>
      </c>
      <c r="O33" s="17" t="s">
        <v>3419</v>
      </c>
    </row>
    <row r="34" customFormat="false" ht="28.35" hidden="false" customHeight="false" outlineLevel="0" collapsed="false">
      <c r="A34" s="15" t="s">
        <v>116</v>
      </c>
      <c r="B34" s="17" t="s">
        <v>664</v>
      </c>
      <c r="C34" s="15" t="s">
        <v>3432</v>
      </c>
      <c r="D34" s="15" t="s">
        <v>3433</v>
      </c>
      <c r="E34" s="15" t="s">
        <v>3422</v>
      </c>
      <c r="F34" s="15" t="s">
        <v>3434</v>
      </c>
      <c r="G34" s="15" t="s">
        <v>3353</v>
      </c>
      <c r="H34" s="15" t="n">
        <v>12</v>
      </c>
      <c r="I34" s="15" t="n">
        <v>17</v>
      </c>
      <c r="J34" s="15" t="n">
        <v>26</v>
      </c>
      <c r="K34" s="15" t="n">
        <v>23</v>
      </c>
      <c r="L34" s="15" t="n">
        <v>5</v>
      </c>
      <c r="M34" s="15" t="n">
        <v>37</v>
      </c>
      <c r="N34" s="15" t="n">
        <v>120</v>
      </c>
      <c r="O34" s="17" t="s">
        <v>3428</v>
      </c>
    </row>
    <row r="35" customFormat="false" ht="41.75" hidden="false" customHeight="false" outlineLevel="0" collapsed="false">
      <c r="A35" s="15" t="s">
        <v>116</v>
      </c>
      <c r="B35" s="17" t="s">
        <v>693</v>
      </c>
      <c r="C35" s="15" t="s">
        <v>3435</v>
      </c>
      <c r="D35" s="15"/>
      <c r="E35" s="15"/>
      <c r="F35" s="15" t="s">
        <v>3102</v>
      </c>
      <c r="G35" s="15" t="s">
        <v>2284</v>
      </c>
      <c r="H35" s="15" t="n">
        <v>10</v>
      </c>
      <c r="I35" s="15" t="n">
        <v>13</v>
      </c>
      <c r="J35" s="15" t="n">
        <v>14</v>
      </c>
      <c r="K35" s="15" t="n">
        <v>16</v>
      </c>
      <c r="L35" s="15" t="n">
        <v>6</v>
      </c>
      <c r="M35" s="15" t="n">
        <v>25</v>
      </c>
      <c r="N35" s="15" t="n">
        <v>84</v>
      </c>
      <c r="O35" s="17" t="s">
        <v>3436</v>
      </c>
    </row>
    <row r="36" customFormat="false" ht="28.35" hidden="false" customHeight="false" outlineLevel="0" collapsed="false">
      <c r="A36" s="15" t="s">
        <v>3437</v>
      </c>
      <c r="B36" s="17" t="s">
        <v>3438</v>
      </c>
      <c r="C36" s="15" t="s">
        <v>3439</v>
      </c>
      <c r="D36" s="15" t="s">
        <v>3440</v>
      </c>
      <c r="E36" s="15" t="s">
        <v>3422</v>
      </c>
      <c r="F36" s="15" t="s">
        <v>3441</v>
      </c>
      <c r="G36" s="15" t="s">
        <v>3442</v>
      </c>
      <c r="H36" s="15"/>
      <c r="I36" s="15"/>
      <c r="J36" s="15"/>
      <c r="K36" s="15"/>
      <c r="L36" s="15"/>
      <c r="M36" s="15"/>
      <c r="N36" s="15"/>
      <c r="O36" s="17" t="s">
        <v>3443</v>
      </c>
    </row>
    <row r="37" customFormat="false" ht="28.35" hidden="false" customHeight="false" outlineLevel="0" collapsed="false">
      <c r="A37" s="15" t="s">
        <v>3437</v>
      </c>
      <c r="B37" s="17" t="s">
        <v>3444</v>
      </c>
      <c r="C37" s="15" t="s">
        <v>3445</v>
      </c>
      <c r="D37" s="15" t="s">
        <v>3446</v>
      </c>
      <c r="E37" s="15" t="s">
        <v>3422</v>
      </c>
      <c r="F37" s="15" t="s">
        <v>3447</v>
      </c>
      <c r="G37" s="15" t="s">
        <v>3448</v>
      </c>
      <c r="H37" s="15"/>
      <c r="I37" s="15"/>
      <c r="J37" s="15"/>
      <c r="K37" s="15"/>
      <c r="L37" s="15"/>
      <c r="M37" s="15"/>
      <c r="N37" s="15"/>
      <c r="O37" s="17" t="s">
        <v>3449</v>
      </c>
    </row>
    <row r="38" customFormat="false" ht="28.35" hidden="false" customHeight="false" outlineLevel="0" collapsed="false">
      <c r="A38" s="15" t="s">
        <v>3437</v>
      </c>
      <c r="B38" s="17" t="s">
        <v>3450</v>
      </c>
      <c r="C38" s="15" t="s">
        <v>3451</v>
      </c>
      <c r="D38" s="15" t="s">
        <v>3452</v>
      </c>
      <c r="E38" s="15" t="s">
        <v>3422</v>
      </c>
      <c r="F38" s="15" t="s">
        <v>3453</v>
      </c>
      <c r="G38" s="15" t="s">
        <v>3454</v>
      </c>
      <c r="H38" s="15"/>
      <c r="I38" s="15"/>
      <c r="J38" s="15"/>
      <c r="K38" s="15"/>
      <c r="L38" s="15"/>
      <c r="M38" s="15"/>
      <c r="N38" s="15"/>
      <c r="O38" s="17" t="s">
        <v>3449</v>
      </c>
    </row>
    <row r="39" customFormat="false" ht="28.35" hidden="false" customHeight="false" outlineLevel="0" collapsed="false">
      <c r="A39" s="15" t="s">
        <v>3437</v>
      </c>
      <c r="B39" s="17" t="s">
        <v>3455</v>
      </c>
      <c r="C39" s="15" t="s">
        <v>3456</v>
      </c>
      <c r="D39" s="15" t="s">
        <v>3457</v>
      </c>
      <c r="E39" s="15" t="s">
        <v>3422</v>
      </c>
      <c r="F39" s="15" t="s">
        <v>3458</v>
      </c>
      <c r="G39" s="15" t="s">
        <v>3182</v>
      </c>
      <c r="H39" s="15"/>
      <c r="I39" s="15"/>
      <c r="J39" s="15"/>
      <c r="K39" s="15"/>
      <c r="L39" s="15"/>
      <c r="M39" s="15"/>
      <c r="N39" s="15"/>
      <c r="O39" s="17" t="s">
        <v>3449</v>
      </c>
    </row>
    <row r="40" customFormat="false" ht="41.75" hidden="false" customHeight="false" outlineLevel="0" collapsed="false">
      <c r="A40" s="15" t="s">
        <v>3437</v>
      </c>
      <c r="B40" s="17" t="s">
        <v>3459</v>
      </c>
      <c r="C40" s="15" t="s">
        <v>3460</v>
      </c>
      <c r="D40" s="15" t="s">
        <v>3461</v>
      </c>
      <c r="E40" s="15" t="s">
        <v>3422</v>
      </c>
      <c r="F40" s="15" t="s">
        <v>3462</v>
      </c>
      <c r="G40" s="15" t="s">
        <v>3463</v>
      </c>
      <c r="H40" s="15"/>
      <c r="I40" s="15"/>
      <c r="J40" s="15"/>
      <c r="K40" s="15"/>
      <c r="L40" s="15"/>
      <c r="M40" s="15"/>
      <c r="N40" s="15"/>
      <c r="O40" s="17" t="s">
        <v>3464</v>
      </c>
    </row>
    <row r="41" customFormat="false" ht="15" hidden="false" customHeight="false" outlineLevel="0" collapsed="false">
      <c r="A41" s="15" t="s">
        <v>3437</v>
      </c>
      <c r="B41" s="17" t="s">
        <v>3465</v>
      </c>
      <c r="C41" s="15" t="s">
        <v>3466</v>
      </c>
      <c r="D41" s="15"/>
      <c r="E41" s="15"/>
      <c r="F41" s="15" t="s">
        <v>2544</v>
      </c>
      <c r="G41" s="15" t="s">
        <v>3182</v>
      </c>
      <c r="H41" s="15"/>
      <c r="I41" s="15"/>
      <c r="J41" s="15"/>
      <c r="K41" s="15"/>
      <c r="L41" s="15"/>
      <c r="M41" s="15"/>
      <c r="N41" s="15"/>
      <c r="O41" s="17" t="s">
        <v>3467</v>
      </c>
    </row>
    <row r="42" customFormat="false" ht="15" hidden="false" customHeight="false" outlineLevel="0" collapsed="false">
      <c r="A42" s="15" t="s">
        <v>3437</v>
      </c>
      <c r="B42" s="17" t="s">
        <v>3468</v>
      </c>
      <c r="C42" s="15" t="s">
        <v>3469</v>
      </c>
      <c r="D42" s="15" t="s">
        <v>3470</v>
      </c>
      <c r="E42" s="15" t="s">
        <v>3422</v>
      </c>
      <c r="F42" s="15" t="s">
        <v>3471</v>
      </c>
      <c r="G42" s="15" t="s">
        <v>3472</v>
      </c>
      <c r="H42" s="15"/>
      <c r="I42" s="15"/>
      <c r="J42" s="15"/>
      <c r="K42" s="15"/>
      <c r="L42" s="15"/>
      <c r="M42" s="15"/>
      <c r="N42" s="15"/>
      <c r="O42" s="17" t="s">
        <v>3473</v>
      </c>
    </row>
    <row r="43" customFormat="false" ht="41.75" hidden="false" customHeight="false" outlineLevel="0" collapsed="false">
      <c r="A43" s="15" t="s">
        <v>3437</v>
      </c>
      <c r="B43" s="17" t="s">
        <v>3474</v>
      </c>
      <c r="C43" s="15" t="s">
        <v>3475</v>
      </c>
      <c r="D43" s="15" t="s">
        <v>3476</v>
      </c>
      <c r="E43" s="15" t="s">
        <v>3422</v>
      </c>
      <c r="F43" s="15" t="s">
        <v>3477</v>
      </c>
      <c r="G43" s="15" t="s">
        <v>3478</v>
      </c>
      <c r="H43" s="15"/>
      <c r="I43" s="15"/>
      <c r="J43" s="15"/>
      <c r="K43" s="15"/>
      <c r="L43" s="15"/>
      <c r="M43" s="15"/>
      <c r="N43" s="15"/>
      <c r="O43" s="17" t="s">
        <v>3479</v>
      </c>
    </row>
  </sheetData>
  <mergeCells count="1">
    <mergeCell ref="A1:H1"/>
  </mergeCells>
  <hyperlinks>
    <hyperlink ref="A2" r:id="rId1" location="'Start%20here'!A1" display="← Back to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2026-10-20T08:28:28Z</dcterms:created>
  <dc:creator>openpyxl</dc:creator>
  <dc:description/>
  <dc:language>en-US</dc:language>
  <cp:lastModifiedBy/>
  <dcterms:modified xsi:type="dcterms:W3CDTF">2026-10-20T08:28:29Z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